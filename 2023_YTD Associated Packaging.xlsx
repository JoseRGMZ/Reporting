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ustomProperty2.bin" ContentType="application/vnd.openxmlformats-officedocument.spreadsheetml.customProperty"/>
  <Override PartName="/xl/pivotTables/pivotTable2.xml" ContentType="application/vnd.openxmlformats-officedocument.spreadsheetml.pivotTable+xml"/>
  <Override PartName="/xl/customProperty3.bin" ContentType="application/vnd.openxmlformats-officedocument.spreadsheetml.customProperty"/>
  <Override PartName="/xl/pivotTables/pivotTable3.xml" ContentType="application/vnd.openxmlformats-officedocument.spreadsheetml.pivotTable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Shurtape-Groups\Sales Operations\Sales Reports\Div 20 Company Reports\Associated Packaging\"/>
    </mc:Choice>
  </mc:AlternateContent>
  <xr:revisionPtr revIDLastSave="0" documentId="13_ncr:1_{A686FC9F-A5B8-4C8F-8FD7-7E7DDAD1A5BF}" xr6:coauthVersionLast="47" xr6:coauthVersionMax="47" xr10:uidLastSave="{00000000-0000-0000-0000-000000000000}"/>
  <bookViews>
    <workbookView xWindow="90" yWindow="50" windowWidth="18910" windowHeight="10150" xr2:uid="{00000000-000D-0000-FFFF-FFFF00000000}"/>
  </bookViews>
  <sheets>
    <sheet name="Summary" sheetId="5" r:id="rId1"/>
    <sheet name="Pivot Location Detail" sheetId="14" r:id="rId2"/>
    <sheet name="Pivot Shipto Detail" sheetId="15" r:id="rId3"/>
    <sheet name="Pivot Product Type" sheetId="13" r:id="rId4"/>
    <sheet name="Data" sheetId="9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Material">[1]Sheet3!$E$2:$I$72</definedName>
    <definedName name="Codes">[2]Codes!$A$1:$A$22</definedName>
    <definedName name="lennox">[3]Sheet2!$A$2:$G$36</definedName>
    <definedName name="Material">[4]Sheet1!$A$2:$C$265</definedName>
    <definedName name="_xlnm.Print_Area" localSheetId="0">Summary!$A$1:$P$59</definedName>
  </definedNames>
  <calcPr calcId="191029" concurrentManualCount="12"/>
  <pivotCaches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63" i="9" l="1"/>
  <c r="P862" i="9"/>
  <c r="P861" i="9"/>
  <c r="P860" i="9"/>
  <c r="P859" i="9"/>
  <c r="P858" i="9"/>
  <c r="P857" i="9"/>
  <c r="P856" i="9"/>
  <c r="P855" i="9"/>
  <c r="P854" i="9"/>
  <c r="P853" i="9"/>
  <c r="P852" i="9"/>
  <c r="P851" i="9"/>
  <c r="P850" i="9"/>
  <c r="P849" i="9"/>
  <c r="P848" i="9"/>
  <c r="P847" i="9"/>
  <c r="P846" i="9"/>
  <c r="P845" i="9"/>
  <c r="P844" i="9"/>
  <c r="P843" i="9"/>
  <c r="P842" i="9"/>
  <c r="P841" i="9"/>
  <c r="P840" i="9"/>
  <c r="P839" i="9"/>
  <c r="P838" i="9"/>
  <c r="P837" i="9"/>
  <c r="P836" i="9"/>
  <c r="P835" i="9"/>
  <c r="P834" i="9"/>
  <c r="P833" i="9"/>
  <c r="P832" i="9"/>
  <c r="P831" i="9"/>
  <c r="P830" i="9"/>
  <c r="P829" i="9"/>
  <c r="P828" i="9"/>
  <c r="P827" i="9"/>
  <c r="P826" i="9"/>
  <c r="P825" i="9"/>
  <c r="P824" i="9"/>
  <c r="P823" i="9"/>
  <c r="P822" i="9"/>
  <c r="P821" i="9"/>
  <c r="P820" i="9"/>
  <c r="P819" i="9"/>
  <c r="P818" i="9"/>
  <c r="P817" i="9"/>
  <c r="P816" i="9"/>
  <c r="P815" i="9"/>
  <c r="P814" i="9"/>
  <c r="P813" i="9"/>
  <c r="P812" i="9"/>
  <c r="P811" i="9"/>
  <c r="P810" i="9"/>
  <c r="P809" i="9"/>
  <c r="P808" i="9"/>
  <c r="P807" i="9"/>
  <c r="P806" i="9"/>
  <c r="P805" i="9"/>
  <c r="P804" i="9"/>
  <c r="P803" i="9"/>
  <c r="P802" i="9"/>
  <c r="P801" i="9"/>
  <c r="P800" i="9"/>
  <c r="P799" i="9"/>
  <c r="P798" i="9"/>
  <c r="P797" i="9"/>
  <c r="P796" i="9"/>
  <c r="P795" i="9"/>
  <c r="P794" i="9"/>
  <c r="P793" i="9"/>
  <c r="P792" i="9"/>
  <c r="P791" i="9"/>
  <c r="P790" i="9"/>
  <c r="P789" i="9"/>
  <c r="P788" i="9"/>
  <c r="P787" i="9"/>
  <c r="P786" i="9"/>
  <c r="P785" i="9"/>
  <c r="P784" i="9"/>
  <c r="P783" i="9"/>
  <c r="P782" i="9"/>
  <c r="P781" i="9"/>
  <c r="P780" i="9"/>
  <c r="P779" i="9"/>
  <c r="P778" i="9"/>
  <c r="P777" i="9"/>
  <c r="P776" i="9"/>
  <c r="P775" i="9"/>
  <c r="P774" i="9"/>
  <c r="P773" i="9"/>
  <c r="P772" i="9"/>
  <c r="P771" i="9"/>
  <c r="P770" i="9"/>
  <c r="P769" i="9"/>
  <c r="P768" i="9"/>
  <c r="P767" i="9"/>
  <c r="P766" i="9"/>
  <c r="P765" i="9"/>
  <c r="P764" i="9"/>
  <c r="P763" i="9"/>
  <c r="P762" i="9"/>
  <c r="P761" i="9"/>
  <c r="P760" i="9"/>
  <c r="P759" i="9"/>
  <c r="P758" i="9"/>
  <c r="P757" i="9"/>
  <c r="P756" i="9"/>
  <c r="P755" i="9"/>
  <c r="P754" i="9"/>
  <c r="P753" i="9"/>
  <c r="P752" i="9"/>
  <c r="P751" i="9"/>
  <c r="P750" i="9"/>
  <c r="P749" i="9"/>
  <c r="P748" i="9"/>
  <c r="P747" i="9"/>
  <c r="P746" i="9"/>
  <c r="P745" i="9"/>
  <c r="P744" i="9"/>
  <c r="P743" i="9"/>
  <c r="P742" i="9"/>
  <c r="P741" i="9"/>
  <c r="P740" i="9"/>
  <c r="P739" i="9"/>
  <c r="P738" i="9"/>
  <c r="P737" i="9"/>
  <c r="P736" i="9"/>
  <c r="P735" i="9"/>
  <c r="P734" i="9"/>
  <c r="P733" i="9"/>
  <c r="P732" i="9"/>
  <c r="P731" i="9"/>
  <c r="P730" i="9"/>
  <c r="P729" i="9"/>
  <c r="P728" i="9"/>
  <c r="P727" i="9"/>
  <c r="P726" i="9"/>
  <c r="P725" i="9"/>
  <c r="P724" i="9"/>
  <c r="P723" i="9"/>
  <c r="P722" i="9"/>
  <c r="P721" i="9"/>
  <c r="P720" i="9"/>
  <c r="P719" i="9"/>
  <c r="P718" i="9"/>
  <c r="P717" i="9"/>
  <c r="P716" i="9"/>
  <c r="P715" i="9"/>
  <c r="P714" i="9"/>
  <c r="P713" i="9"/>
  <c r="P712" i="9"/>
  <c r="P711" i="9"/>
  <c r="P710" i="9"/>
  <c r="P709" i="9"/>
  <c r="P708" i="9"/>
  <c r="P707" i="9"/>
  <c r="P706" i="9"/>
  <c r="P705" i="9"/>
  <c r="P704" i="9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7" i="9"/>
  <c r="P686" i="9"/>
  <c r="P685" i="9"/>
  <c r="P684" i="9"/>
  <c r="P683" i="9"/>
  <c r="P682" i="9"/>
  <c r="P681" i="9"/>
  <c r="P680" i="9"/>
  <c r="P679" i="9"/>
  <c r="P678" i="9"/>
  <c r="P677" i="9"/>
  <c r="P676" i="9"/>
  <c r="P675" i="9"/>
  <c r="P674" i="9"/>
  <c r="P673" i="9"/>
  <c r="P672" i="9"/>
  <c r="P671" i="9"/>
  <c r="P670" i="9"/>
  <c r="P669" i="9"/>
  <c r="P668" i="9"/>
  <c r="P667" i="9"/>
  <c r="P666" i="9"/>
  <c r="P665" i="9"/>
  <c r="P664" i="9"/>
  <c r="P663" i="9"/>
  <c r="P662" i="9"/>
  <c r="P661" i="9"/>
  <c r="P660" i="9"/>
  <c r="P659" i="9"/>
  <c r="P658" i="9"/>
  <c r="P657" i="9"/>
  <c r="P656" i="9"/>
  <c r="P655" i="9"/>
  <c r="P654" i="9"/>
  <c r="P653" i="9"/>
  <c r="P652" i="9"/>
  <c r="P651" i="9"/>
  <c r="P650" i="9"/>
  <c r="P649" i="9"/>
  <c r="P648" i="9"/>
  <c r="P647" i="9"/>
  <c r="P646" i="9"/>
  <c r="P645" i="9"/>
  <c r="P644" i="9"/>
  <c r="P643" i="9"/>
  <c r="P642" i="9"/>
  <c r="P641" i="9"/>
  <c r="P640" i="9"/>
  <c r="P639" i="9"/>
  <c r="P638" i="9"/>
  <c r="P637" i="9"/>
  <c r="P636" i="9"/>
  <c r="P635" i="9"/>
  <c r="P634" i="9"/>
  <c r="P633" i="9"/>
  <c r="P632" i="9"/>
  <c r="P631" i="9"/>
  <c r="P630" i="9"/>
  <c r="P629" i="9"/>
  <c r="P628" i="9"/>
  <c r="P627" i="9"/>
  <c r="P626" i="9"/>
  <c r="P625" i="9"/>
  <c r="P624" i="9"/>
  <c r="P623" i="9"/>
  <c r="P622" i="9"/>
  <c r="P621" i="9"/>
  <c r="P620" i="9"/>
  <c r="P619" i="9"/>
  <c r="P618" i="9"/>
  <c r="P617" i="9"/>
  <c r="P616" i="9"/>
  <c r="P615" i="9"/>
  <c r="P614" i="9"/>
  <c r="P613" i="9"/>
  <c r="P612" i="9"/>
  <c r="P611" i="9"/>
  <c r="P610" i="9"/>
  <c r="P609" i="9"/>
  <c r="P608" i="9"/>
  <c r="P607" i="9"/>
  <c r="P606" i="9"/>
  <c r="P605" i="9"/>
  <c r="P604" i="9"/>
  <c r="P603" i="9"/>
  <c r="P602" i="9"/>
  <c r="P601" i="9"/>
  <c r="P600" i="9"/>
  <c r="P599" i="9"/>
  <c r="P598" i="9"/>
  <c r="P597" i="9"/>
  <c r="P596" i="9"/>
  <c r="P595" i="9"/>
  <c r="P594" i="9"/>
  <c r="P593" i="9"/>
  <c r="P592" i="9"/>
  <c r="P591" i="9"/>
  <c r="P590" i="9"/>
  <c r="P589" i="9"/>
  <c r="P588" i="9"/>
  <c r="P587" i="9"/>
  <c r="P586" i="9"/>
  <c r="P585" i="9"/>
  <c r="P584" i="9"/>
  <c r="P583" i="9"/>
  <c r="P582" i="9"/>
  <c r="P581" i="9"/>
  <c r="P580" i="9"/>
  <c r="P579" i="9"/>
  <c r="P578" i="9"/>
  <c r="P577" i="9"/>
  <c r="P576" i="9"/>
  <c r="P575" i="9"/>
  <c r="P574" i="9"/>
  <c r="P573" i="9"/>
  <c r="P572" i="9"/>
  <c r="P571" i="9"/>
  <c r="P570" i="9"/>
  <c r="P569" i="9"/>
  <c r="P568" i="9"/>
  <c r="P567" i="9"/>
  <c r="P566" i="9"/>
  <c r="P565" i="9"/>
  <c r="P564" i="9"/>
  <c r="P563" i="9"/>
  <c r="P562" i="9"/>
  <c r="P561" i="9"/>
  <c r="P560" i="9"/>
  <c r="P559" i="9"/>
  <c r="P558" i="9"/>
  <c r="P557" i="9"/>
  <c r="P556" i="9"/>
  <c r="P555" i="9"/>
  <c r="P554" i="9"/>
  <c r="P553" i="9"/>
  <c r="P552" i="9"/>
  <c r="P551" i="9"/>
  <c r="P550" i="9"/>
  <c r="P549" i="9"/>
  <c r="P548" i="9"/>
  <c r="P547" i="9"/>
  <c r="P546" i="9"/>
  <c r="P545" i="9"/>
  <c r="P544" i="9"/>
  <c r="P543" i="9"/>
  <c r="P542" i="9"/>
  <c r="P541" i="9"/>
  <c r="P540" i="9"/>
  <c r="P539" i="9"/>
  <c r="P538" i="9"/>
  <c r="P537" i="9"/>
  <c r="P536" i="9"/>
  <c r="P535" i="9"/>
  <c r="P534" i="9"/>
  <c r="P533" i="9"/>
  <c r="P532" i="9"/>
  <c r="P531" i="9"/>
  <c r="P530" i="9"/>
  <c r="P529" i="9"/>
  <c r="P528" i="9"/>
  <c r="P527" i="9"/>
  <c r="P526" i="9"/>
  <c r="P525" i="9"/>
  <c r="P524" i="9"/>
  <c r="P523" i="9"/>
  <c r="P522" i="9"/>
  <c r="P521" i="9"/>
  <c r="P520" i="9"/>
  <c r="P519" i="9"/>
  <c r="P518" i="9"/>
  <c r="P517" i="9"/>
  <c r="P516" i="9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02" i="9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4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P409" i="9"/>
  <c r="P408" i="9"/>
  <c r="P407" i="9"/>
  <c r="P406" i="9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328" i="9"/>
  <c r="P327" i="9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6" i="9"/>
  <c r="P255" i="9"/>
  <c r="P254" i="9"/>
  <c r="P253" i="9"/>
  <c r="P252" i="9"/>
  <c r="P251" i="9"/>
  <c r="P250" i="9"/>
  <c r="P249" i="9"/>
  <c r="P248" i="9"/>
  <c r="P247" i="9"/>
  <c r="P246" i="9"/>
  <c r="P245" i="9"/>
  <c r="P244" i="9"/>
  <c r="P243" i="9"/>
  <c r="P242" i="9"/>
  <c r="P241" i="9"/>
  <c r="P240" i="9"/>
  <c r="P239" i="9"/>
  <c r="P238" i="9"/>
  <c r="P237" i="9"/>
  <c r="P236" i="9"/>
  <c r="P235" i="9"/>
  <c r="P234" i="9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O863" i="9"/>
  <c r="N863" i="9"/>
  <c r="O862" i="9"/>
  <c r="N862" i="9"/>
  <c r="O861" i="9"/>
  <c r="N861" i="9"/>
  <c r="O860" i="9"/>
  <c r="N860" i="9"/>
  <c r="O859" i="9"/>
  <c r="N859" i="9"/>
  <c r="O858" i="9"/>
  <c r="N858" i="9"/>
  <c r="O857" i="9"/>
  <c r="N857" i="9"/>
  <c r="O856" i="9"/>
  <c r="N856" i="9"/>
  <c r="O855" i="9"/>
  <c r="N855" i="9"/>
  <c r="O854" i="9"/>
  <c r="N854" i="9"/>
  <c r="O853" i="9"/>
  <c r="N853" i="9"/>
  <c r="O852" i="9"/>
  <c r="N852" i="9"/>
  <c r="O851" i="9"/>
  <c r="N851" i="9"/>
  <c r="O850" i="9"/>
  <c r="N850" i="9"/>
  <c r="O849" i="9"/>
  <c r="N849" i="9"/>
  <c r="O848" i="9"/>
  <c r="N848" i="9"/>
  <c r="O847" i="9"/>
  <c r="N847" i="9"/>
  <c r="O846" i="9"/>
  <c r="N846" i="9"/>
  <c r="O845" i="9"/>
  <c r="N845" i="9"/>
  <c r="O844" i="9"/>
  <c r="N844" i="9"/>
  <c r="O843" i="9"/>
  <c r="N843" i="9"/>
  <c r="O842" i="9"/>
  <c r="N842" i="9"/>
  <c r="O841" i="9"/>
  <c r="N841" i="9"/>
  <c r="O840" i="9"/>
  <c r="N840" i="9"/>
  <c r="O839" i="9"/>
  <c r="N839" i="9"/>
  <c r="O838" i="9"/>
  <c r="N838" i="9"/>
  <c r="O837" i="9"/>
  <c r="N837" i="9"/>
  <c r="O836" i="9"/>
  <c r="N836" i="9"/>
  <c r="O835" i="9"/>
  <c r="N835" i="9"/>
  <c r="O834" i="9"/>
  <c r="N834" i="9"/>
  <c r="O833" i="9"/>
  <c r="N833" i="9"/>
  <c r="O832" i="9"/>
  <c r="N832" i="9"/>
  <c r="O831" i="9"/>
  <c r="N831" i="9"/>
  <c r="O830" i="9"/>
  <c r="N830" i="9"/>
  <c r="O829" i="9"/>
  <c r="N829" i="9"/>
  <c r="O828" i="9"/>
  <c r="N828" i="9"/>
  <c r="O827" i="9"/>
  <c r="N827" i="9"/>
  <c r="O826" i="9"/>
  <c r="N826" i="9"/>
  <c r="O825" i="9"/>
  <c r="N825" i="9"/>
  <c r="O824" i="9"/>
  <c r="N824" i="9"/>
  <c r="O823" i="9"/>
  <c r="N823" i="9"/>
  <c r="O822" i="9"/>
  <c r="N822" i="9"/>
  <c r="O821" i="9"/>
  <c r="N821" i="9"/>
  <c r="O820" i="9"/>
  <c r="N820" i="9"/>
  <c r="O819" i="9"/>
  <c r="N819" i="9"/>
  <c r="O818" i="9"/>
  <c r="N818" i="9"/>
  <c r="O817" i="9"/>
  <c r="N817" i="9"/>
  <c r="O816" i="9"/>
  <c r="N816" i="9"/>
  <c r="O815" i="9"/>
  <c r="N815" i="9"/>
  <c r="O814" i="9"/>
  <c r="N814" i="9"/>
  <c r="O813" i="9"/>
  <c r="N813" i="9"/>
  <c r="O812" i="9"/>
  <c r="N812" i="9"/>
  <c r="O811" i="9"/>
  <c r="N811" i="9"/>
  <c r="O810" i="9"/>
  <c r="N810" i="9"/>
  <c r="O809" i="9"/>
  <c r="N809" i="9"/>
  <c r="O808" i="9"/>
  <c r="N808" i="9"/>
  <c r="O807" i="9"/>
  <c r="N807" i="9"/>
  <c r="O806" i="9"/>
  <c r="N806" i="9"/>
  <c r="O805" i="9"/>
  <c r="N805" i="9"/>
  <c r="O804" i="9"/>
  <c r="N804" i="9"/>
  <c r="O803" i="9"/>
  <c r="N803" i="9"/>
  <c r="O802" i="9"/>
  <c r="N802" i="9"/>
  <c r="O801" i="9"/>
  <c r="N801" i="9"/>
  <c r="O800" i="9"/>
  <c r="N800" i="9"/>
  <c r="O799" i="9"/>
  <c r="N799" i="9"/>
  <c r="O798" i="9"/>
  <c r="N798" i="9"/>
  <c r="O797" i="9"/>
  <c r="N797" i="9"/>
  <c r="O796" i="9"/>
  <c r="N796" i="9"/>
  <c r="O795" i="9"/>
  <c r="N795" i="9"/>
  <c r="O794" i="9"/>
  <c r="N794" i="9"/>
  <c r="O793" i="9"/>
  <c r="N793" i="9"/>
  <c r="O792" i="9"/>
  <c r="N792" i="9"/>
  <c r="O791" i="9"/>
  <c r="N791" i="9"/>
  <c r="O790" i="9"/>
  <c r="N790" i="9"/>
  <c r="O789" i="9"/>
  <c r="N789" i="9"/>
  <c r="O788" i="9"/>
  <c r="N788" i="9"/>
  <c r="O787" i="9"/>
  <c r="N787" i="9"/>
  <c r="O786" i="9"/>
  <c r="N786" i="9"/>
  <c r="O785" i="9"/>
  <c r="N785" i="9"/>
  <c r="O784" i="9"/>
  <c r="N784" i="9"/>
  <c r="O783" i="9"/>
  <c r="N783" i="9"/>
  <c r="O782" i="9"/>
  <c r="N782" i="9"/>
  <c r="O781" i="9"/>
  <c r="N781" i="9"/>
  <c r="O780" i="9"/>
  <c r="N780" i="9"/>
  <c r="O779" i="9"/>
  <c r="N779" i="9"/>
  <c r="O778" i="9"/>
  <c r="N778" i="9"/>
  <c r="O777" i="9"/>
  <c r="N777" i="9"/>
  <c r="O776" i="9"/>
  <c r="N776" i="9"/>
  <c r="O775" i="9"/>
  <c r="N775" i="9"/>
  <c r="O774" i="9"/>
  <c r="N774" i="9"/>
  <c r="O773" i="9"/>
  <c r="N773" i="9"/>
  <c r="O772" i="9"/>
  <c r="N772" i="9"/>
  <c r="O771" i="9"/>
  <c r="N771" i="9"/>
  <c r="O770" i="9"/>
  <c r="N770" i="9"/>
  <c r="O769" i="9"/>
  <c r="N769" i="9"/>
  <c r="O768" i="9"/>
  <c r="N768" i="9"/>
  <c r="O767" i="9"/>
  <c r="N767" i="9"/>
  <c r="O766" i="9"/>
  <c r="N766" i="9"/>
  <c r="O765" i="9"/>
  <c r="N765" i="9"/>
  <c r="O764" i="9"/>
  <c r="N764" i="9"/>
  <c r="O763" i="9"/>
  <c r="N763" i="9"/>
  <c r="O762" i="9"/>
  <c r="N762" i="9"/>
  <c r="O761" i="9"/>
  <c r="N761" i="9"/>
  <c r="O760" i="9"/>
  <c r="N760" i="9"/>
  <c r="O759" i="9"/>
  <c r="N759" i="9"/>
  <c r="O758" i="9"/>
  <c r="N758" i="9"/>
  <c r="O757" i="9"/>
  <c r="N757" i="9"/>
  <c r="O756" i="9"/>
  <c r="N756" i="9"/>
  <c r="O755" i="9"/>
  <c r="N755" i="9"/>
  <c r="O754" i="9"/>
  <c r="N754" i="9"/>
  <c r="O753" i="9"/>
  <c r="N753" i="9"/>
  <c r="O752" i="9"/>
  <c r="N752" i="9"/>
  <c r="O751" i="9"/>
  <c r="N751" i="9"/>
  <c r="O750" i="9"/>
  <c r="N750" i="9"/>
  <c r="O749" i="9"/>
  <c r="N749" i="9"/>
  <c r="O748" i="9"/>
  <c r="N748" i="9"/>
  <c r="O747" i="9"/>
  <c r="N747" i="9"/>
  <c r="O746" i="9"/>
  <c r="N746" i="9"/>
  <c r="O745" i="9"/>
  <c r="N745" i="9"/>
  <c r="O744" i="9"/>
  <c r="N744" i="9"/>
  <c r="O743" i="9"/>
  <c r="N743" i="9"/>
  <c r="O742" i="9"/>
  <c r="N742" i="9"/>
  <c r="O741" i="9"/>
  <c r="N741" i="9"/>
  <c r="O740" i="9"/>
  <c r="N740" i="9"/>
  <c r="O739" i="9"/>
  <c r="N739" i="9"/>
  <c r="O738" i="9"/>
  <c r="N738" i="9"/>
  <c r="O737" i="9"/>
  <c r="N737" i="9"/>
  <c r="O736" i="9"/>
  <c r="N736" i="9"/>
  <c r="O735" i="9"/>
  <c r="N735" i="9"/>
  <c r="O734" i="9"/>
  <c r="N734" i="9"/>
  <c r="O733" i="9"/>
  <c r="N733" i="9"/>
  <c r="O732" i="9"/>
  <c r="N732" i="9"/>
  <c r="O731" i="9"/>
  <c r="N731" i="9"/>
  <c r="N12" i="5"/>
  <c r="N10" i="5"/>
  <c r="N5" i="5"/>
  <c r="O730" i="9"/>
  <c r="N730" i="9"/>
  <c r="O729" i="9"/>
  <c r="N729" i="9"/>
  <c r="O728" i="9"/>
  <c r="N728" i="9"/>
  <c r="O727" i="9"/>
  <c r="N727" i="9"/>
  <c r="O726" i="9"/>
  <c r="N726" i="9"/>
  <c r="O725" i="9"/>
  <c r="N725" i="9"/>
  <c r="O724" i="9"/>
  <c r="N724" i="9"/>
  <c r="O723" i="9"/>
  <c r="N723" i="9"/>
  <c r="O722" i="9"/>
  <c r="N722" i="9"/>
  <c r="O721" i="9"/>
  <c r="N721" i="9"/>
  <c r="O720" i="9"/>
  <c r="N720" i="9"/>
  <c r="O719" i="9"/>
  <c r="N719" i="9"/>
  <c r="O718" i="9"/>
  <c r="N718" i="9"/>
  <c r="O717" i="9"/>
  <c r="N717" i="9"/>
  <c r="O716" i="9"/>
  <c r="N716" i="9"/>
  <c r="O715" i="9"/>
  <c r="N715" i="9"/>
  <c r="O714" i="9"/>
  <c r="N714" i="9"/>
  <c r="O713" i="9"/>
  <c r="N713" i="9"/>
  <c r="O712" i="9"/>
  <c r="N712" i="9"/>
  <c r="O711" i="9"/>
  <c r="N711" i="9"/>
  <c r="O710" i="9"/>
  <c r="N710" i="9"/>
  <c r="O709" i="9"/>
  <c r="N709" i="9"/>
  <c r="O708" i="9"/>
  <c r="N708" i="9"/>
  <c r="O707" i="9"/>
  <c r="N707" i="9"/>
  <c r="O706" i="9"/>
  <c r="N706" i="9"/>
  <c r="O705" i="9"/>
  <c r="N705" i="9"/>
  <c r="O704" i="9"/>
  <c r="N704" i="9"/>
  <c r="O703" i="9"/>
  <c r="N703" i="9"/>
  <c r="O702" i="9"/>
  <c r="N702" i="9"/>
  <c r="O701" i="9"/>
  <c r="N701" i="9"/>
  <c r="O700" i="9"/>
  <c r="N700" i="9"/>
  <c r="O699" i="9"/>
  <c r="N699" i="9"/>
  <c r="O698" i="9"/>
  <c r="N698" i="9"/>
  <c r="O697" i="9"/>
  <c r="N697" i="9"/>
  <c r="O696" i="9"/>
  <c r="N696" i="9"/>
  <c r="O695" i="9"/>
  <c r="N695" i="9"/>
  <c r="O694" i="9"/>
  <c r="N694" i="9"/>
  <c r="O693" i="9"/>
  <c r="N693" i="9"/>
  <c r="O692" i="9"/>
  <c r="N692" i="9"/>
  <c r="O691" i="9"/>
  <c r="N691" i="9"/>
  <c r="O690" i="9"/>
  <c r="N690" i="9"/>
  <c r="O689" i="9"/>
  <c r="N689" i="9"/>
  <c r="O688" i="9"/>
  <c r="N688" i="9"/>
  <c r="O687" i="9"/>
  <c r="N687" i="9"/>
  <c r="O686" i="9"/>
  <c r="N686" i="9"/>
  <c r="O685" i="9"/>
  <c r="N685" i="9"/>
  <c r="O684" i="9"/>
  <c r="N684" i="9"/>
  <c r="O683" i="9"/>
  <c r="N683" i="9"/>
  <c r="O682" i="9"/>
  <c r="N682" i="9"/>
  <c r="O681" i="9"/>
  <c r="N681" i="9"/>
  <c r="O680" i="9"/>
  <c r="N680" i="9"/>
  <c r="O679" i="9"/>
  <c r="N679" i="9"/>
  <c r="O678" i="9"/>
  <c r="N678" i="9"/>
  <c r="O677" i="9"/>
  <c r="N677" i="9"/>
  <c r="O676" i="9"/>
  <c r="N676" i="9"/>
  <c r="O675" i="9"/>
  <c r="N675" i="9"/>
  <c r="O674" i="9"/>
  <c r="N674" i="9"/>
  <c r="O673" i="9"/>
  <c r="N673" i="9"/>
  <c r="O672" i="9"/>
  <c r="N672" i="9"/>
  <c r="O671" i="9"/>
  <c r="N671" i="9"/>
  <c r="O670" i="9"/>
  <c r="N670" i="9"/>
  <c r="O669" i="9"/>
  <c r="N669" i="9"/>
  <c r="O668" i="9"/>
  <c r="N668" i="9"/>
  <c r="O667" i="9"/>
  <c r="N667" i="9"/>
  <c r="O666" i="9"/>
  <c r="N666" i="9"/>
  <c r="O665" i="9"/>
  <c r="N665" i="9"/>
  <c r="O664" i="9"/>
  <c r="N664" i="9"/>
  <c r="O663" i="9"/>
  <c r="N663" i="9"/>
  <c r="O662" i="9"/>
  <c r="N662" i="9"/>
  <c r="O661" i="9"/>
  <c r="N661" i="9"/>
  <c r="O660" i="9"/>
  <c r="N660" i="9"/>
  <c r="O659" i="9"/>
  <c r="N659" i="9"/>
  <c r="O658" i="9"/>
  <c r="N658" i="9"/>
  <c r="O657" i="9"/>
  <c r="N657" i="9"/>
  <c r="O656" i="9"/>
  <c r="N656" i="9"/>
  <c r="O655" i="9"/>
  <c r="N655" i="9"/>
  <c r="O654" i="9"/>
  <c r="N654" i="9"/>
  <c r="O653" i="9"/>
  <c r="N653" i="9"/>
  <c r="O652" i="9"/>
  <c r="N652" i="9"/>
  <c r="O651" i="9"/>
  <c r="N651" i="9"/>
  <c r="O650" i="9"/>
  <c r="N650" i="9"/>
  <c r="O649" i="9"/>
  <c r="N649" i="9"/>
  <c r="O648" i="9"/>
  <c r="N648" i="9"/>
  <c r="O647" i="9"/>
  <c r="N647" i="9"/>
  <c r="O646" i="9"/>
  <c r="N646" i="9"/>
  <c r="O645" i="9"/>
  <c r="N645" i="9"/>
  <c r="O644" i="9"/>
  <c r="N644" i="9"/>
  <c r="O643" i="9"/>
  <c r="N643" i="9"/>
  <c r="O642" i="9"/>
  <c r="N642" i="9"/>
  <c r="O641" i="9"/>
  <c r="N641" i="9"/>
  <c r="O640" i="9"/>
  <c r="N640" i="9"/>
  <c r="O639" i="9"/>
  <c r="N639" i="9"/>
  <c r="O638" i="9"/>
  <c r="N638" i="9"/>
  <c r="O637" i="9"/>
  <c r="N637" i="9"/>
  <c r="O636" i="9"/>
  <c r="N636" i="9"/>
  <c r="O635" i="9"/>
  <c r="N635" i="9"/>
  <c r="O634" i="9"/>
  <c r="N634" i="9"/>
  <c r="O633" i="9"/>
  <c r="N633" i="9"/>
  <c r="O632" i="9"/>
  <c r="N632" i="9"/>
  <c r="O631" i="9"/>
  <c r="N631" i="9"/>
  <c r="O630" i="9"/>
  <c r="N630" i="9"/>
  <c r="O629" i="9"/>
  <c r="N629" i="9"/>
  <c r="O628" i="9"/>
  <c r="N628" i="9"/>
  <c r="O627" i="9"/>
  <c r="N627" i="9"/>
  <c r="O626" i="9"/>
  <c r="N626" i="9"/>
  <c r="O625" i="9"/>
  <c r="N625" i="9"/>
  <c r="O624" i="9"/>
  <c r="N624" i="9"/>
  <c r="O623" i="9"/>
  <c r="N623" i="9"/>
  <c r="O622" i="9"/>
  <c r="N622" i="9"/>
  <c r="O621" i="9"/>
  <c r="N621" i="9"/>
  <c r="O620" i="9"/>
  <c r="N620" i="9"/>
  <c r="O619" i="9"/>
  <c r="N619" i="9"/>
  <c r="O618" i="9"/>
  <c r="N618" i="9"/>
  <c r="O617" i="9"/>
  <c r="N617" i="9"/>
  <c r="O616" i="9"/>
  <c r="N616" i="9"/>
  <c r="O615" i="9"/>
  <c r="N615" i="9"/>
  <c r="O614" i="9"/>
  <c r="N614" i="9"/>
  <c r="O613" i="9"/>
  <c r="N613" i="9"/>
  <c r="O612" i="9"/>
  <c r="N612" i="9"/>
  <c r="O611" i="9"/>
  <c r="N611" i="9"/>
  <c r="O610" i="9"/>
  <c r="N610" i="9"/>
  <c r="O609" i="9"/>
  <c r="N609" i="9"/>
  <c r="O608" i="9"/>
  <c r="N608" i="9"/>
  <c r="O607" i="9"/>
  <c r="N607" i="9"/>
  <c r="O606" i="9"/>
  <c r="N606" i="9"/>
  <c r="O605" i="9"/>
  <c r="N605" i="9"/>
  <c r="O604" i="9"/>
  <c r="N604" i="9"/>
  <c r="O603" i="9"/>
  <c r="N603" i="9"/>
  <c r="O602" i="9"/>
  <c r="N602" i="9"/>
  <c r="O601" i="9"/>
  <c r="N601" i="9"/>
  <c r="O600" i="9"/>
  <c r="N600" i="9"/>
  <c r="O599" i="9"/>
  <c r="N599" i="9"/>
  <c r="O598" i="9"/>
  <c r="N598" i="9"/>
  <c r="O597" i="9"/>
  <c r="N597" i="9"/>
  <c r="O596" i="9"/>
  <c r="N596" i="9"/>
  <c r="O595" i="9"/>
  <c r="N595" i="9"/>
  <c r="O594" i="9"/>
  <c r="N594" i="9"/>
  <c r="O593" i="9"/>
  <c r="N593" i="9"/>
  <c r="O592" i="9"/>
  <c r="N592" i="9"/>
  <c r="O591" i="9"/>
  <c r="N591" i="9"/>
  <c r="O590" i="9"/>
  <c r="N590" i="9"/>
  <c r="O589" i="9"/>
  <c r="N589" i="9"/>
  <c r="O588" i="9"/>
  <c r="N588" i="9"/>
  <c r="O587" i="9"/>
  <c r="N587" i="9"/>
  <c r="O586" i="9"/>
  <c r="N586" i="9"/>
  <c r="O585" i="9"/>
  <c r="N585" i="9"/>
  <c r="O584" i="9"/>
  <c r="N584" i="9"/>
  <c r="O583" i="9"/>
  <c r="N583" i="9"/>
  <c r="O582" i="9"/>
  <c r="N582" i="9"/>
  <c r="O581" i="9"/>
  <c r="N581" i="9"/>
  <c r="O580" i="9"/>
  <c r="N580" i="9"/>
  <c r="O579" i="9"/>
  <c r="N579" i="9"/>
  <c r="O578" i="9"/>
  <c r="N578" i="9"/>
  <c r="O577" i="9"/>
  <c r="N577" i="9"/>
  <c r="O576" i="9"/>
  <c r="N576" i="9"/>
  <c r="O575" i="9"/>
  <c r="N575" i="9"/>
  <c r="O574" i="9"/>
  <c r="N574" i="9"/>
  <c r="O573" i="9"/>
  <c r="N573" i="9"/>
  <c r="O572" i="9"/>
  <c r="N572" i="9"/>
  <c r="O571" i="9"/>
  <c r="N571" i="9"/>
  <c r="O570" i="9"/>
  <c r="N570" i="9"/>
  <c r="O569" i="9"/>
  <c r="N569" i="9"/>
  <c r="O568" i="9"/>
  <c r="N568" i="9"/>
  <c r="O567" i="9"/>
  <c r="N567" i="9"/>
  <c r="O566" i="9"/>
  <c r="N566" i="9"/>
  <c r="O565" i="9"/>
  <c r="N565" i="9"/>
  <c r="O564" i="9"/>
  <c r="N564" i="9"/>
  <c r="O563" i="9"/>
  <c r="N563" i="9"/>
  <c r="O562" i="9"/>
  <c r="N562" i="9"/>
  <c r="O561" i="9"/>
  <c r="N561" i="9"/>
  <c r="O560" i="9"/>
  <c r="N560" i="9"/>
  <c r="O559" i="9"/>
  <c r="N559" i="9"/>
  <c r="O558" i="9"/>
  <c r="N558" i="9"/>
  <c r="O557" i="9"/>
  <c r="N557" i="9"/>
  <c r="O556" i="9"/>
  <c r="N556" i="9"/>
  <c r="O555" i="9"/>
  <c r="N555" i="9"/>
  <c r="N3" i="5"/>
  <c r="O554" i="9"/>
  <c r="N554" i="9"/>
  <c r="O553" i="9"/>
  <c r="N553" i="9"/>
  <c r="O552" i="9"/>
  <c r="N552" i="9"/>
  <c r="O551" i="9"/>
  <c r="N551" i="9"/>
  <c r="O550" i="9"/>
  <c r="N550" i="9"/>
  <c r="O549" i="9"/>
  <c r="N549" i="9"/>
  <c r="O548" i="9"/>
  <c r="N548" i="9"/>
  <c r="O547" i="9"/>
  <c r="N547" i="9"/>
  <c r="O546" i="9"/>
  <c r="N546" i="9"/>
  <c r="O545" i="9"/>
  <c r="N545" i="9"/>
  <c r="O544" i="9"/>
  <c r="N544" i="9"/>
  <c r="O543" i="9"/>
  <c r="N543" i="9"/>
  <c r="O542" i="9"/>
  <c r="N542" i="9"/>
  <c r="O541" i="9"/>
  <c r="N541" i="9"/>
  <c r="O540" i="9"/>
  <c r="N540" i="9"/>
  <c r="O539" i="9"/>
  <c r="N539" i="9"/>
  <c r="O538" i="9"/>
  <c r="N538" i="9"/>
  <c r="O537" i="9"/>
  <c r="N537" i="9"/>
  <c r="O536" i="9"/>
  <c r="N536" i="9"/>
  <c r="O535" i="9"/>
  <c r="N535" i="9"/>
  <c r="O534" i="9"/>
  <c r="N534" i="9"/>
  <c r="O533" i="9"/>
  <c r="N533" i="9"/>
  <c r="O532" i="9"/>
  <c r="N532" i="9"/>
  <c r="O531" i="9"/>
  <c r="N531" i="9"/>
  <c r="O530" i="9"/>
  <c r="N530" i="9"/>
  <c r="O529" i="9"/>
  <c r="N529" i="9"/>
  <c r="O528" i="9"/>
  <c r="N528" i="9"/>
  <c r="O527" i="9"/>
  <c r="N527" i="9"/>
  <c r="O526" i="9"/>
  <c r="N526" i="9"/>
  <c r="O525" i="9"/>
  <c r="N525" i="9"/>
  <c r="O524" i="9"/>
  <c r="N524" i="9"/>
  <c r="O523" i="9"/>
  <c r="N523" i="9"/>
  <c r="O522" i="9"/>
  <c r="N522" i="9"/>
  <c r="O521" i="9"/>
  <c r="N521" i="9"/>
  <c r="O520" i="9"/>
  <c r="N520" i="9"/>
  <c r="O519" i="9"/>
  <c r="N519" i="9"/>
  <c r="O518" i="9"/>
  <c r="N518" i="9"/>
  <c r="O517" i="9"/>
  <c r="N517" i="9"/>
  <c r="O516" i="9"/>
  <c r="N516" i="9"/>
  <c r="O515" i="9"/>
  <c r="N515" i="9"/>
  <c r="O514" i="9"/>
  <c r="N514" i="9"/>
  <c r="O513" i="9"/>
  <c r="N513" i="9"/>
  <c r="O512" i="9"/>
  <c r="N512" i="9"/>
  <c r="O511" i="9"/>
  <c r="N511" i="9"/>
  <c r="O510" i="9"/>
  <c r="N510" i="9"/>
  <c r="O509" i="9"/>
  <c r="N509" i="9"/>
  <c r="O508" i="9"/>
  <c r="N508" i="9"/>
  <c r="O507" i="9"/>
  <c r="N507" i="9"/>
  <c r="O506" i="9"/>
  <c r="N506" i="9"/>
  <c r="O505" i="9"/>
  <c r="N505" i="9"/>
  <c r="O504" i="9"/>
  <c r="N504" i="9"/>
  <c r="O503" i="9"/>
  <c r="N503" i="9"/>
  <c r="O502" i="9"/>
  <c r="N502" i="9"/>
  <c r="O501" i="9"/>
  <c r="N501" i="9"/>
  <c r="O500" i="9"/>
  <c r="N500" i="9"/>
  <c r="O499" i="9"/>
  <c r="N499" i="9"/>
  <c r="O498" i="9"/>
  <c r="N498" i="9"/>
  <c r="O497" i="9"/>
  <c r="N497" i="9"/>
  <c r="O496" i="9"/>
  <c r="N496" i="9"/>
  <c r="O495" i="9"/>
  <c r="N495" i="9"/>
  <c r="O494" i="9"/>
  <c r="N494" i="9"/>
  <c r="O493" i="9"/>
  <c r="N493" i="9"/>
  <c r="O492" i="9"/>
  <c r="N492" i="9"/>
  <c r="O491" i="9"/>
  <c r="N491" i="9"/>
  <c r="O490" i="9"/>
  <c r="N490" i="9"/>
  <c r="O489" i="9"/>
  <c r="N489" i="9"/>
  <c r="O488" i="9"/>
  <c r="N488" i="9"/>
  <c r="O487" i="9"/>
  <c r="N487" i="9"/>
  <c r="O486" i="9"/>
  <c r="N486" i="9"/>
  <c r="O485" i="9"/>
  <c r="N485" i="9"/>
  <c r="O484" i="9"/>
  <c r="N484" i="9"/>
  <c r="O483" i="9"/>
  <c r="N483" i="9"/>
  <c r="O482" i="9"/>
  <c r="N482" i="9"/>
  <c r="O481" i="9"/>
  <c r="N481" i="9"/>
  <c r="O480" i="9"/>
  <c r="N480" i="9"/>
  <c r="O479" i="9"/>
  <c r="N479" i="9"/>
  <c r="O478" i="9"/>
  <c r="N478" i="9"/>
  <c r="O477" i="9"/>
  <c r="N477" i="9"/>
  <c r="O476" i="9"/>
  <c r="N476" i="9"/>
  <c r="O475" i="9"/>
  <c r="N475" i="9"/>
  <c r="O474" i="9"/>
  <c r="N474" i="9"/>
  <c r="O473" i="9"/>
  <c r="N473" i="9"/>
  <c r="O472" i="9"/>
  <c r="N472" i="9"/>
  <c r="O471" i="9"/>
  <c r="N471" i="9"/>
  <c r="O470" i="9"/>
  <c r="N470" i="9"/>
  <c r="O469" i="9"/>
  <c r="N469" i="9"/>
  <c r="O468" i="9"/>
  <c r="N468" i="9"/>
  <c r="O467" i="9"/>
  <c r="N467" i="9"/>
  <c r="O466" i="9"/>
  <c r="N466" i="9"/>
  <c r="O465" i="9"/>
  <c r="N465" i="9"/>
  <c r="O464" i="9"/>
  <c r="N464" i="9"/>
  <c r="O463" i="9"/>
  <c r="N463" i="9"/>
  <c r="O462" i="9"/>
  <c r="N462" i="9"/>
  <c r="O461" i="9"/>
  <c r="N461" i="9"/>
  <c r="O460" i="9"/>
  <c r="N460" i="9"/>
  <c r="O459" i="9"/>
  <c r="N459" i="9"/>
  <c r="O458" i="9"/>
  <c r="N458" i="9"/>
  <c r="O457" i="9"/>
  <c r="N457" i="9"/>
  <c r="O456" i="9"/>
  <c r="N456" i="9"/>
  <c r="O455" i="9"/>
  <c r="N455" i="9"/>
  <c r="O454" i="9"/>
  <c r="N454" i="9"/>
  <c r="O453" i="9"/>
  <c r="N453" i="9"/>
  <c r="O452" i="9"/>
  <c r="N452" i="9"/>
  <c r="O451" i="9"/>
  <c r="N451" i="9"/>
  <c r="O450" i="9"/>
  <c r="N450" i="9"/>
  <c r="O449" i="9"/>
  <c r="N449" i="9"/>
  <c r="O448" i="9"/>
  <c r="N448" i="9"/>
  <c r="O447" i="9"/>
  <c r="N447" i="9"/>
  <c r="O446" i="9"/>
  <c r="N446" i="9"/>
  <c r="O445" i="9"/>
  <c r="N445" i="9"/>
  <c r="O444" i="9"/>
  <c r="N444" i="9"/>
  <c r="O443" i="9"/>
  <c r="N443" i="9"/>
  <c r="O442" i="9"/>
  <c r="N442" i="9"/>
  <c r="O441" i="9"/>
  <c r="N441" i="9"/>
  <c r="O440" i="9"/>
  <c r="N440" i="9"/>
  <c r="O439" i="9"/>
  <c r="N439" i="9"/>
  <c r="O438" i="9"/>
  <c r="N438" i="9"/>
  <c r="O437" i="9"/>
  <c r="N437" i="9"/>
  <c r="O436" i="9"/>
  <c r="N436" i="9"/>
  <c r="O435" i="9"/>
  <c r="N435" i="9"/>
  <c r="O434" i="9"/>
  <c r="N434" i="9"/>
  <c r="O433" i="9"/>
  <c r="N433" i="9"/>
  <c r="O432" i="9"/>
  <c r="N432" i="9"/>
  <c r="O431" i="9"/>
  <c r="N431" i="9"/>
  <c r="O430" i="9"/>
  <c r="N430" i="9"/>
  <c r="O429" i="9"/>
  <c r="N429" i="9"/>
  <c r="O428" i="9"/>
  <c r="N428" i="9"/>
  <c r="O427" i="9"/>
  <c r="N427" i="9"/>
  <c r="O426" i="9"/>
  <c r="N426" i="9"/>
  <c r="O425" i="9"/>
  <c r="N425" i="9"/>
  <c r="O424" i="9"/>
  <c r="N424" i="9"/>
  <c r="O423" i="9"/>
  <c r="N423" i="9"/>
  <c r="O422" i="9"/>
  <c r="N422" i="9"/>
  <c r="O421" i="9"/>
  <c r="N421" i="9"/>
  <c r="O420" i="9"/>
  <c r="N420" i="9"/>
  <c r="O419" i="9"/>
  <c r="N419" i="9"/>
  <c r="O418" i="9"/>
  <c r="N418" i="9"/>
  <c r="O417" i="9"/>
  <c r="N417" i="9"/>
  <c r="O416" i="9"/>
  <c r="N416" i="9"/>
  <c r="O415" i="9"/>
  <c r="N415" i="9"/>
  <c r="O414" i="9"/>
  <c r="N414" i="9"/>
  <c r="O413" i="9"/>
  <c r="N413" i="9"/>
  <c r="O412" i="9"/>
  <c r="N412" i="9"/>
  <c r="O411" i="9"/>
  <c r="N411" i="9"/>
  <c r="O410" i="9"/>
  <c r="N410" i="9"/>
  <c r="O409" i="9"/>
  <c r="N409" i="9"/>
  <c r="O408" i="9"/>
  <c r="N408" i="9"/>
  <c r="O407" i="9"/>
  <c r="N407" i="9"/>
  <c r="O406" i="9"/>
  <c r="N406" i="9"/>
  <c r="O405" i="9"/>
  <c r="N405" i="9"/>
  <c r="O404" i="9"/>
  <c r="N404" i="9"/>
  <c r="O403" i="9"/>
  <c r="N403" i="9"/>
  <c r="O402" i="9"/>
  <c r="N402" i="9"/>
  <c r="O401" i="9"/>
  <c r="N401" i="9"/>
  <c r="O400" i="9"/>
  <c r="N400" i="9"/>
  <c r="O399" i="9"/>
  <c r="N399" i="9"/>
  <c r="O398" i="9"/>
  <c r="N398" i="9"/>
  <c r="O397" i="9"/>
  <c r="N397" i="9"/>
  <c r="O396" i="9"/>
  <c r="N396" i="9"/>
  <c r="O395" i="9"/>
  <c r="N395" i="9"/>
  <c r="O394" i="9"/>
  <c r="N394" i="9"/>
  <c r="O393" i="9"/>
  <c r="N393" i="9"/>
  <c r="O392" i="9"/>
  <c r="N392" i="9"/>
  <c r="O391" i="9"/>
  <c r="N391" i="9"/>
  <c r="O390" i="9"/>
  <c r="N390" i="9"/>
  <c r="O389" i="9"/>
  <c r="N389" i="9"/>
  <c r="O388" i="9"/>
  <c r="N388" i="9"/>
  <c r="O387" i="9"/>
  <c r="N387" i="9"/>
  <c r="O386" i="9"/>
  <c r="N386" i="9"/>
  <c r="O385" i="9"/>
  <c r="N385" i="9"/>
  <c r="O384" i="9"/>
  <c r="N384" i="9"/>
  <c r="O383" i="9"/>
  <c r="N383" i="9"/>
  <c r="O382" i="9"/>
  <c r="N382" i="9"/>
  <c r="O381" i="9"/>
  <c r="N381" i="9"/>
  <c r="O380" i="9"/>
  <c r="N380" i="9"/>
  <c r="O379" i="9"/>
  <c r="N379" i="9"/>
  <c r="O378" i="9"/>
  <c r="N378" i="9"/>
  <c r="O377" i="9"/>
  <c r="N377" i="9"/>
  <c r="O376" i="9"/>
  <c r="N376" i="9"/>
  <c r="O375" i="9"/>
  <c r="N375" i="9"/>
  <c r="O374" i="9"/>
  <c r="N374" i="9"/>
  <c r="O373" i="9"/>
  <c r="N373" i="9"/>
  <c r="O372" i="9"/>
  <c r="N372" i="9"/>
  <c r="O371" i="9"/>
  <c r="N371" i="9"/>
  <c r="O370" i="9"/>
  <c r="N370" i="9"/>
  <c r="O369" i="9"/>
  <c r="N369" i="9"/>
  <c r="O368" i="9"/>
  <c r="N368" i="9"/>
  <c r="O367" i="9"/>
  <c r="N367" i="9"/>
  <c r="O366" i="9"/>
  <c r="N366" i="9"/>
  <c r="O365" i="9"/>
  <c r="N365" i="9"/>
  <c r="O364" i="9"/>
  <c r="N364" i="9"/>
  <c r="O363" i="9"/>
  <c r="N363" i="9"/>
  <c r="O362" i="9"/>
  <c r="N362" i="9"/>
  <c r="O361" i="9"/>
  <c r="N361" i="9"/>
  <c r="O360" i="9"/>
  <c r="N360" i="9"/>
  <c r="O359" i="9"/>
  <c r="N359" i="9"/>
  <c r="O358" i="9"/>
  <c r="N358" i="9"/>
  <c r="O357" i="9"/>
  <c r="N357" i="9"/>
  <c r="O356" i="9"/>
  <c r="N356" i="9"/>
  <c r="O355" i="9"/>
  <c r="N355" i="9"/>
  <c r="O354" i="9"/>
  <c r="N354" i="9"/>
  <c r="O353" i="9"/>
  <c r="N353" i="9"/>
  <c r="O352" i="9"/>
  <c r="N352" i="9"/>
  <c r="O351" i="9"/>
  <c r="N351" i="9"/>
  <c r="O350" i="9"/>
  <c r="N350" i="9"/>
  <c r="O349" i="9"/>
  <c r="N349" i="9"/>
  <c r="O348" i="9"/>
  <c r="N348" i="9"/>
  <c r="O347" i="9"/>
  <c r="N347" i="9"/>
  <c r="O346" i="9"/>
  <c r="N346" i="9"/>
  <c r="O345" i="9"/>
  <c r="N345" i="9"/>
  <c r="O344" i="9"/>
  <c r="N344" i="9"/>
  <c r="O343" i="9"/>
  <c r="N343" i="9"/>
  <c r="O342" i="9"/>
  <c r="N342" i="9"/>
  <c r="O341" i="9"/>
  <c r="N341" i="9"/>
  <c r="O340" i="9"/>
  <c r="N340" i="9"/>
  <c r="O339" i="9"/>
  <c r="N339" i="9"/>
  <c r="O338" i="9"/>
  <c r="N338" i="9"/>
  <c r="O337" i="9"/>
  <c r="N337" i="9"/>
  <c r="O336" i="9"/>
  <c r="N336" i="9"/>
  <c r="O335" i="9"/>
  <c r="N335" i="9"/>
  <c r="O334" i="9"/>
  <c r="N334" i="9"/>
  <c r="O333" i="9"/>
  <c r="N333" i="9"/>
  <c r="O332" i="9"/>
  <c r="N332" i="9"/>
  <c r="O331" i="9"/>
  <c r="N331" i="9"/>
  <c r="O330" i="9"/>
  <c r="N330" i="9"/>
  <c r="O329" i="9"/>
  <c r="N329" i="9"/>
  <c r="N178" i="9"/>
  <c r="O178" i="9"/>
  <c r="N179" i="9"/>
  <c r="O179" i="9"/>
  <c r="N180" i="9"/>
  <c r="O180" i="9"/>
  <c r="N181" i="9"/>
  <c r="O181" i="9"/>
  <c r="N182" i="9"/>
  <c r="O182" i="9"/>
  <c r="N183" i="9"/>
  <c r="O183" i="9"/>
  <c r="N184" i="9"/>
  <c r="O184" i="9"/>
  <c r="N185" i="9"/>
  <c r="O185" i="9"/>
  <c r="N186" i="9"/>
  <c r="O186" i="9"/>
  <c r="N187" i="9"/>
  <c r="O187" i="9"/>
  <c r="N188" i="9"/>
  <c r="O188" i="9"/>
  <c r="N189" i="9"/>
  <c r="O189" i="9"/>
  <c r="N190" i="9"/>
  <c r="O190" i="9"/>
  <c r="N191" i="9"/>
  <c r="O191" i="9"/>
  <c r="N192" i="9"/>
  <c r="O192" i="9"/>
  <c r="N193" i="9"/>
  <c r="O193" i="9"/>
  <c r="N194" i="9"/>
  <c r="O194" i="9"/>
  <c r="N195" i="9"/>
  <c r="O195" i="9"/>
  <c r="N196" i="9"/>
  <c r="O196" i="9"/>
  <c r="N197" i="9"/>
  <c r="O197" i="9"/>
  <c r="N198" i="9"/>
  <c r="O198" i="9"/>
  <c r="N199" i="9"/>
  <c r="O199" i="9"/>
  <c r="N200" i="9"/>
  <c r="O200" i="9"/>
  <c r="N201" i="9"/>
  <c r="O201" i="9"/>
  <c r="N202" i="9"/>
  <c r="O202" i="9"/>
  <c r="N203" i="9"/>
  <c r="O203" i="9"/>
  <c r="N204" i="9"/>
  <c r="O204" i="9"/>
  <c r="N205" i="9"/>
  <c r="O205" i="9"/>
  <c r="N206" i="9"/>
  <c r="O206" i="9"/>
  <c r="N207" i="9"/>
  <c r="O207" i="9"/>
  <c r="N208" i="9"/>
  <c r="O208" i="9"/>
  <c r="N209" i="9"/>
  <c r="O209" i="9"/>
  <c r="N210" i="9"/>
  <c r="O210" i="9"/>
  <c r="N211" i="9"/>
  <c r="O211" i="9"/>
  <c r="N212" i="9"/>
  <c r="O212" i="9"/>
  <c r="N213" i="9"/>
  <c r="O213" i="9"/>
  <c r="N214" i="9"/>
  <c r="O214" i="9"/>
  <c r="N215" i="9"/>
  <c r="O215" i="9"/>
  <c r="N216" i="9"/>
  <c r="O216" i="9"/>
  <c r="N217" i="9"/>
  <c r="O217" i="9"/>
  <c r="N218" i="9"/>
  <c r="O218" i="9"/>
  <c r="N219" i="9"/>
  <c r="O219" i="9"/>
  <c r="N220" i="9"/>
  <c r="O220" i="9"/>
  <c r="N221" i="9"/>
  <c r="O221" i="9"/>
  <c r="N222" i="9"/>
  <c r="O222" i="9"/>
  <c r="N223" i="9"/>
  <c r="O223" i="9"/>
  <c r="N224" i="9"/>
  <c r="O224" i="9"/>
  <c r="N225" i="9"/>
  <c r="O225" i="9"/>
  <c r="N226" i="9"/>
  <c r="O226" i="9"/>
  <c r="N227" i="9"/>
  <c r="O227" i="9"/>
  <c r="N228" i="9"/>
  <c r="O228" i="9"/>
  <c r="N229" i="9"/>
  <c r="O229" i="9"/>
  <c r="N230" i="9"/>
  <c r="O230" i="9"/>
  <c r="N231" i="9"/>
  <c r="O231" i="9"/>
  <c r="N232" i="9"/>
  <c r="O232" i="9"/>
  <c r="N233" i="9"/>
  <c r="O233" i="9"/>
  <c r="N234" i="9"/>
  <c r="O234" i="9"/>
  <c r="N235" i="9"/>
  <c r="O235" i="9"/>
  <c r="N236" i="9"/>
  <c r="O236" i="9"/>
  <c r="N237" i="9"/>
  <c r="O237" i="9"/>
  <c r="N238" i="9"/>
  <c r="O238" i="9"/>
  <c r="N239" i="9"/>
  <c r="O239" i="9"/>
  <c r="N240" i="9"/>
  <c r="O240" i="9"/>
  <c r="N241" i="9"/>
  <c r="O241" i="9"/>
  <c r="N242" i="9"/>
  <c r="O242" i="9"/>
  <c r="N243" i="9"/>
  <c r="O243" i="9"/>
  <c r="N244" i="9"/>
  <c r="O244" i="9"/>
  <c r="N245" i="9"/>
  <c r="O245" i="9"/>
  <c r="N246" i="9"/>
  <c r="O246" i="9"/>
  <c r="N247" i="9"/>
  <c r="O247" i="9"/>
  <c r="N248" i="9"/>
  <c r="O248" i="9"/>
  <c r="N249" i="9"/>
  <c r="O249" i="9"/>
  <c r="N250" i="9"/>
  <c r="O250" i="9"/>
  <c r="N251" i="9"/>
  <c r="O251" i="9"/>
  <c r="N252" i="9"/>
  <c r="O252" i="9"/>
  <c r="N253" i="9"/>
  <c r="O253" i="9"/>
  <c r="N254" i="9"/>
  <c r="O254" i="9"/>
  <c r="N255" i="9"/>
  <c r="O255" i="9"/>
  <c r="N256" i="9"/>
  <c r="O256" i="9"/>
  <c r="N257" i="9"/>
  <c r="O257" i="9"/>
  <c r="N258" i="9"/>
  <c r="O258" i="9"/>
  <c r="N259" i="9"/>
  <c r="O259" i="9"/>
  <c r="N260" i="9"/>
  <c r="O260" i="9"/>
  <c r="N261" i="9"/>
  <c r="O261" i="9"/>
  <c r="N262" i="9"/>
  <c r="O262" i="9"/>
  <c r="N263" i="9"/>
  <c r="O263" i="9"/>
  <c r="N264" i="9"/>
  <c r="O264" i="9"/>
  <c r="N265" i="9"/>
  <c r="O265" i="9"/>
  <c r="N266" i="9"/>
  <c r="O266" i="9"/>
  <c r="N267" i="9"/>
  <c r="O267" i="9"/>
  <c r="N268" i="9"/>
  <c r="O268" i="9"/>
  <c r="N269" i="9"/>
  <c r="O269" i="9"/>
  <c r="N270" i="9"/>
  <c r="O270" i="9"/>
  <c r="N271" i="9"/>
  <c r="O271" i="9"/>
  <c r="N272" i="9"/>
  <c r="O272" i="9"/>
  <c r="N273" i="9"/>
  <c r="O273" i="9"/>
  <c r="N274" i="9"/>
  <c r="O274" i="9"/>
  <c r="N275" i="9"/>
  <c r="O275" i="9"/>
  <c r="N276" i="9"/>
  <c r="O276" i="9"/>
  <c r="N277" i="9"/>
  <c r="O277" i="9"/>
  <c r="N278" i="9"/>
  <c r="O278" i="9"/>
  <c r="N279" i="9"/>
  <c r="O279" i="9"/>
  <c r="N280" i="9"/>
  <c r="O280" i="9"/>
  <c r="N281" i="9"/>
  <c r="O281" i="9"/>
  <c r="N282" i="9"/>
  <c r="O282" i="9"/>
  <c r="N283" i="9"/>
  <c r="O283" i="9"/>
  <c r="N284" i="9"/>
  <c r="O284" i="9"/>
  <c r="N285" i="9"/>
  <c r="O285" i="9"/>
  <c r="N286" i="9"/>
  <c r="O286" i="9"/>
  <c r="N287" i="9"/>
  <c r="O287" i="9"/>
  <c r="N288" i="9"/>
  <c r="O288" i="9"/>
  <c r="N289" i="9"/>
  <c r="O289" i="9"/>
  <c r="N290" i="9"/>
  <c r="O290" i="9"/>
  <c r="N291" i="9"/>
  <c r="O291" i="9"/>
  <c r="N292" i="9"/>
  <c r="O292" i="9"/>
  <c r="N293" i="9"/>
  <c r="O293" i="9"/>
  <c r="N294" i="9"/>
  <c r="O294" i="9"/>
  <c r="N295" i="9"/>
  <c r="O295" i="9"/>
  <c r="N296" i="9"/>
  <c r="O296" i="9"/>
  <c r="N297" i="9"/>
  <c r="O297" i="9"/>
  <c r="N298" i="9"/>
  <c r="O298" i="9"/>
  <c r="N299" i="9"/>
  <c r="O299" i="9"/>
  <c r="N300" i="9"/>
  <c r="O300" i="9"/>
  <c r="N301" i="9"/>
  <c r="O301" i="9"/>
  <c r="N302" i="9"/>
  <c r="O302" i="9"/>
  <c r="N303" i="9"/>
  <c r="O303" i="9"/>
  <c r="N304" i="9"/>
  <c r="O304" i="9"/>
  <c r="N305" i="9"/>
  <c r="O305" i="9"/>
  <c r="N306" i="9"/>
  <c r="O306" i="9"/>
  <c r="N307" i="9"/>
  <c r="O307" i="9"/>
  <c r="N308" i="9"/>
  <c r="O308" i="9"/>
  <c r="N309" i="9"/>
  <c r="O309" i="9"/>
  <c r="N310" i="9"/>
  <c r="O310" i="9"/>
  <c r="N311" i="9"/>
  <c r="O311" i="9"/>
  <c r="N312" i="9"/>
  <c r="O312" i="9"/>
  <c r="N313" i="9"/>
  <c r="O313" i="9"/>
  <c r="N314" i="9"/>
  <c r="O314" i="9"/>
  <c r="N315" i="9"/>
  <c r="O315" i="9"/>
  <c r="N316" i="9"/>
  <c r="O316" i="9"/>
  <c r="N317" i="9"/>
  <c r="O317" i="9"/>
  <c r="N318" i="9"/>
  <c r="O318" i="9"/>
  <c r="N319" i="9"/>
  <c r="O319" i="9"/>
  <c r="N320" i="9"/>
  <c r="O320" i="9"/>
  <c r="N321" i="9"/>
  <c r="O321" i="9"/>
  <c r="N322" i="9"/>
  <c r="O322" i="9"/>
  <c r="N323" i="9"/>
  <c r="O323" i="9"/>
  <c r="N324" i="9"/>
  <c r="O324" i="9"/>
  <c r="N325" i="9"/>
  <c r="O325" i="9"/>
  <c r="N326" i="9"/>
  <c r="O326" i="9"/>
  <c r="N327" i="9"/>
  <c r="O327" i="9"/>
  <c r="N328" i="9"/>
  <c r="O328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O177" i="9"/>
  <c r="O176" i="9"/>
  <c r="O175" i="9"/>
  <c r="O174" i="9"/>
  <c r="O173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60" i="9"/>
  <c r="O159" i="9"/>
  <c r="O158" i="9"/>
  <c r="O157" i="9"/>
  <c r="O156" i="9"/>
  <c r="O155" i="9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N11" i="5"/>
  <c r="O11" i="5"/>
  <c r="N2" i="5"/>
  <c r="N4" i="5"/>
  <c r="P4" i="5"/>
  <c r="B6" i="5"/>
  <c r="C6" i="5"/>
  <c r="D6" i="5"/>
  <c r="E6" i="5"/>
  <c r="F6" i="5"/>
  <c r="G6" i="5"/>
  <c r="H6" i="5"/>
  <c r="I6" i="5"/>
  <c r="J6" i="5"/>
  <c r="K6" i="5"/>
  <c r="L6" i="5"/>
  <c r="M6" i="5"/>
  <c r="N9" i="5"/>
  <c r="B13" i="5"/>
  <c r="C13" i="5"/>
  <c r="D13" i="5"/>
  <c r="E13" i="5"/>
  <c r="F13" i="5"/>
  <c r="G13" i="5"/>
  <c r="H13" i="5"/>
  <c r="I13" i="5"/>
  <c r="J13" i="5"/>
  <c r="K13" i="5"/>
  <c r="L13" i="5"/>
  <c r="M13" i="5"/>
  <c r="O4" i="5"/>
  <c r="P11" i="5"/>
</calcChain>
</file>

<file path=xl/sharedStrings.xml><?xml version="1.0" encoding="utf-8"?>
<sst xmlns="http://schemas.openxmlformats.org/spreadsheetml/2006/main" count="8403" uniqueCount="1823">
  <si>
    <t>Product Type</t>
  </si>
  <si>
    <t>Change Percent</t>
  </si>
  <si>
    <t xml:space="preserve"> </t>
  </si>
  <si>
    <t>YTD Totals</t>
  </si>
  <si>
    <t>Dec.</t>
  </si>
  <si>
    <t>Nov</t>
  </si>
  <si>
    <t>Oct</t>
  </si>
  <si>
    <t>Sept</t>
  </si>
  <si>
    <t>Aug</t>
  </si>
  <si>
    <t>July</t>
  </si>
  <si>
    <t>June</t>
  </si>
  <si>
    <t>May</t>
  </si>
  <si>
    <t>Apr.</t>
  </si>
  <si>
    <t>Mar.</t>
  </si>
  <si>
    <t>Feb.</t>
  </si>
  <si>
    <t>Jan.</t>
  </si>
  <si>
    <t>Change Dollars</t>
  </si>
  <si>
    <t>$</t>
  </si>
  <si>
    <t>HP 200</t>
  </si>
  <si>
    <t>HP 100</t>
  </si>
  <si>
    <t>CP 083</t>
  </si>
  <si>
    <t>CP 106</t>
  </si>
  <si>
    <t>VP 410</t>
  </si>
  <si>
    <t>CP 105</t>
  </si>
  <si>
    <t>Net Sales 2011</t>
  </si>
  <si>
    <t>Net Sales 2012</t>
  </si>
  <si>
    <t>Sales Employee Desc</t>
  </si>
  <si>
    <t>Sales Employee #</t>
  </si>
  <si>
    <t>Sold-to party #</t>
  </si>
  <si>
    <t>Sold-to party desc</t>
  </si>
  <si>
    <t>Material desc</t>
  </si>
  <si>
    <t>Material #</t>
  </si>
  <si>
    <t>Grand Total</t>
  </si>
  <si>
    <t>Sold to # &amp; Name</t>
  </si>
  <si>
    <t>Mat # &amp; Name</t>
  </si>
  <si>
    <t>Ship-To Party #</t>
  </si>
  <si>
    <t>Ship-To Party Name</t>
  </si>
  <si>
    <t>Ship-To Party # &amp; Name</t>
  </si>
  <si>
    <t>CP 631</t>
  </si>
  <si>
    <t>YD 2011</t>
  </si>
  <si>
    <t>YD 2012</t>
  </si>
  <si>
    <r>
      <t>YD</t>
    </r>
    <r>
      <rPr>
        <sz val="22"/>
        <color theme="1"/>
        <rFont val="Times New Roman"/>
        <family val="1"/>
      </rPr>
      <t>²</t>
    </r>
  </si>
  <si>
    <r>
      <t>Change Yd</t>
    </r>
    <r>
      <rPr>
        <sz val="12"/>
        <color theme="1"/>
        <rFont val="Calibri"/>
        <family val="2"/>
      </rPr>
      <t>²</t>
    </r>
  </si>
  <si>
    <t/>
  </si>
  <si>
    <t>Sold To  -  Ship To  -  Product Type  -  Material</t>
  </si>
  <si>
    <t>Commissionable Sales 2014</t>
  </si>
  <si>
    <t>Commissionable Sales 2015</t>
  </si>
  <si>
    <t>Shipped Qty YD2 2014</t>
  </si>
  <si>
    <t>Shipped Qty YD2 2015</t>
  </si>
  <si>
    <t>HP 100 CLR-48mm x 100m-36 rls/cs-S</t>
  </si>
  <si>
    <t>HP 200 CLR-48mm x 100m-36 rls/cs-S</t>
  </si>
  <si>
    <t>CP 631 RED-18mm x 55m-48 rls/cs-H</t>
  </si>
  <si>
    <t>PC 609</t>
  </si>
  <si>
    <t>CP 106 NAT-48mm x 55m-24 rls/cs-S</t>
  </si>
  <si>
    <t>CP 66L</t>
  </si>
  <si>
    <t>AP 201</t>
  </si>
  <si>
    <t>AP 101</t>
  </si>
  <si>
    <t>AP 101 CLR-48mm x 100m-36 rls/cs-S</t>
  </si>
  <si>
    <t>HP 400</t>
  </si>
  <si>
    <t>GS 490</t>
  </si>
  <si>
    <t>HP 200 CLR-72mm x 100m-24 rls/cs-S</t>
  </si>
  <si>
    <t>HP 500</t>
  </si>
  <si>
    <t>HP 300</t>
  </si>
  <si>
    <t>AP 180</t>
  </si>
  <si>
    <t>AP 180 CLR-48mm x 100m-36 rls/cs-H/A</t>
  </si>
  <si>
    <t>FP 097</t>
  </si>
  <si>
    <t>FP 097 KFT-48mm x 55m-24 rls/cs-H/A</t>
  </si>
  <si>
    <t>FP 115</t>
  </si>
  <si>
    <t>STEPHEN COBB (I)</t>
  </si>
  <si>
    <t>FP 115 BRN-48mm x 55m-24 rls/cs-H</t>
  </si>
  <si>
    <t>HP 235</t>
  </si>
  <si>
    <t>BARRY KAPLE (I)</t>
  </si>
  <si>
    <t>DT 200</t>
  </si>
  <si>
    <t>Product Type  -  Material</t>
  </si>
  <si>
    <t>AP 180 CLR-72mm x 100m-24 rls/cs-H/A</t>
  </si>
  <si>
    <t>HP 200 CLR-53mm x 1371m-6 rls/cs-H</t>
  </si>
  <si>
    <t>HP 132</t>
  </si>
  <si>
    <t>AP 201 CLR-72mm x 100m-24 rls/cs-H/A</t>
  </si>
  <si>
    <t>FP 115 BRN-72mm x 55m-16 rls/cs-H</t>
  </si>
  <si>
    <t>HP 232</t>
  </si>
  <si>
    <t>HP 232 CLR-48mm x 914m-6 rls/cs-H/A</t>
  </si>
  <si>
    <t>HP 300 CLR-48mm x 100m-36 rls/cs-H/A</t>
  </si>
  <si>
    <t>HP 200 ORG-48mm x 914m-6 rls/cs-H</t>
  </si>
  <si>
    <t>HP 200 TAN-48mm x 914m-6 rls/cs-H</t>
  </si>
  <si>
    <t>HP 240</t>
  </si>
  <si>
    <t>HP 200 CLR-48mm x 1500m-6 rls/cs-H</t>
  </si>
  <si>
    <t>HP 200 CLR-48mm x 914m-6 rls/cs-S</t>
  </si>
  <si>
    <t>HP 100 CLR-48mm x 914m-6 rls/cs-S</t>
  </si>
  <si>
    <t>CP 450</t>
  </si>
  <si>
    <t>HP 300 CLR-72mm x 914m-4 rls/cs-H</t>
  </si>
  <si>
    <t>HP 232 CLR-72mm x 914m-4 rls/cs-H/A</t>
  </si>
  <si>
    <t>HP 200 CLR-48mm x 1828m-6 rls/cs-S</t>
  </si>
  <si>
    <t>HP 400 CLR-72mm x 914m-4 rls/cs-H/A</t>
  </si>
  <si>
    <t>ASSOCIATED PKG/CA STOCKTON</t>
  </si>
  <si>
    <t>HP 100 CLR-72mm x 914m-4 rls/cs-S</t>
  </si>
  <si>
    <t>ASSOCIATED PKG/UT SALT LAKE CITY</t>
  </si>
  <si>
    <t>AP 201 CLR-48mm x 914m-6 rls/cs-H/A</t>
  </si>
  <si>
    <t>HEMASOURCE</t>
  </si>
  <si>
    <t>AP 201 CLR-48mm x 100m-36 rls/cs-H/A</t>
  </si>
  <si>
    <t>MATT HUGHES (I)</t>
  </si>
  <si>
    <t>ASSOCIATED PKG/CA SANTA FE SPRINGS</t>
  </si>
  <si>
    <t>CP 083 NAT-48mm x 55m-24 rls/cs-S</t>
  </si>
  <si>
    <t>HP 100 CLR-72mm x 100m-24 rls/cs-S</t>
  </si>
  <si>
    <t>HP 100 CLR-72mm x 1371m-4 rls/cs-H/T</t>
  </si>
  <si>
    <t>HP 100 CLR-53mm x 1500m-6 rls/cs-S</t>
  </si>
  <si>
    <t>AP 180 CLR-72mm x 1371m-4 rls/cs-H</t>
  </si>
  <si>
    <t>GLOBAL HARVEST FOODS</t>
  </si>
  <si>
    <t>RICH PRODUCTS</t>
  </si>
  <si>
    <t>ASSOCIATED PKG/KY LOUISVILLE</t>
  </si>
  <si>
    <t>WP 100</t>
  </si>
  <si>
    <t>ASSOCIATED PKG/TN GALLATIN</t>
  </si>
  <si>
    <t>CP 66L NAT-4in x 240yd-3 rls/cs-H</t>
  </si>
  <si>
    <t>WP 100 NAT-72mmx138m(450ft)-10rls/cs-H/A</t>
  </si>
  <si>
    <t>JOHNS MANVILLE</t>
  </si>
  <si>
    <t>DREW FOAM OF TENNESSEE</t>
  </si>
  <si>
    <t>VALLEN DISTRIBUTION</t>
  </si>
  <si>
    <t>ASSOCIATED PKG/TN MEMPHIS</t>
  </si>
  <si>
    <t>HP 100 CLR-72mm x 1500m-4 rls/cs-H/T</t>
  </si>
  <si>
    <t>HP 300 CLR-72mm x 100m-24 RLS/CS-H</t>
  </si>
  <si>
    <t>PC 609 SIL-48mm x 55m-24 rls/cs-H/A</t>
  </si>
  <si>
    <t>ASSOCIATED PKG/FL TAMPA</t>
  </si>
  <si>
    <t>M &amp; B PRODUCTS INC</t>
  </si>
  <si>
    <t>BADIA SPICE</t>
  </si>
  <si>
    <t>SIEMENS ENERGY</t>
  </si>
  <si>
    <t>ASSOCIATED PKG/GA DOUGLASVILLE</t>
  </si>
  <si>
    <t>TENAX MFG AL LLC</t>
  </si>
  <si>
    <t>EMMAUS FOODS</t>
  </si>
  <si>
    <t>ASSOCIATED PKG/NC STATESVILLE</t>
  </si>
  <si>
    <t>ROBERTSON MARKETING GROUP</t>
  </si>
  <si>
    <t>HP 400 CLR-72mm x 100m-24 rls/cs-H/A</t>
  </si>
  <si>
    <t>CAMRETT LOGISTICS</t>
  </si>
  <si>
    <t>ASSOCIATED PKG/TX MESQUITE</t>
  </si>
  <si>
    <t>HP 240 WR STOP-48mm x 100m-36 rls/cs-H</t>
  </si>
  <si>
    <t>DAISY BRAND</t>
  </si>
  <si>
    <t>CP 105 NAT-12mm x 55m-72 rls/cs-H</t>
  </si>
  <si>
    <t>3838 ASSOCIATED PKG/NC STATESVILLE</t>
  </si>
  <si>
    <t>6517 ASSOCIATED PKG/TN GALLATIN</t>
  </si>
  <si>
    <t>7841 ASSOCIATED PKG/TN MEMPHIS</t>
  </si>
  <si>
    <t>16650 ASSOCIATED PKG/TX MESQUITE</t>
  </si>
  <si>
    <t>7834 ASSOCIATED PKG/FL TAMPA</t>
  </si>
  <si>
    <t>24667 ASSOCIATED PKG/CA SANTA FE SPRINGS</t>
  </si>
  <si>
    <t>708536 ASSOCIATED PKG/KY LOUISVILLE</t>
  </si>
  <si>
    <t>34939 ASSOCIATED PKG/UT SALT LAKE CITY</t>
  </si>
  <si>
    <t>27368 ASSOCIATED PKG/CA STOCKTON</t>
  </si>
  <si>
    <t>7839 ASSOCIATED PKG/GA DOUGLASVILLE</t>
  </si>
  <si>
    <t>HP 100 CLR-48mm x 1371m-6 rls/cs- S</t>
  </si>
  <si>
    <t>HP 200 CLR-48mm x 200m-36 rls/cs-H</t>
  </si>
  <si>
    <t>AP 401</t>
  </si>
  <si>
    <t>HP 232 CLR-48mm x 1371m-6 rls/cs-H/T</t>
  </si>
  <si>
    <t>HP 200 GRN-48mm x 914m-6 rls/cs-H/A</t>
  </si>
  <si>
    <t>HP 235 CLR-72mm x 1371m-4 rls/cs-H</t>
  </si>
  <si>
    <t>MID STATE WAREHOUSE FOR RICH PRODUC</t>
  </si>
  <si>
    <t>FP 097 KFT-72mm x 55m-16 rls/cs-H/A</t>
  </si>
  <si>
    <t>HP 132 CLR-72mm x 100m-24 rls/cs-H</t>
  </si>
  <si>
    <t>HP 500 CLR-72mm x 50m-24 rls/cs-H/A</t>
  </si>
  <si>
    <t>CHEWY.COM (PHX)</t>
  </si>
  <si>
    <t>ALLSTATES WAREHOUSE AND DIST (WFC)</t>
  </si>
  <si>
    <t>HP 200 CLR-48mm x 1371m-6 rls/cs-S</t>
  </si>
  <si>
    <t>HP 200 CLR-72mm x 914m-4 rls/cs-S</t>
  </si>
  <si>
    <t>THE COMPLETE LOGISTICS CO</t>
  </si>
  <si>
    <t>HP 500 CLR-72mm x 914m-4 rls/cs-S</t>
  </si>
  <si>
    <t>ASSOCIATED PKG FOR CHEWY.COM (DFW)</t>
  </si>
  <si>
    <t>ASSOCIATED PKG FOR CHEWY.COM (CFC)</t>
  </si>
  <si>
    <t>ASSOCIATED PKG FOR CHEWY.COM (MCO)</t>
  </si>
  <si>
    <t>LEHIGH VALLEY LOGISTICS (AVP)</t>
  </si>
  <si>
    <t>BERRY GLOBAL FILMS</t>
  </si>
  <si>
    <t>ASSOCIATED PKG FOR JM SMUCKERS</t>
  </si>
  <si>
    <t>TURANO FLORIDA BUN LLC</t>
  </si>
  <si>
    <t>CP 106 NAT-12mm x 55m-72 rls/cs-H/A</t>
  </si>
  <si>
    <t>HUHTAMAKI ANDALUSIA PLANT A7</t>
  </si>
  <si>
    <t>ASSOCIATED PKG FOR GOLDEN STATE</t>
  </si>
  <si>
    <t>HP 300 CLR-48mm x 914m-6 rls/cs-H</t>
  </si>
  <si>
    <t>CHEF MINUTE MEALS</t>
  </si>
  <si>
    <t>FRY KRISP FOOD PRODUCTS</t>
  </si>
  <si>
    <t>EXPRESS PACKAGING</t>
  </si>
  <si>
    <t>711137 GLOBAL HARVEST FOODS</t>
  </si>
  <si>
    <t>732105 FRY KRISP FOOD PRODUCTS</t>
  </si>
  <si>
    <t>708538 MID STATE WAREHOUSE FOR RICH PRODUC</t>
  </si>
  <si>
    <t>704147 BERRY GLOBAL FILMS</t>
  </si>
  <si>
    <t>734030 ASSOCIATED PKG FOR CHEWY.COM (CFC)</t>
  </si>
  <si>
    <t>734044 LEHIGH VALLEY LOGISTICS (AVP)</t>
  </si>
  <si>
    <t>734031 ASSOCIATED PKG FOR CHEWY.COM (MCO)</t>
  </si>
  <si>
    <t>733912 CHEWY.COM (PHX)</t>
  </si>
  <si>
    <t>14140 ALLSTATES WAREHOUSE AND DIST (WFC)</t>
  </si>
  <si>
    <t>734029 ASSOCIATED PKG FOR CHEWY.COM (DFW)</t>
  </si>
  <si>
    <t>46217 JOHNS MANVILLE</t>
  </si>
  <si>
    <t>722376 VALLEN DISTRIBUTION</t>
  </si>
  <si>
    <t>723353 EMMAUS FOODS</t>
  </si>
  <si>
    <t>15492 M &amp; B PRODUCTS INC</t>
  </si>
  <si>
    <t>84691 CAMRETT LOGISTICS</t>
  </si>
  <si>
    <t>724391 BADIA SPICE</t>
  </si>
  <si>
    <t>27825 ROBERTSON MARKETING GROUP</t>
  </si>
  <si>
    <t>79379 TENAX MFG AL LLC</t>
  </si>
  <si>
    <t>728865 SIEMENS ENERGY</t>
  </si>
  <si>
    <t>713244 ASSOCIATED PKG FOR GOLDEN STATE</t>
  </si>
  <si>
    <t>734762 THE COMPLETE LOGISTICS CO</t>
  </si>
  <si>
    <t>708579 HUHTAMAKI ANDALUSIA PLANT A7</t>
  </si>
  <si>
    <t>717594 ASSOCIATED PKG FOR JM SMUCKERS</t>
  </si>
  <si>
    <t>734583 CHEF MINUTE MEALS</t>
  </si>
  <si>
    <t>735533 TURANO FLORIDA BUN LLC</t>
  </si>
  <si>
    <t>721581 RICH PRODUCTS</t>
  </si>
  <si>
    <t>Ship To  -  Product Type  -  Material</t>
  </si>
  <si>
    <t>DOTERRA</t>
  </si>
  <si>
    <t>34558 EXPRESS PACKAGING</t>
  </si>
  <si>
    <t>SD 934</t>
  </si>
  <si>
    <t>SD 935</t>
  </si>
  <si>
    <t>KENNESAW FRUIT &amp; JUICE</t>
  </si>
  <si>
    <t>711402 KENNESAW FRUIT &amp; JUICE</t>
  </si>
  <si>
    <t>JM SMUCKERS COMPANY</t>
  </si>
  <si>
    <t>721758 RICH PRODUCTS</t>
  </si>
  <si>
    <t>17</t>
  </si>
  <si>
    <t>27368</t>
  </si>
  <si>
    <t>208492</t>
  </si>
  <si>
    <t>208511</t>
  </si>
  <si>
    <t>208496</t>
  </si>
  <si>
    <t>207149</t>
  </si>
  <si>
    <t>100404</t>
  </si>
  <si>
    <t>129199</t>
  </si>
  <si>
    <t>136221</t>
  </si>
  <si>
    <t>207233</t>
  </si>
  <si>
    <t>100053</t>
  </si>
  <si>
    <t>208470</t>
  </si>
  <si>
    <t>195553</t>
  </si>
  <si>
    <t>101230</t>
  </si>
  <si>
    <t>231044</t>
  </si>
  <si>
    <t>101008</t>
  </si>
  <si>
    <t>230962</t>
  </si>
  <si>
    <t>18</t>
  </si>
  <si>
    <t>34939</t>
  </si>
  <si>
    <t>230964</t>
  </si>
  <si>
    <t>903000</t>
  </si>
  <si>
    <t>909535</t>
  </si>
  <si>
    <t>208494</t>
  </si>
  <si>
    <t>207142</t>
  </si>
  <si>
    <t>101330</t>
  </si>
  <si>
    <t>230963</t>
  </si>
  <si>
    <t>207845</t>
  </si>
  <si>
    <t>28</t>
  </si>
  <si>
    <t>6517</t>
  </si>
  <si>
    <t>230982</t>
  </si>
  <si>
    <t>209420</t>
  </si>
  <si>
    <t>104663</t>
  </si>
  <si>
    <t>207194</t>
  </si>
  <si>
    <t>208453</t>
  </si>
  <si>
    <t>208465</t>
  </si>
  <si>
    <t>207870</t>
  </si>
  <si>
    <t>208532</t>
  </si>
  <si>
    <t>100962</t>
  </si>
  <si>
    <t>208761</t>
  </si>
  <si>
    <t>208529</t>
  </si>
  <si>
    <t>208429</t>
  </si>
  <si>
    <t>46217</t>
  </si>
  <si>
    <t>101073</t>
  </si>
  <si>
    <t>104675</t>
  </si>
  <si>
    <t>717594</t>
  </si>
  <si>
    <t>207871</t>
  </si>
  <si>
    <t>722376</t>
  </si>
  <si>
    <t>101428</t>
  </si>
  <si>
    <t>734583</t>
  </si>
  <si>
    <t>7841</t>
  </si>
  <si>
    <t>178949</t>
  </si>
  <si>
    <t>104315</t>
  </si>
  <si>
    <t>208558</t>
  </si>
  <si>
    <t>207423</t>
  </si>
  <si>
    <t>101072</t>
  </si>
  <si>
    <t>100052</t>
  </si>
  <si>
    <t>721581</t>
  </si>
  <si>
    <t>39</t>
  </si>
  <si>
    <t>24667</t>
  </si>
  <si>
    <t>231045</t>
  </si>
  <si>
    <t>101536</t>
  </si>
  <si>
    <t>708617</t>
  </si>
  <si>
    <t>734762</t>
  </si>
  <si>
    <t>708536</t>
  </si>
  <si>
    <t>34558</t>
  </si>
  <si>
    <t>201324</t>
  </si>
  <si>
    <t>101686</t>
  </si>
  <si>
    <t>231051</t>
  </si>
  <si>
    <t>708538</t>
  </si>
  <si>
    <t>711137</t>
  </si>
  <si>
    <t>714666</t>
  </si>
  <si>
    <t>732105</t>
  </si>
  <si>
    <t>208660</t>
  </si>
  <si>
    <t>100</t>
  </si>
  <si>
    <t>7834</t>
  </si>
  <si>
    <t>15492</t>
  </si>
  <si>
    <t>711402</t>
  </si>
  <si>
    <t>724391</t>
  </si>
  <si>
    <t>728865</t>
  </si>
  <si>
    <t>207775</t>
  </si>
  <si>
    <t>735533</t>
  </si>
  <si>
    <t>7839</t>
  </si>
  <si>
    <t>104338</t>
  </si>
  <si>
    <t>79379</t>
  </si>
  <si>
    <t>708579</t>
  </si>
  <si>
    <t>713244</t>
  </si>
  <si>
    <t>723353</t>
  </si>
  <si>
    <t>197</t>
  </si>
  <si>
    <t>3838</t>
  </si>
  <si>
    <t>116083</t>
  </si>
  <si>
    <t>27825</t>
  </si>
  <si>
    <t>84691</t>
  </si>
  <si>
    <t>721758</t>
  </si>
  <si>
    <t>1069</t>
  </si>
  <si>
    <t>16650</t>
  </si>
  <si>
    <t>14140</t>
  </si>
  <si>
    <t>208571</t>
  </si>
  <si>
    <t>124152</t>
  </si>
  <si>
    <t>704147</t>
  </si>
  <si>
    <t>707406</t>
  </si>
  <si>
    <t>117481</t>
  </si>
  <si>
    <t>733912</t>
  </si>
  <si>
    <t>734029</t>
  </si>
  <si>
    <t>734030</t>
  </si>
  <si>
    <t>734031</t>
  </si>
  <si>
    <t>734044</t>
  </si>
  <si>
    <t>739372</t>
  </si>
  <si>
    <t>739415</t>
  </si>
  <si>
    <t>DEHAVEN TRANSPORTATION</t>
  </si>
  <si>
    <t>739415 DEHAVEN TRANSPORTATION</t>
  </si>
  <si>
    <t>739372 HEMASOURCE</t>
  </si>
  <si>
    <t>739633</t>
  </si>
  <si>
    <t>SUPPORT SERVICE OPS SUPPLIES</t>
  </si>
  <si>
    <t>739633 SUPPORT SERVICE OPS SUPPLIES</t>
  </si>
  <si>
    <t>231027</t>
  </si>
  <si>
    <t>AP 180 TAN-48mm x 100m-36 rls/cs-H</t>
  </si>
  <si>
    <t>739896</t>
  </si>
  <si>
    <t>HEMASOURCE EAST</t>
  </si>
  <si>
    <t>734068</t>
  </si>
  <si>
    <t>PHARMAVITE</t>
  </si>
  <si>
    <t>739896 HEMASOURCE EAST</t>
  </si>
  <si>
    <t>734068 PHARMAVITE</t>
  </si>
  <si>
    <t>707637</t>
  </si>
  <si>
    <t>LYONS MAGNUS</t>
  </si>
  <si>
    <t>FP 096</t>
  </si>
  <si>
    <t>201793</t>
  </si>
  <si>
    <t>FP 096 KFT-72mm x 55m-16 rls/cs-H</t>
  </si>
  <si>
    <t>101219</t>
  </si>
  <si>
    <t>709845</t>
  </si>
  <si>
    <t>COOPER CONTAINER</t>
  </si>
  <si>
    <t>729357</t>
  </si>
  <si>
    <t>FAMOUS FOOTWEAR</t>
  </si>
  <si>
    <t>731626</t>
  </si>
  <si>
    <t>ASSOCIATED PGK FOR RICH PRODUCTS</t>
  </si>
  <si>
    <t>SD 932</t>
  </si>
  <si>
    <t>900617</t>
  </si>
  <si>
    <t>733143</t>
  </si>
  <si>
    <t>736340</t>
  </si>
  <si>
    <t>HELENA INDUSTRIES</t>
  </si>
  <si>
    <t>MS INTERNATIONAL</t>
  </si>
  <si>
    <t>708654</t>
  </si>
  <si>
    <t>ORBIS CORPORATION</t>
  </si>
  <si>
    <t>207831</t>
  </si>
  <si>
    <t>HP 500 CLR-48mm x 50m-36 rls/cs-H/A</t>
  </si>
  <si>
    <t>THE KINGSWOOD COMPANY</t>
  </si>
  <si>
    <t>101688</t>
  </si>
  <si>
    <t>WP 100 NAT-70mm x 153m(500ft)-6 rls/cs-H</t>
  </si>
  <si>
    <t>12662</t>
  </si>
  <si>
    <t>LIFOAM</t>
  </si>
  <si>
    <t>89656</t>
  </si>
  <si>
    <t>INTERFACEFLOR LLC</t>
  </si>
  <si>
    <t>150721</t>
  </si>
  <si>
    <t>HP 235 CLR-72mm x 914m-4 rls/cs-H</t>
  </si>
  <si>
    <t>188923</t>
  </si>
  <si>
    <t>HP 235 CLR-48mm x 100m-36 rls/cs-H</t>
  </si>
  <si>
    <t>737753</t>
  </si>
  <si>
    <t>DE DIETRICH PROCESS SYSTEM</t>
  </si>
  <si>
    <t>731626 ASSOCIATED PGK FOR RICH PRODUCTS</t>
  </si>
  <si>
    <t>12662 LIFOAM</t>
  </si>
  <si>
    <t>729357 FAMOUS FOOTWEAR</t>
  </si>
  <si>
    <t>737753 DE DIETRICH PROCESS SYSTEM</t>
  </si>
  <si>
    <t>709845 COOPER CONTAINER</t>
  </si>
  <si>
    <t>708654 ORBIS CORPORATION</t>
  </si>
  <si>
    <t>736340 HELENA INDUSTRIES</t>
  </si>
  <si>
    <t>89656 INTERFACEFLOR LLC</t>
  </si>
  <si>
    <t>707637 LYONS MAGNUS</t>
  </si>
  <si>
    <t>SD 934  PISTOL GRIP TAPE DISPNSR PREM.-S</t>
  </si>
  <si>
    <t>81127</t>
  </si>
  <si>
    <t>RIMPORTS (USA) LLC</t>
  </si>
  <si>
    <t>SD 935  PISTOL GRIP DISPNSR-3 IN. ROLL-S</t>
  </si>
  <si>
    <t>DP 401</t>
  </si>
  <si>
    <t>104249</t>
  </si>
  <si>
    <t>DP 401 GLA-48mm x 50m-24 rls/cs-H</t>
  </si>
  <si>
    <t>178027</t>
  </si>
  <si>
    <t>HP 235 CLR-48mm x 914m-6 rls/cs-H</t>
  </si>
  <si>
    <t>737854</t>
  </si>
  <si>
    <t>ALADDIN TEMP-RITE</t>
  </si>
  <si>
    <t>740306</t>
  </si>
  <si>
    <t>OVERMAN INTERNATIONAL</t>
  </si>
  <si>
    <t>SD 932  PISTOL GRIP TAPE DISP. ECONOMY-S</t>
  </si>
  <si>
    <t>736313</t>
  </si>
  <si>
    <t>ASSOCIATED PKG FOR WHITE CASTLE</t>
  </si>
  <si>
    <t>740438</t>
  </si>
  <si>
    <t>MID STATE FOR T MARZETTI</t>
  </si>
  <si>
    <t>740447</t>
  </si>
  <si>
    <t>HILEX POLY COMPANY</t>
  </si>
  <si>
    <t>737086</t>
  </si>
  <si>
    <t>WALMART PHARMACY DISTRIBUTION</t>
  </si>
  <si>
    <t>WM T BURNETT</t>
  </si>
  <si>
    <t>703143</t>
  </si>
  <si>
    <t>WP 150</t>
  </si>
  <si>
    <t>740438 MID STATE FOR T MARZETTI</t>
  </si>
  <si>
    <t>81127 RIMPORTS (USA) LLC</t>
  </si>
  <si>
    <t>740306 OVERMAN INTERNATIONAL</t>
  </si>
  <si>
    <t>737086 WALMART PHARMACY DISTRIBUTION</t>
  </si>
  <si>
    <t>737854 ALADDIN TEMP-RITE</t>
  </si>
  <si>
    <t>740447 HILEX POLY COMPANY</t>
  </si>
  <si>
    <t>736313 ASSOCIATED PKG FOR WHITE CASTLE</t>
  </si>
  <si>
    <t>703143 WM T BURNETT</t>
  </si>
  <si>
    <t>735147</t>
  </si>
  <si>
    <t>718292</t>
  </si>
  <si>
    <t>CDH BUSINESS PRODUCTS LLC</t>
  </si>
  <si>
    <t>182140</t>
  </si>
  <si>
    <t>CP 450 NAT-24mm x 55m-36 rls/cs-H</t>
  </si>
  <si>
    <t>735147 DOTERRA</t>
  </si>
  <si>
    <t>718292 CDH BUSINESS PRODUCTS LLC</t>
  </si>
  <si>
    <t>741018</t>
  </si>
  <si>
    <t>100503</t>
  </si>
  <si>
    <t>718340</t>
  </si>
  <si>
    <t>AMERICAN WOODMARK</t>
  </si>
  <si>
    <t>718340 AMERICAN WOODMARK</t>
  </si>
  <si>
    <t>741582</t>
  </si>
  <si>
    <t>ASSOCIATED PKG FOR GC4</t>
  </si>
  <si>
    <t>741519</t>
  </si>
  <si>
    <t>ASSOCIATED PKG FOR FARMER BROS COFF</t>
  </si>
  <si>
    <t>741519 ASSOCIATED PKG FOR FARMER BROS COFF</t>
  </si>
  <si>
    <t>741582 ASSOCIATED PKG FOR GC4</t>
  </si>
  <si>
    <t>CHEWY INC (CLT)</t>
  </si>
  <si>
    <t>741095</t>
  </si>
  <si>
    <t>GOLDEN STATE FOODS</t>
  </si>
  <si>
    <t>741018 CHEWY INC (CLT)</t>
  </si>
  <si>
    <t>741095 GOLDEN STATE FOODS</t>
  </si>
  <si>
    <t>HP 300 CLR-48mm x 1371m-6 rls/cs-H/A</t>
  </si>
  <si>
    <t>742485</t>
  </si>
  <si>
    <t>HEMASOURCE TEXAS</t>
  </si>
  <si>
    <t>742271</t>
  </si>
  <si>
    <t>ADVANTUS CORPORATION</t>
  </si>
  <si>
    <t>742485 HEMASOURCE TEXAS</t>
  </si>
  <si>
    <t>742271 ADVANTUS CORPORATION</t>
  </si>
  <si>
    <t>717536</t>
  </si>
  <si>
    <t>STARWEST BOTANICALS INC</t>
  </si>
  <si>
    <t>742700</t>
  </si>
  <si>
    <t>ASAP WAREHOUSE</t>
  </si>
  <si>
    <t>724897</t>
  </si>
  <si>
    <t>230960</t>
  </si>
  <si>
    <t>742700 ASAP WAREHOUSE</t>
  </si>
  <si>
    <t>724897 DAISY BRAND</t>
  </si>
  <si>
    <t>717536 STARWEST BOTANICALS INC</t>
  </si>
  <si>
    <t>PARKER HANNIFIN CORP HVAC DIV</t>
  </si>
  <si>
    <t>CP 066</t>
  </si>
  <si>
    <t>172840</t>
  </si>
  <si>
    <t>WP 200</t>
  </si>
  <si>
    <t>101707</t>
  </si>
  <si>
    <t>WP 200 NAT-72mmx138m(450ft)-10rls/cs-H/A</t>
  </si>
  <si>
    <t>714666 PARKER HANNIFIN CORP HVAC DIV</t>
  </si>
  <si>
    <t>735670</t>
  </si>
  <si>
    <t>NATURES BAKERY</t>
  </si>
  <si>
    <t>740115</t>
  </si>
  <si>
    <t>CARO NUT</t>
  </si>
  <si>
    <t>162592</t>
  </si>
  <si>
    <t>HP 200 BLU-48mm x 914m-6 rls/cs-H</t>
  </si>
  <si>
    <t>742821</t>
  </si>
  <si>
    <t>120407</t>
  </si>
  <si>
    <t>CP 105 NAT-48mm x 55m-24 rls/cs-S</t>
  </si>
  <si>
    <t>106042</t>
  </si>
  <si>
    <t>HP 200 YEL-48mm x 914m-6 rls/cs-H</t>
  </si>
  <si>
    <t>719056</t>
  </si>
  <si>
    <t>RIMPORTS USA LLC</t>
  </si>
  <si>
    <t>HP 800</t>
  </si>
  <si>
    <t>205586</t>
  </si>
  <si>
    <t>711526</t>
  </si>
  <si>
    <t>720467</t>
  </si>
  <si>
    <t>WORLD OUTDOOR RESOURCES</t>
  </si>
  <si>
    <t>740610</t>
  </si>
  <si>
    <t>ASSOCIATED PKG FOR BERRY GLOBAL</t>
  </si>
  <si>
    <t>718680</t>
  </si>
  <si>
    <t>ASSOCIATED PKG FOR PFS WEB</t>
  </si>
  <si>
    <t>140431</t>
  </si>
  <si>
    <t>CP 105 NAT-24mm x 55m- 36 rls/cs-S</t>
  </si>
  <si>
    <t>733192</t>
  </si>
  <si>
    <t>740967</t>
  </si>
  <si>
    <t>WILL CALL AT SHURTAPE PHOENIX DC</t>
  </si>
  <si>
    <t>230959</t>
  </si>
  <si>
    <t>AP 101 CLR-72mm x 100m-24 rls/cs-H/A</t>
  </si>
  <si>
    <t>708795</t>
  </si>
  <si>
    <t>KEHE DISTRIBUTORS</t>
  </si>
  <si>
    <t>710544</t>
  </si>
  <si>
    <t>MAPLEHURST BAKERY</t>
  </si>
  <si>
    <t>232165</t>
  </si>
  <si>
    <t>DT 200 GLA-48mm x 50m-24 rls/cs-H</t>
  </si>
  <si>
    <t>MAPLEHURST BAKERIES</t>
  </si>
  <si>
    <t>207888</t>
  </si>
  <si>
    <t>HP 300 CLR-48mm x 50m-36 rls/cs-H</t>
  </si>
  <si>
    <t>218104</t>
  </si>
  <si>
    <t>HP 200 RED-48mm x 914m-6 rls/cs-H</t>
  </si>
  <si>
    <t>720956</t>
  </si>
  <si>
    <t>101228</t>
  </si>
  <si>
    <t>738771</t>
  </si>
  <si>
    <t>MID STATE WAREHOUSE FOR EXPRESS PKG</t>
  </si>
  <si>
    <t>207239</t>
  </si>
  <si>
    <t>HP 200 TAN-72mm x 100m-24 rls/cs-H/A</t>
  </si>
  <si>
    <t>207852</t>
  </si>
  <si>
    <t>HP 400 CLR-72mm x 50m-24 rls/cs-H</t>
  </si>
  <si>
    <t>730395</t>
  </si>
  <si>
    <t>MAGNUM PRODUCTS</t>
  </si>
  <si>
    <t>743554</t>
  </si>
  <si>
    <t>DHM RIVER STREET WHSE 1</t>
  </si>
  <si>
    <t>43903</t>
  </si>
  <si>
    <t>BIMBO BAKEHOUSE LLC</t>
  </si>
  <si>
    <t>AP 015</t>
  </si>
  <si>
    <t>230970</t>
  </si>
  <si>
    <t>AP 015 CLR-96mm x 66m-18 rls/cs-H</t>
  </si>
  <si>
    <t>708669</t>
  </si>
  <si>
    <t>737987</t>
  </si>
  <si>
    <t>ASSOCIATED PKG FOR SADLERS BAR-B-QU</t>
  </si>
  <si>
    <t>HP 242</t>
  </si>
  <si>
    <t>152654</t>
  </si>
  <si>
    <t>HP 242 WR SECURITY-72mm x 914m-4rl/cs-NS</t>
  </si>
  <si>
    <t>738771 MID STATE WAREHOUSE FOR EXPRESS PKG</t>
  </si>
  <si>
    <t>720467 WORLD OUTDOOR RESOURCES</t>
  </si>
  <si>
    <t>740610 ASSOCIATED PKG FOR BERRY GLOBAL</t>
  </si>
  <si>
    <t>735670 NATURES BAKERY</t>
  </si>
  <si>
    <t>740115 CARO NUT</t>
  </si>
  <si>
    <t>710544 MAPLEHURST BAKERY</t>
  </si>
  <si>
    <t>43903 BIMBO BAKEHOUSE LLC</t>
  </si>
  <si>
    <t>718680 ASSOCIATED PKG FOR PFS WEB</t>
  </si>
  <si>
    <t>743554 DHM RIVER STREET WHSE 1</t>
  </si>
  <si>
    <t>740967 WILL CALL AT SHURTAPE PHOENIX DC</t>
  </si>
  <si>
    <t>708795 KEHE DISTRIBUTORS</t>
  </si>
  <si>
    <t>711526 JM SMUCKERS COMPANY</t>
  </si>
  <si>
    <t>737987 ASSOCIATED PKG FOR SADLERS BAR-B-QU</t>
  </si>
  <si>
    <t>719056 RIMPORTS USA LLC</t>
  </si>
  <si>
    <t>730395 MAGNUM PRODUCTS</t>
  </si>
  <si>
    <t>733192 MS INTERNATIONAL</t>
  </si>
  <si>
    <t>720956 MAPLEHURST BAKERIES</t>
  </si>
  <si>
    <t>707759</t>
  </si>
  <si>
    <t>CENTRAL VALLEY CHEESE</t>
  </si>
  <si>
    <t>207381</t>
  </si>
  <si>
    <t>HP 200 WHI-48mm x 914m-6 rls/cs-H</t>
  </si>
  <si>
    <t>27717</t>
  </si>
  <si>
    <t>FEDERAL MOGUL</t>
  </si>
  <si>
    <t>76432</t>
  </si>
  <si>
    <t>ELMER CANDY CORP</t>
  </si>
  <si>
    <t>710113</t>
  </si>
  <si>
    <t>AMCOR FLEXIBLE SHELBYVILLE</t>
  </si>
  <si>
    <t>743933</t>
  </si>
  <si>
    <t>ATCORR PACKAGING PRODUCTS</t>
  </si>
  <si>
    <t>33670</t>
  </si>
  <si>
    <t>208498</t>
  </si>
  <si>
    <t>HP 200 TAN-72mm x 914m-4 rls/cs-H</t>
  </si>
  <si>
    <t>PC 006</t>
  </si>
  <si>
    <t>120954</t>
  </si>
  <si>
    <t>PC 006 SIL-48mm x 55m-24 rls/cs-H/A</t>
  </si>
  <si>
    <t>ICONEX LLC</t>
  </si>
  <si>
    <t>707759 CENTRAL VALLEY CHEESE</t>
  </si>
  <si>
    <t>743933 ATCORR PACKAGING PRODUCTS</t>
  </si>
  <si>
    <t>710113 AMCOR FLEXIBLE SHELBYVILLE</t>
  </si>
  <si>
    <t>27717 FEDERAL MOGUL</t>
  </si>
  <si>
    <t>76432 ELMER CANDY CORP</t>
  </si>
  <si>
    <t>39112</t>
  </si>
  <si>
    <t>BOSTIK INC</t>
  </si>
  <si>
    <t>125905</t>
  </si>
  <si>
    <t>HP 200 WHI-72mm x 914m-4 rls/cs-H</t>
  </si>
  <si>
    <t>740541</t>
  </si>
  <si>
    <t>GOODWIN CO</t>
  </si>
  <si>
    <t>28565</t>
  </si>
  <si>
    <t>SPACEKRAFT</t>
  </si>
  <si>
    <t>711125</t>
  </si>
  <si>
    <t>COH EPROC</t>
  </si>
  <si>
    <t>101853</t>
  </si>
  <si>
    <t>HP 240 TK SECURITY-72mmx100m-24rls/cs-H</t>
  </si>
  <si>
    <t>742832</t>
  </si>
  <si>
    <t>24 SEVEN ENTERPRISES INC</t>
  </si>
  <si>
    <t>712280</t>
  </si>
  <si>
    <t>VYTRON CORPORATION</t>
  </si>
  <si>
    <t>17302</t>
  </si>
  <si>
    <t>ATKINSON CANDY</t>
  </si>
  <si>
    <t>28565 SPACEKRAFT</t>
  </si>
  <si>
    <t>740541 GOODWIN CO</t>
  </si>
  <si>
    <t>39112 BOSTIK INC</t>
  </si>
  <si>
    <t>742832 24 SEVEN ENTERPRISES INC</t>
  </si>
  <si>
    <t>711125 COH EPROC</t>
  </si>
  <si>
    <t>712280 VYTRON CORPORATION</t>
  </si>
  <si>
    <t>17302 ATKINSON CANDY</t>
  </si>
  <si>
    <t>744364</t>
  </si>
  <si>
    <t>CEPHEID - EAST BAY LOGISTICS</t>
  </si>
  <si>
    <t>116925</t>
  </si>
  <si>
    <t>HP 800 CLR-72mm x 50m-24 rls/cs-H</t>
  </si>
  <si>
    <t>HP 200 CLR-72mm x 1371m-4 rls/cs-S</t>
  </si>
  <si>
    <t>708643</t>
  </si>
  <si>
    <t>GMP LABORATORIES OF AMERICA INC</t>
  </si>
  <si>
    <t>182564</t>
  </si>
  <si>
    <t>HP 300 CLR-53mm x 914m-6 rls/cs-H</t>
  </si>
  <si>
    <t>744364 CEPHEID - EAST BAY LOGISTICS</t>
  </si>
  <si>
    <t>708643 GMP LABORATORIES OF AMERICA INC</t>
  </si>
  <si>
    <t>230976</t>
  </si>
  <si>
    <t>AP 401 CLR-72mm x 100m-24 rls/cs-H</t>
  </si>
  <si>
    <t>733377</t>
  </si>
  <si>
    <t>ESSENDANT</t>
  </si>
  <si>
    <t>733377 ESSENDANT</t>
  </si>
  <si>
    <t>GS 490 CLR-48mm x 55m-24 rls/cs-H/A</t>
  </si>
  <si>
    <t>GS 490 CLR-24mm x 55m-36 rls/cs-H/A</t>
  </si>
  <si>
    <t>GS 490 CLR-12mm x 55m-72 rls/cs-H/A</t>
  </si>
  <si>
    <t>745053</t>
  </si>
  <si>
    <t>PROAMPAC</t>
  </si>
  <si>
    <t>38117</t>
  </si>
  <si>
    <t>POSITEC TOOL CORPORATION</t>
  </si>
  <si>
    <t>736426</t>
  </si>
  <si>
    <t>SADLERS BAR-B-QUE</t>
  </si>
  <si>
    <t>744544</t>
  </si>
  <si>
    <t>CHEWY.COM - MCI1</t>
  </si>
  <si>
    <t>736426 SADLERS BAR-B-QUE</t>
  </si>
  <si>
    <t>745053 PROAMPAC</t>
  </si>
  <si>
    <t>38117 POSITEC TOOL CORPORATION</t>
  </si>
  <si>
    <t>744544 CHEWY.COM - MCI1</t>
  </si>
  <si>
    <t>745328</t>
  </si>
  <si>
    <t>ASAP WAREHOUSE FOR PICTSWEET</t>
  </si>
  <si>
    <t>744750</t>
  </si>
  <si>
    <t>744750 LYONS MAGNUS</t>
  </si>
  <si>
    <t>745328 ASAP WAREHOUSE FOR PICTSWEET</t>
  </si>
  <si>
    <t>745806</t>
  </si>
  <si>
    <t>719128</t>
  </si>
  <si>
    <t>DANCO</t>
  </si>
  <si>
    <t>745804</t>
  </si>
  <si>
    <t>AVERITT EXPRESS WHSE</t>
  </si>
  <si>
    <t>745804 AVERITT EXPRESS WHSE</t>
  </si>
  <si>
    <t>745806 ICONEX LLC</t>
  </si>
  <si>
    <t>719128 DANCO</t>
  </si>
  <si>
    <t>745969</t>
  </si>
  <si>
    <t>ASSOCIATED PKG FOR CEPHEID</t>
  </si>
  <si>
    <t>745693</t>
  </si>
  <si>
    <t>ASSOCIATED PKG FOR LPI</t>
  </si>
  <si>
    <t>746094</t>
  </si>
  <si>
    <t>AF SHELBYVILLE KY</t>
  </si>
  <si>
    <t>745969 ASSOCIATED PKG FOR CEPHEID</t>
  </si>
  <si>
    <t>745693 ASSOCIATED PKG FOR LPI</t>
  </si>
  <si>
    <t>746094 AF SHELBYVILLE KY</t>
  </si>
  <si>
    <t>105437</t>
  </si>
  <si>
    <t>WP 150 BLU WISDOM 72mm x 138M - NS</t>
  </si>
  <si>
    <t>746277</t>
  </si>
  <si>
    <t>SOUTHERN WAREHOUSING AND DIST</t>
  </si>
  <si>
    <t>746277 SOUTHERN WAREHOUSING AND DIST</t>
  </si>
  <si>
    <t>105303</t>
  </si>
  <si>
    <t>AP 201 RED 72mm x 100m-24 rls/cs-H/A</t>
  </si>
  <si>
    <t xml:space="preserve">YD² 
2022  </t>
  </si>
  <si>
    <t>746513</t>
  </si>
  <si>
    <t>HEMASOURCE OHIO</t>
  </si>
  <si>
    <t>35</t>
  </si>
  <si>
    <t>CHRIS ASHLEY (I)</t>
  </si>
  <si>
    <t>HP 140</t>
  </si>
  <si>
    <t>104985</t>
  </si>
  <si>
    <t>745518</t>
  </si>
  <si>
    <t>746695</t>
  </si>
  <si>
    <t>DUTT &amp; WAGNER</t>
  </si>
  <si>
    <t>105304</t>
  </si>
  <si>
    <t>AP 201 RED 48mm x 914m-6 rls/cs-H/A</t>
  </si>
  <si>
    <t>746714</t>
  </si>
  <si>
    <t>DUTT &amp; WAGNER OF NC INC</t>
  </si>
  <si>
    <t>746719</t>
  </si>
  <si>
    <t>FLEETLINE PRODUCTS</t>
  </si>
  <si>
    <t>746252</t>
  </si>
  <si>
    <t>CAITO FOODS FOR HUNGRYROOT</t>
  </si>
  <si>
    <t>HILEX POLY COMPANY/DNU</t>
  </si>
  <si>
    <t>744456</t>
  </si>
  <si>
    <t>HANCOCK FARM &amp; SEED COMPANY</t>
  </si>
  <si>
    <t>746862</t>
  </si>
  <si>
    <t>FILTERBUY</t>
  </si>
  <si>
    <t>746903</t>
  </si>
  <si>
    <t>ASSOCIATED PKG FOR FILTER BUY</t>
  </si>
  <si>
    <t>PP 808</t>
  </si>
  <si>
    <t>202420</t>
  </si>
  <si>
    <t>PP 808 RED- 9MM X 165M- 96 RLS/CS-H/A</t>
  </si>
  <si>
    <t>746858</t>
  </si>
  <si>
    <t>CRESTONE BAKING CHICAGO</t>
  </si>
  <si>
    <t>1601</t>
  </si>
  <si>
    <t>CAM CLARK (I)</t>
  </si>
  <si>
    <t>746667</t>
  </si>
  <si>
    <t>MAHAR TOOL SUPPLY</t>
  </si>
  <si>
    <t>746695 DUTT &amp; WAGNER</t>
  </si>
  <si>
    <t>746903 ASSOCIATED PKG FOR FILTER BUY</t>
  </si>
  <si>
    <t>33670 HILEX POLY COMPANY/DNU</t>
  </si>
  <si>
    <t>744456 HANCOCK FARM &amp; SEED COMPANY</t>
  </si>
  <si>
    <t>746862 FILTERBUY</t>
  </si>
  <si>
    <t>746513 HEMASOURCE OHIO</t>
  </si>
  <si>
    <t>746714 DUTT &amp; WAGNER OF NC INC</t>
  </si>
  <si>
    <t>746252 CAITO FOODS FOR HUNGRYROOT</t>
  </si>
  <si>
    <t>746719 FLEETLINE PRODUCTS</t>
  </si>
  <si>
    <t>746858 CRESTONE BAKING CHICAGO</t>
  </si>
  <si>
    <t>746667 MAHAR TOOL SUPPLY</t>
  </si>
  <si>
    <t>739521</t>
  </si>
  <si>
    <t>WINESHIPPING.COM</t>
  </si>
  <si>
    <t>202810</t>
  </si>
  <si>
    <t>VP 410 BLK- 50MM X 33M- 24 RLS/CS-H/T</t>
  </si>
  <si>
    <t>206932</t>
  </si>
  <si>
    <t>CP 105 NAT-18mm x 55m-48 rls/cs-S</t>
  </si>
  <si>
    <t>ROCKY MOUNTAIN PIES</t>
  </si>
  <si>
    <t>113699</t>
  </si>
  <si>
    <t>CP 105 NAT-72mm x 55m-16 rls/cs-H</t>
  </si>
  <si>
    <t>714105</t>
  </si>
  <si>
    <t>DHL ROCK HILL</t>
  </si>
  <si>
    <t>733232</t>
  </si>
  <si>
    <t>CARGILL MEAT</t>
  </si>
  <si>
    <t>26204</t>
  </si>
  <si>
    <t>WAMPLERS FARM SAUSAGE CO</t>
  </si>
  <si>
    <t>84995</t>
  </si>
  <si>
    <t>CARGILL MEAT SOLUTIONS CORP</t>
  </si>
  <si>
    <t>85219</t>
  </si>
  <si>
    <t>A-Z OFFICE RESOURCE INC</t>
  </si>
  <si>
    <t>207223</t>
  </si>
  <si>
    <t>HP 200 TAN-48mm x 100m-36 rls/cs-H/A</t>
  </si>
  <si>
    <t>132981</t>
  </si>
  <si>
    <t>CP 631 GRN-18mm x 55m-48 rls/cs-H</t>
  </si>
  <si>
    <t>733431</t>
  </si>
  <si>
    <t>GENERIC ONE TIME SHIP-TO B2B DIST P</t>
  </si>
  <si>
    <t>737603</t>
  </si>
  <si>
    <t>PASSION GROWERS WEST LLC</t>
  </si>
  <si>
    <t>740848</t>
  </si>
  <si>
    <t>MPIO/DONGBU C/O STARKIST</t>
  </si>
  <si>
    <t>26869</t>
  </si>
  <si>
    <t>BASIC GRAIN PRODUCTS</t>
  </si>
  <si>
    <t>33313</t>
  </si>
  <si>
    <t>WHITE CASTLE</t>
  </si>
  <si>
    <t>123897</t>
  </si>
  <si>
    <t>HP 200 BLU-72mm x 914m-4 rls/cs-H</t>
  </si>
  <si>
    <t>120887</t>
  </si>
  <si>
    <t>HP 200 WHI-48mm x 100m-36 rls/cs-H</t>
  </si>
  <si>
    <t>719905</t>
  </si>
  <si>
    <t>PROXIMO DISTILLERS</t>
  </si>
  <si>
    <t>746780</t>
  </si>
  <si>
    <t>ASSOCIATED FOR AAK</t>
  </si>
  <si>
    <t>746902</t>
  </si>
  <si>
    <t>INDIANA BEVERAGE INC</t>
  </si>
  <si>
    <t>708553</t>
  </si>
  <si>
    <t>LANTMANNEN BAKERY</t>
  </si>
  <si>
    <t>208547</t>
  </si>
  <si>
    <t>HP 400 CLR-48mm x 914m-6 rls/cs-H/A</t>
  </si>
  <si>
    <t>23361</t>
  </si>
  <si>
    <t>BRILL CSM BAKERY SOLUTION</t>
  </si>
  <si>
    <t>76267</t>
  </si>
  <si>
    <t>THOMASTON MILLS</t>
  </si>
  <si>
    <t>231047</t>
  </si>
  <si>
    <t>AP 180 CLR-48mm x 1371m-6 rls/cs-H</t>
  </si>
  <si>
    <t>FE-3</t>
  </si>
  <si>
    <t>903251</t>
  </si>
  <si>
    <t>FE-3 Folded-Edge Tape Dispenser - H</t>
  </si>
  <si>
    <t>101071</t>
  </si>
  <si>
    <t>FP 097 KFT-24mm x 55m-36 rls/cs-H</t>
  </si>
  <si>
    <t>708773</t>
  </si>
  <si>
    <t>ASSOCIATED PKG FOR PICTSWEET</t>
  </si>
  <si>
    <t>744002</t>
  </si>
  <si>
    <t>ADP DISTRIBUTORS</t>
  </si>
  <si>
    <t>746780 ASSOCIATED FOR AAK</t>
  </si>
  <si>
    <t>708773 ASSOCIATED PKG FOR PICTSWEET</t>
  </si>
  <si>
    <t>746902 INDIANA BEVERAGE INC</t>
  </si>
  <si>
    <t>719905 PROXIMO DISTILLERS</t>
  </si>
  <si>
    <t>739521 WINESHIPPING.COM</t>
  </si>
  <si>
    <t>733232 CARGILL MEAT</t>
  </si>
  <si>
    <t>26869 BASIC GRAIN PRODUCTS</t>
  </si>
  <si>
    <t>33313 WHITE CASTLE</t>
  </si>
  <si>
    <t>26204 WAMPLERS FARM SAUSAGE CO</t>
  </si>
  <si>
    <t>714105 DHL ROCK HILL</t>
  </si>
  <si>
    <t>744002 ADP DISTRIBUTORS</t>
  </si>
  <si>
    <t>84995 CARGILL MEAT SOLUTIONS CORP</t>
  </si>
  <si>
    <t>23361 BRILL CSM BAKERY SOLUTION</t>
  </si>
  <si>
    <t>76267 THOMASTON MILLS</t>
  </si>
  <si>
    <t>85219 A-Z OFFICE RESOURCE INC</t>
  </si>
  <si>
    <t>733431 GENERIC ONE TIME SHIP-TO B2B DIST P</t>
  </si>
  <si>
    <t>740848 MPIO/DONGBU C/O STARKIST</t>
  </si>
  <si>
    <t>708553 LANTMANNEN BAKERY</t>
  </si>
  <si>
    <t>737603 PASSION GROWERS WEST LLC</t>
  </si>
  <si>
    <t>78111</t>
  </si>
  <si>
    <t>CLOVER STORNETTA FARMS</t>
  </si>
  <si>
    <t>747444</t>
  </si>
  <si>
    <t>PFLUG PACKAGING</t>
  </si>
  <si>
    <t>CP 66L NAT-48mm x 165m- 6 rls/cs-C</t>
  </si>
  <si>
    <t>716952</t>
  </si>
  <si>
    <t>HYDRO DESIGN USA</t>
  </si>
  <si>
    <t>718553</t>
  </si>
  <si>
    <t>CONSTRUCTION VENTURES CORP</t>
  </si>
  <si>
    <t>728685</t>
  </si>
  <si>
    <t>747482</t>
  </si>
  <si>
    <t>25338</t>
  </si>
  <si>
    <t>VENTURA FOODS</t>
  </si>
  <si>
    <t>45817</t>
  </si>
  <si>
    <t>DUPUY STORAGE</t>
  </si>
  <si>
    <t>733913</t>
  </si>
  <si>
    <t>CHEWY.COM (CFC)</t>
  </si>
  <si>
    <t>737160</t>
  </si>
  <si>
    <t>QUALITY TOOLS &amp; SERVICES</t>
  </si>
  <si>
    <t>700140</t>
  </si>
  <si>
    <t>PLATTE CHEMICAL</t>
  </si>
  <si>
    <t>230973</t>
  </si>
  <si>
    <t>AP 401 CLR-48mm x 100m-36 rls/cs-H/A</t>
  </si>
  <si>
    <t>728685 RICH PRODUCTS</t>
  </si>
  <si>
    <t>747444 PFLUG PACKAGING</t>
  </si>
  <si>
    <t>700140 PLATTE CHEMICAL</t>
  </si>
  <si>
    <t>25338 VENTURA FOODS</t>
  </si>
  <si>
    <t>45817 DUPUY STORAGE</t>
  </si>
  <si>
    <t>78111 CLOVER STORNETTA FARMS</t>
  </si>
  <si>
    <t>747482 THE KINGSWOOD COMPANY</t>
  </si>
  <si>
    <t>737160 QUALITY TOOLS &amp; SERVICES</t>
  </si>
  <si>
    <t>716952 HYDRO DESIGN USA</t>
  </si>
  <si>
    <t>733913 CHEWY.COM (CFC)</t>
  </si>
  <si>
    <t>718553 CONSTRUCTION VENTURES CORP</t>
  </si>
  <si>
    <t>ASSOCIATED PKG FOR ICONEX</t>
  </si>
  <si>
    <t>105301</t>
  </si>
  <si>
    <t>AP 201 BLU 48mm x 914m-6 rls/cs-H/A</t>
  </si>
  <si>
    <t>ASSOCIATED PACKAGING - CA SANTA FE</t>
  </si>
  <si>
    <t>747719</t>
  </si>
  <si>
    <t>NORMA GROUP CRAIG ASSEMBLY</t>
  </si>
  <si>
    <t>104314</t>
  </si>
  <si>
    <t>HP 100 CLR-48mm x 1500m-6 rls/cs-H/A</t>
  </si>
  <si>
    <t>ASSOCIATED PACKAGING - OK OKC</t>
  </si>
  <si>
    <t>ASSOCIATED PACKAGING - TX MESQUITE</t>
  </si>
  <si>
    <t>707406 ASSOCIATED PACKAGING - OK OKC</t>
  </si>
  <si>
    <t>745518 ASSOCIATED PKG FOR ICONEX</t>
  </si>
  <si>
    <t>708617 ASSOCIATED PACKAGING - CA SANTA FE</t>
  </si>
  <si>
    <t>747719 NORMA GROUP CRAIG ASSEMBLY</t>
  </si>
  <si>
    <t>708669 ASSOCIATED PACKAGING - TX MESQUITE</t>
  </si>
  <si>
    <t>164654</t>
  </si>
  <si>
    <t>HP 235 CLR-48mm x 1371m-6 rls/cs-S</t>
  </si>
  <si>
    <t>27880</t>
  </si>
  <si>
    <t>MIAMI CORP</t>
  </si>
  <si>
    <t>ASSOCIATED PKG FOR HOMEGOODS</t>
  </si>
  <si>
    <t>733143 ASSOCIATED PKG FOR HOMEGOODS</t>
  </si>
  <si>
    <t>27880 MIAMI CORP</t>
  </si>
  <si>
    <t>741089</t>
  </si>
  <si>
    <t>PC 007</t>
  </si>
  <si>
    <t>152300</t>
  </si>
  <si>
    <t>PC 007 SIL-48mm x 55m-24 rls/cs-S</t>
  </si>
  <si>
    <t>746691</t>
  </si>
  <si>
    <t>GREEN VALLEY POULTRY FARM</t>
  </si>
  <si>
    <t>748161</t>
  </si>
  <si>
    <t>CATALINA CRUNCH</t>
  </si>
  <si>
    <t>742841</t>
  </si>
  <si>
    <t>PALMETTO CANNING</t>
  </si>
  <si>
    <t>746691 GREEN VALLEY POULTRY FARM</t>
  </si>
  <si>
    <t>742841 PALMETTO CANNING</t>
  </si>
  <si>
    <t>748161 CATALINA CRUNCH</t>
  </si>
  <si>
    <t>741089 DOTERRA</t>
  </si>
  <si>
    <t>75226</t>
  </si>
  <si>
    <t>ATLAS COLD STORAGE</t>
  </si>
  <si>
    <t>717314</t>
  </si>
  <si>
    <t>PHOENIX PACKAGING OPERATIONS</t>
  </si>
  <si>
    <t>75226 ATLAS COLD STORAGE</t>
  </si>
  <si>
    <t>717314 PHOENIX PACKAGING OPERATIONS</t>
  </si>
  <si>
    <t>749470</t>
  </si>
  <si>
    <t>ELIZABETH ARDEN ASSEMBLY</t>
  </si>
  <si>
    <t>749571</t>
  </si>
  <si>
    <t>NORMA MICHIGAN INC</t>
  </si>
  <si>
    <t>THOMAS VAZQUEZ (I)</t>
  </si>
  <si>
    <t>749470 ELIZABETH ARDEN ASSEMBLY</t>
  </si>
  <si>
    <t>749571 NORMA MICHIGAN INC</t>
  </si>
  <si>
    <t>GABRIEL AUSTIN (I)</t>
  </si>
  <si>
    <t>27108</t>
  </si>
  <si>
    <t>TRANZONIC COMPANIES</t>
  </si>
  <si>
    <t>729690</t>
  </si>
  <si>
    <t>LPI INC</t>
  </si>
  <si>
    <t>HP 140 CK PULL EDGE 53mmX1500m-6r/cs-X</t>
  </si>
  <si>
    <t>AP 101 CLR-48mm x 914m-6 rls/cs-S</t>
  </si>
  <si>
    <t>27108 TRANZONIC COMPANIES</t>
  </si>
  <si>
    <t>729690 LPI INC</t>
  </si>
  <si>
    <t>739404</t>
  </si>
  <si>
    <t>750058</t>
  </si>
  <si>
    <t>TCG LEGACY GRAPHICS INC</t>
  </si>
  <si>
    <t>749909</t>
  </si>
  <si>
    <t>749831</t>
  </si>
  <si>
    <t>PASSION GROWERS CALEXICO</t>
  </si>
  <si>
    <t>749972</t>
  </si>
  <si>
    <t>LACROSSE FOOTWEAR INC</t>
  </si>
  <si>
    <t>CP 066 NAT-24mm x 55m-36 rls/cs-X</t>
  </si>
  <si>
    <t>749831 PASSION GROWERS CALEXICO</t>
  </si>
  <si>
    <t>749972 LACROSSE FOOTWEAR INC</t>
  </si>
  <si>
    <t>750058 TCG LEGACY GRAPHICS INC</t>
  </si>
  <si>
    <t>750164</t>
  </si>
  <si>
    <t>701357</t>
  </si>
  <si>
    <t>750164 ROCKY MOUNTAIN PIES</t>
  </si>
  <si>
    <t>701357 DREW FOAM OF TENNESSEE</t>
  </si>
  <si>
    <t>PRESTON ALMOND (I)</t>
  </si>
  <si>
    <t>VALLEY PROTEIN LLC</t>
  </si>
  <si>
    <t>750780</t>
  </si>
  <si>
    <t>SNAPLCOK INC</t>
  </si>
  <si>
    <t>26</t>
  </si>
  <si>
    <t>SARA LEVINE (I)</t>
  </si>
  <si>
    <t>27868</t>
  </si>
  <si>
    <t>QUALITY BAKERY CO</t>
  </si>
  <si>
    <t>744442</t>
  </si>
  <si>
    <t>PACKAGING CENTER</t>
  </si>
  <si>
    <t>105449</t>
  </si>
  <si>
    <t>730690</t>
  </si>
  <si>
    <t>KATZ AMERICAS</t>
  </si>
  <si>
    <t>CARDINAL CG - ABINGDON</t>
  </si>
  <si>
    <t>723310</t>
  </si>
  <si>
    <t>ESSENTIALS</t>
  </si>
  <si>
    <t>750665</t>
  </si>
  <si>
    <t>750236</t>
  </si>
  <si>
    <t>CHEMICAL DYNAMICS</t>
  </si>
  <si>
    <t>750684</t>
  </si>
  <si>
    <t>FILTERBUY PITTSBURG</t>
  </si>
  <si>
    <t>PC 006 SIL-48mm x 55m-24 rls/cs-X</t>
  </si>
  <si>
    <t>M-1</t>
  </si>
  <si>
    <t>900086</t>
  </si>
  <si>
    <t>Phoenix M-1 Manual WAT Dispenser</t>
  </si>
  <si>
    <t>730690 KATZ AMERICAS</t>
  </si>
  <si>
    <t>750684 FILTERBUY PITTSBURG</t>
  </si>
  <si>
    <t>723310 ESSENTIALS</t>
  </si>
  <si>
    <t>744442 PACKAGING CENTER</t>
  </si>
  <si>
    <t>750665 MS INTERNATIONAL</t>
  </si>
  <si>
    <t>750236 CHEMICAL DYNAMICS</t>
  </si>
  <si>
    <t>742821 VALLEY PROTEIN LLC</t>
  </si>
  <si>
    <t>27868 QUALITY BAKERY CO</t>
  </si>
  <si>
    <t>750780 SNAPLCOK INC</t>
  </si>
  <si>
    <t>749909 CARDINAL CG - ABINGDON</t>
  </si>
  <si>
    <t xml:space="preserve">C.  Sales 
2023 </t>
  </si>
  <si>
    <t xml:space="preserve">YD² 
2023   </t>
  </si>
  <si>
    <t xml:space="preserve">C. Sales 
2022 </t>
  </si>
  <si>
    <t>C. Sales Δ 
23 vs 22</t>
  </si>
  <si>
    <t>C. Sales % 
Δ 23 vs 22</t>
  </si>
  <si>
    <t>Yd² Δ 
23 vs 22</t>
  </si>
  <si>
    <t>Yd² % Δ 
23 vs 22</t>
  </si>
  <si>
    <t>C.  Sales 
2023</t>
  </si>
  <si>
    <t xml:space="preserve">YD² 
2023  </t>
  </si>
  <si>
    <t>705105</t>
  </si>
  <si>
    <t>NULAID FOODS INC</t>
  </si>
  <si>
    <t>707575</t>
  </si>
  <si>
    <t>PLANTERS</t>
  </si>
  <si>
    <t>746565</t>
  </si>
  <si>
    <t>STOCKTON COLD STORAGE LLC</t>
  </si>
  <si>
    <t>751036</t>
  </si>
  <si>
    <t>MICHAEL DAVID WINERY</t>
  </si>
  <si>
    <t>710894</t>
  </si>
  <si>
    <t>SNAPLOCK MFG</t>
  </si>
  <si>
    <t>202793</t>
  </si>
  <si>
    <t>VP 410 WHI- 50mm X 33m- 24 rls/cs-H</t>
  </si>
  <si>
    <t>746520</t>
  </si>
  <si>
    <t>16512</t>
  </si>
  <si>
    <t>RAYLOC</t>
  </si>
  <si>
    <t>201806</t>
  </si>
  <si>
    <t>FP 096 KFT-48mm x 55m-24 rls/cs-S</t>
  </si>
  <si>
    <t>33769</t>
  </si>
  <si>
    <t>ROLLPAK CORP/BERRY GLOBAL</t>
  </si>
  <si>
    <t>34535</t>
  </si>
  <si>
    <t>QCD</t>
  </si>
  <si>
    <t>44567</t>
  </si>
  <si>
    <t>ALBANESE CONFECTIONERY GRP</t>
  </si>
  <si>
    <t>45598</t>
  </si>
  <si>
    <t>HEAVEN HILL DISTILLERIES</t>
  </si>
  <si>
    <t>701287</t>
  </si>
  <si>
    <t>AUNT MILLIE'S - COLDWATER BAKE</t>
  </si>
  <si>
    <t>706717</t>
  </si>
  <si>
    <t>AMERIQUAL PACKAGING</t>
  </si>
  <si>
    <t>208561</t>
  </si>
  <si>
    <t>HP 500 CLR-48mm x 914m-6 rls/cs-H</t>
  </si>
  <si>
    <t>708637</t>
  </si>
  <si>
    <t>KENCO LOGISTIC SERVICES</t>
  </si>
  <si>
    <t>101006</t>
  </si>
  <si>
    <t>CP 106 NAT-24mm x 55m-36 rls/cs-S</t>
  </si>
  <si>
    <t>713453</t>
  </si>
  <si>
    <t>AAK USA LLC</t>
  </si>
  <si>
    <t>716771</t>
  </si>
  <si>
    <t>GENPAK</t>
  </si>
  <si>
    <t>717853</t>
  </si>
  <si>
    <t>717862</t>
  </si>
  <si>
    <t>PARKER COMMERCIAL STORAGE &amp; DI</t>
  </si>
  <si>
    <t>719150</t>
  </si>
  <si>
    <t>T MARZETTI COMPANY</t>
  </si>
  <si>
    <t>721175</t>
  </si>
  <si>
    <t>AMERICAN AIR FILTER</t>
  </si>
  <si>
    <t>CP 107</t>
  </si>
  <si>
    <t>100466</t>
  </si>
  <si>
    <t>CP 107 NAT-48mm x 55m-24 rls/cs-H/A</t>
  </si>
  <si>
    <t>729312</t>
  </si>
  <si>
    <t>NIFCO</t>
  </si>
  <si>
    <t>738552</t>
  </si>
  <si>
    <t>AUNT MILLIE'S</t>
  </si>
  <si>
    <t>740747</t>
  </si>
  <si>
    <t>IMEX GLOBAL SOLUTIONS LLC</t>
  </si>
  <si>
    <t>105302</t>
  </si>
  <si>
    <t>AP 201 RED 48mm x 100m-36 rls/cs-H/A</t>
  </si>
  <si>
    <t>AF 975</t>
  </si>
  <si>
    <t>232032</t>
  </si>
  <si>
    <t>AF 975 SIL-48mm x 46m-24 rls/cs-S</t>
  </si>
  <si>
    <t>746841</t>
  </si>
  <si>
    <t>ASSOCIATED FOR MAPLEHURST</t>
  </si>
  <si>
    <t>746910</t>
  </si>
  <si>
    <t>RAGE PLASTICS</t>
  </si>
  <si>
    <t>746950</t>
  </si>
  <si>
    <t>NEXGEN MOLD &amp; TOOL INC</t>
  </si>
  <si>
    <t>750389</t>
  </si>
  <si>
    <t>HUNGRYROOT INC</t>
  </si>
  <si>
    <t>20424</t>
  </si>
  <si>
    <t>PROGRESS PRINTING CO INC</t>
  </si>
  <si>
    <t>704061</t>
  </si>
  <si>
    <t>207141</t>
  </si>
  <si>
    <t>HP 100 CLR-48mm x 50m-36 rls/cs-S</t>
  </si>
  <si>
    <t>722360</t>
  </si>
  <si>
    <t>SARSTEDT INC</t>
  </si>
  <si>
    <t>230966</t>
  </si>
  <si>
    <t>AP 201 CLR-72mm x 914m-4 rls/cs-H</t>
  </si>
  <si>
    <t>727933</t>
  </si>
  <si>
    <t>PIONEER ECLIPSE CORP</t>
  </si>
  <si>
    <t>728841</t>
  </si>
  <si>
    <t>ELIZABETH ARDEN</t>
  </si>
  <si>
    <t>176748</t>
  </si>
  <si>
    <t>HP 132 CLR-48mm x 914m-6 rls/cs-S</t>
  </si>
  <si>
    <t>746603</t>
  </si>
  <si>
    <t>SML LOGISTICS FOR HUNGRYROOT</t>
  </si>
  <si>
    <t>748035</t>
  </si>
  <si>
    <t>751082</t>
  </si>
  <si>
    <t>BIMBO BAKEHOUSE</t>
  </si>
  <si>
    <t>8238</t>
  </si>
  <si>
    <t>VALLEN DISTRIBUTION INC</t>
  </si>
  <si>
    <t>38633</t>
  </si>
  <si>
    <t>GENESCO IMPORT GROUP/ DOCKERS</t>
  </si>
  <si>
    <t>43629</t>
  </si>
  <si>
    <t>DALEN PRODUCTS INC</t>
  </si>
  <si>
    <t>GS 501</t>
  </si>
  <si>
    <t>101289</t>
  </si>
  <si>
    <t>GS 501 CLR-48mm x 55m-24 rls/cs-H/A</t>
  </si>
  <si>
    <t>84047</t>
  </si>
  <si>
    <t>THE ROBINETTE COMPANY</t>
  </si>
  <si>
    <t>DF 065</t>
  </si>
  <si>
    <t>100761</t>
  </si>
  <si>
    <t>DF 065 NAT-1/2in x 36yd-72 rls/cs-H/A</t>
  </si>
  <si>
    <t>100486</t>
  </si>
  <si>
    <t>CP 083 NAT-18mm x 55m-48 rls/cs-S</t>
  </si>
  <si>
    <t>700619</t>
  </si>
  <si>
    <t>KENTUCKY MOVING &amp; STORAGE</t>
  </si>
  <si>
    <t>207181</t>
  </si>
  <si>
    <t>HP 100 TAN-48mm x 100m-36 rls/cs-S</t>
  </si>
  <si>
    <t>706241</t>
  </si>
  <si>
    <t>METALMAX LLC</t>
  </si>
  <si>
    <t>713838</t>
  </si>
  <si>
    <t>GAP INC TENNESSEE DC</t>
  </si>
  <si>
    <t>714320</t>
  </si>
  <si>
    <t>GAP INC SOUTHERN DC</t>
  </si>
  <si>
    <t>714654</t>
  </si>
  <si>
    <t>GAP INC</t>
  </si>
  <si>
    <t>718535</t>
  </si>
  <si>
    <t>GAP INC SOUTHERN CROSS DOCK</t>
  </si>
  <si>
    <t>719171</t>
  </si>
  <si>
    <t>LATHAM POOL PRODUCTS</t>
  </si>
  <si>
    <t>171918</t>
  </si>
  <si>
    <t>CP 631 BLK-18mm x 55m-48 rls/cs-H</t>
  </si>
  <si>
    <t>208825</t>
  </si>
  <si>
    <t>HP 200 WHI-72mm x 100m-24 rls/cs-NS</t>
  </si>
  <si>
    <t>730762</t>
  </si>
  <si>
    <t>ASSOCIATED PKG FOR FAMOUS FOOTWEAR</t>
  </si>
  <si>
    <t>731394</t>
  </si>
  <si>
    <t>RICH PRODUCTS PLANT 2</t>
  </si>
  <si>
    <t>733468</t>
  </si>
  <si>
    <t>CROWN LABORATORIES INC</t>
  </si>
  <si>
    <t>740351</t>
  </si>
  <si>
    <t>UST INC</t>
  </si>
  <si>
    <t>WP 300</t>
  </si>
  <si>
    <t>101727</t>
  </si>
  <si>
    <t>WP 300 NAT-76mmx138m(450ft)-10rls/cs-H/A</t>
  </si>
  <si>
    <t>741349</t>
  </si>
  <si>
    <t>ESQUIRE WIRE</t>
  </si>
  <si>
    <t>CP 225</t>
  </si>
  <si>
    <t>105319</t>
  </si>
  <si>
    <t>CP 225 GLD-18mm x 55m-64 rls/cs-H/T</t>
  </si>
  <si>
    <t>742532</t>
  </si>
  <si>
    <t>LUGNUT4X4</t>
  </si>
  <si>
    <t>742895</t>
  </si>
  <si>
    <t>SUNKOTE PLASTIC COATINGS</t>
  </si>
  <si>
    <t>745651</t>
  </si>
  <si>
    <t>PORTOBELLO AMERICA</t>
  </si>
  <si>
    <t>746542</t>
  </si>
  <si>
    <t>JCF HOUSEMENTS</t>
  </si>
  <si>
    <t>AF 099</t>
  </si>
  <si>
    <t>232623</t>
  </si>
  <si>
    <t>AF 099 SIL-72mm x 55m-16 rls/cs-H/A</t>
  </si>
  <si>
    <t>CP 027</t>
  </si>
  <si>
    <t>202880</t>
  </si>
  <si>
    <t>CP 027 BLU-48mm x 55m-24 rls/cs-S</t>
  </si>
  <si>
    <t>132716</t>
  </si>
  <si>
    <t>CP 066 NAT-48mm x 55m-24 rls/cs-S</t>
  </si>
  <si>
    <t>SF 686</t>
  </si>
  <si>
    <t>111163</t>
  </si>
  <si>
    <t>SF 686 SPT- 3IN X 100FT- 16 RLS/CS-H/A</t>
  </si>
  <si>
    <t>183431</t>
  </si>
  <si>
    <t>SF 686 SPT- 2IN X 100FT- 24 RLS/CS-H/A</t>
  </si>
  <si>
    <t>101229</t>
  </si>
  <si>
    <t>GS 490 CLR-18mm x 55m-48 rls/cs-H/A</t>
  </si>
  <si>
    <t>747799</t>
  </si>
  <si>
    <t>GENESCO FAYETTEVILLE</t>
  </si>
  <si>
    <t>749826</t>
  </si>
  <si>
    <t>35302</t>
  </si>
  <si>
    <t>HONEYVILLE GRAIN INC</t>
  </si>
  <si>
    <t>45197</t>
  </si>
  <si>
    <t>GG 200</t>
  </si>
  <si>
    <t>204458</t>
  </si>
  <si>
    <t>GG 200 NAT-24mm x 33m-36 rls/cs-H</t>
  </si>
  <si>
    <t>204459</t>
  </si>
  <si>
    <t>GG 200 NAT-48mm x 33m-24 rls/cs-H</t>
  </si>
  <si>
    <t>741406</t>
  </si>
  <si>
    <t>743062</t>
  </si>
  <si>
    <t>NELLSON LLC- ONTARIO PLANT</t>
  </si>
  <si>
    <t>746941</t>
  </si>
  <si>
    <t>747078</t>
  </si>
  <si>
    <t>747895</t>
  </si>
  <si>
    <t>NSL 00047 @LVO LONGVIEW OMNI</t>
  </si>
  <si>
    <t>44684</t>
  </si>
  <si>
    <t>GENESIS DIRECT</t>
  </si>
  <si>
    <t>101007</t>
  </si>
  <si>
    <t>CP 106 NAT-36mm x 55m-24 rls/cs-S</t>
  </si>
  <si>
    <t>716630</t>
  </si>
  <si>
    <t>WINCUP PLASTICS DBA CARDINAL S</t>
  </si>
  <si>
    <t>716751</t>
  </si>
  <si>
    <t>PASSION GROWERS</t>
  </si>
  <si>
    <t>207853</t>
  </si>
  <si>
    <t>HP 400 CLR-48mm x 50m-36 rls/cs-H</t>
  </si>
  <si>
    <t>730862</t>
  </si>
  <si>
    <t>UNCLE JOHNS PRIDE</t>
  </si>
  <si>
    <t>733173</t>
  </si>
  <si>
    <t>VITAMIN SHOPPE</t>
  </si>
  <si>
    <t>739411</t>
  </si>
  <si>
    <t>BASE CULTURE</t>
  </si>
  <si>
    <t>745701</t>
  </si>
  <si>
    <t>FORMULATED SOLUTIONS</t>
  </si>
  <si>
    <t>746140</t>
  </si>
  <si>
    <t>ASSOCIATED FOR BADIA</t>
  </si>
  <si>
    <t>25219</t>
  </si>
  <si>
    <t>RAINBOW GOLD PRODUCTS INC.</t>
  </si>
  <si>
    <t>44691</t>
  </si>
  <si>
    <t>AUTOCHLOR SYSTEM</t>
  </si>
  <si>
    <t>76969</t>
  </si>
  <si>
    <t>PACTIV CORPORATION</t>
  </si>
  <si>
    <t>CT 109</t>
  </si>
  <si>
    <t>111951</t>
  </si>
  <si>
    <t>CT 109 NAT- 12MM X 66M- 144 RLS/CS-H</t>
  </si>
  <si>
    <t>703436</t>
  </si>
  <si>
    <t>INTERNATIONAL PAPER</t>
  </si>
  <si>
    <t>736673</t>
  </si>
  <si>
    <t>CHEMSTAR CORP</t>
  </si>
  <si>
    <t>101162</t>
  </si>
  <si>
    <t>HP 235 CLR-72mm x 100m-24 rls/cs-H</t>
  </si>
  <si>
    <t>740889</t>
  </si>
  <si>
    <t>FEEDING THE VALLEY FOOD BANK</t>
  </si>
  <si>
    <t>742571</t>
  </si>
  <si>
    <t>CARLEX GLASS COMPANY</t>
  </si>
  <si>
    <t>748147</t>
  </si>
  <si>
    <t>711257</t>
  </si>
  <si>
    <t>REGIONAL FOOD BANK</t>
  </si>
  <si>
    <t>721955</t>
  </si>
  <si>
    <t>MARCO INDUSTRIES</t>
  </si>
  <si>
    <t>728225</t>
  </si>
  <si>
    <t>REDBARN PET PRODUCTS</t>
  </si>
  <si>
    <t>733904</t>
  </si>
  <si>
    <t>CHEWY.COM (DFW)</t>
  </si>
  <si>
    <t>TAPE HEAD PARTS</t>
  </si>
  <si>
    <t>901598</t>
  </si>
  <si>
    <t>5651 PA-1C TAPE MONIT RECE C/W TOW LIGHT</t>
  </si>
  <si>
    <t>733914</t>
  </si>
  <si>
    <t>CHEWY.COM (AVP)</t>
  </si>
  <si>
    <t>105679</t>
  </si>
  <si>
    <t>WP 150 GRN GREENIES-72mmx138m-10rl/cs-NS</t>
  </si>
  <si>
    <t>736563</t>
  </si>
  <si>
    <t>NORTH DALLAS HONEY COMPANY</t>
  </si>
  <si>
    <t>737261</t>
  </si>
  <si>
    <t>ARTE SANO</t>
  </si>
  <si>
    <t>737625</t>
  </si>
  <si>
    <t>BURRIS LOGISTICS</t>
  </si>
  <si>
    <t>PC 009C</t>
  </si>
  <si>
    <t>105462</t>
  </si>
  <si>
    <t>741296</t>
  </si>
  <si>
    <t>CADECO INDUSTRIES</t>
  </si>
  <si>
    <t>232167</t>
  </si>
  <si>
    <t>DT 200 GLA-36mm x 50m-24 rls/cs-H</t>
  </si>
  <si>
    <t>743029</t>
  </si>
  <si>
    <t>GARVEY PUBLIC WAREHOUSE FOR CHEWY M</t>
  </si>
  <si>
    <t>743791</t>
  </si>
  <si>
    <t>POLY-TECH PLASTICS MOLDING INC</t>
  </si>
  <si>
    <t>745030</t>
  </si>
  <si>
    <t>UPS STORE - FOR CHEWY.COM - MCO</t>
  </si>
  <si>
    <t>746204</t>
  </si>
  <si>
    <t>SATELLITE WAREHOUSE 314US</t>
  </si>
  <si>
    <t>747007</t>
  </si>
  <si>
    <t>EAST JORDAN FOUNDRY LLC</t>
  </si>
  <si>
    <t>747281</t>
  </si>
  <si>
    <t>THE CONTAINER STORE</t>
  </si>
  <si>
    <t>GS 521</t>
  </si>
  <si>
    <t>101374</t>
  </si>
  <si>
    <t>GS 521 CLR-18mm x 55m-48 rls/cs-H</t>
  </si>
  <si>
    <t>105660</t>
  </si>
  <si>
    <t>HP 235 BLU CONTAIN-72mmx914m-4 rls/cs-NS</t>
  </si>
  <si>
    <t>747287</t>
  </si>
  <si>
    <t>TRI C  BUSINESS FORMS INC</t>
  </si>
  <si>
    <t>232170</t>
  </si>
  <si>
    <t>DT 200 GLA-12mm x 50m-72 rls/cs-H</t>
  </si>
  <si>
    <t>747449</t>
  </si>
  <si>
    <t>747499</t>
  </si>
  <si>
    <t>DEL REAL FOODS</t>
  </si>
  <si>
    <t>231046</t>
  </si>
  <si>
    <t>AP 180 CLR-48mm x 914m-6 rls/cs-H/A</t>
  </si>
  <si>
    <t>749715</t>
  </si>
  <si>
    <t>FIESTA TORTILLAS</t>
  </si>
  <si>
    <t>750170</t>
  </si>
  <si>
    <t>750934</t>
  </si>
  <si>
    <t>CARDINAL HEALTH</t>
  </si>
  <si>
    <t>750942</t>
  </si>
  <si>
    <t>SETECH SCS LLC /PATRICK IND</t>
  </si>
  <si>
    <t>101052</t>
  </si>
  <si>
    <t>CP 106 NAT-18mm x 55m-48 rls/cs-S</t>
  </si>
  <si>
    <t>PE 444</t>
  </si>
  <si>
    <t>198050</t>
  </si>
  <si>
    <t>PE 444 RED- 48mm X 55m- 24 rls/cs-H/A</t>
  </si>
  <si>
    <t>DP 050</t>
  </si>
  <si>
    <t>203796</t>
  </si>
  <si>
    <t>DP 050 CLR-48mm x 50m-24 rls/cs-H</t>
  </si>
  <si>
    <t>717793</t>
  </si>
  <si>
    <t>CALBEE NORTH AMERICA</t>
  </si>
  <si>
    <t>719039</t>
  </si>
  <si>
    <t>AXEL AMERICAS LLC</t>
  </si>
  <si>
    <t>719067</t>
  </si>
  <si>
    <t>DRUMHELLER PACKAGING</t>
  </si>
  <si>
    <t>100763</t>
  </si>
  <si>
    <t>DF 065 NAT-18mm x 33m-48 rls/cs-H/A</t>
  </si>
  <si>
    <t>738223</t>
  </si>
  <si>
    <t>ALL AMERICAN LABEL</t>
  </si>
  <si>
    <t>207891</t>
  </si>
  <si>
    <t>HP 500 TAN-48mm x 50m-36 rls/cs-H</t>
  </si>
  <si>
    <t>743029 GARVEY PUBLIC WAREHOUSE FOR CHEWY M</t>
  </si>
  <si>
    <t>717853 MAPLEHURST BAKERIES</t>
  </si>
  <si>
    <t>747281 THE CONTAINER STORE</t>
  </si>
  <si>
    <t>713453 AAK USA LLC</t>
  </si>
  <si>
    <t>714320 GAP INC SOUTHERN DC</t>
  </si>
  <si>
    <t>45197 PHARMAVITE</t>
  </si>
  <si>
    <t>713838 GAP INC TENNESSEE DC</t>
  </si>
  <si>
    <t>33769 ROLLPAK CORP/BERRY GLOBAL</t>
  </si>
  <si>
    <t>706717 AMERIQUAL PACKAGING</t>
  </si>
  <si>
    <t>716630 WINCUP PLASTICS DBA CARDINAL S</t>
  </si>
  <si>
    <t>701287 AUNT MILLIE'S - COLDWATER BAKE</t>
  </si>
  <si>
    <t>716751 PASSION GROWERS</t>
  </si>
  <si>
    <t>721955 MARCO INDUSTRIES</t>
  </si>
  <si>
    <t>747499 DEL REAL FOODS</t>
  </si>
  <si>
    <t>747895 NSL 00047 @LVO LONGVIEW OMNI</t>
  </si>
  <si>
    <t>730862 UNCLE JOHNS PRIDE</t>
  </si>
  <si>
    <t>742532 LUGNUT4X4</t>
  </si>
  <si>
    <t>748035 RICH PRODUCTS</t>
  </si>
  <si>
    <t>731394 RICH PRODUCTS PLANT 2</t>
  </si>
  <si>
    <t>750389 HUNGRYROOT INC</t>
  </si>
  <si>
    <t>748147 LIFOAM</t>
  </si>
  <si>
    <t>736563 NORTH DALLAS HONEY COMPANY</t>
  </si>
  <si>
    <t>749715 FIESTA TORTILLAS</t>
  </si>
  <si>
    <t>730762 ASSOCIATED PKG FOR FAMOUS FOOTWEAR</t>
  </si>
  <si>
    <t>747449 SOUTHERN WAREHOUSING AND DIST</t>
  </si>
  <si>
    <t>44567 ALBANESE CONFECTIONERY GRP</t>
  </si>
  <si>
    <t>733914 CHEWY.COM (AVP)</t>
  </si>
  <si>
    <t>718535 GAP INC SOUTHERN CROSS DOCK</t>
  </si>
  <si>
    <t>722360 SARSTEDT INC</t>
  </si>
  <si>
    <t>728841 ELIZABETH ARDEN</t>
  </si>
  <si>
    <t>751082 BIMBO BAKEHOUSE</t>
  </si>
  <si>
    <t>740747 IMEX GLOBAL SOLUTIONS LLC</t>
  </si>
  <si>
    <t>25219 RAINBOW GOLD PRODUCTS INC.</t>
  </si>
  <si>
    <t>740351 UST INC</t>
  </si>
  <si>
    <t>719067 DRUMHELLER PACKAGING</t>
  </si>
  <si>
    <t>736673 CHEMSTAR CORP</t>
  </si>
  <si>
    <t>705105 NULAID FOODS INC</t>
  </si>
  <si>
    <t>750170 THE CONTAINER STORE</t>
  </si>
  <si>
    <t>741296 CADECO INDUSTRIES</t>
  </si>
  <si>
    <t>76969 PACTIV CORPORATION</t>
  </si>
  <si>
    <t>45598 HEAVEN HILL DISTILLERIES</t>
  </si>
  <si>
    <t>43629 DALEN PRODUCTS INC</t>
  </si>
  <si>
    <t>738223 ALL AMERICAN LABEL</t>
  </si>
  <si>
    <t>750942 SETECH SCS LLC /PATRICK IND</t>
  </si>
  <si>
    <t>745030 UPS STORE - FOR CHEWY.COM - MCO</t>
  </si>
  <si>
    <t>742895 SUNKOTE PLASTIC COATINGS</t>
  </si>
  <si>
    <t>740889 FEEDING THE VALLEY FOOD BANK</t>
  </si>
  <si>
    <t>750934 CARDINAL HEALTH</t>
  </si>
  <si>
    <t>751036 MICHAEL DAVID WINERY</t>
  </si>
  <si>
    <t>747287 TRI C  BUSINESS FORMS INC</t>
  </si>
  <si>
    <t>708637 KENCO LOGISTIC SERVICES</t>
  </si>
  <si>
    <t>747799 GENESCO FAYETTEVILLE</t>
  </si>
  <si>
    <t>749826 THE ROBINETTE COMPANY</t>
  </si>
  <si>
    <t>719039 AXEL AMERICAS LLC</t>
  </si>
  <si>
    <t>719171 LATHAM POOL PRODUCTS</t>
  </si>
  <si>
    <t>733904 CHEWY.COM (DFW)</t>
  </si>
  <si>
    <t>746603 SML LOGISTICS FOR HUNGRYROOT</t>
  </si>
  <si>
    <t>737625 BURRIS LOGISTICS</t>
  </si>
  <si>
    <t>16512 RAYLOC</t>
  </si>
  <si>
    <t>742571 CARLEX GLASS COMPANY</t>
  </si>
  <si>
    <t>737261 ARTE SANO</t>
  </si>
  <si>
    <t>706241 METALMAX LLC</t>
  </si>
  <si>
    <t>703436 INTERNATIONAL PAPER</t>
  </si>
  <si>
    <t>738552 AUNT MILLIE'S</t>
  </si>
  <si>
    <t>743062 NELLSON LLC- ONTARIO PLANT</t>
  </si>
  <si>
    <t>746941 GAP INC</t>
  </si>
  <si>
    <t>746841 ASSOCIATED FOR MAPLEHURST</t>
  </si>
  <si>
    <t>728225 REDBARN PET PRODUCTS</t>
  </si>
  <si>
    <t>743791 POLY-TECH PLASTICS MOLDING INC</t>
  </si>
  <si>
    <t>20424 PROGRESS PRINTING CO INC</t>
  </si>
  <si>
    <t>716771 GENPAK</t>
  </si>
  <si>
    <t>719150 T MARZETTI COMPANY</t>
  </si>
  <si>
    <t>700619 KENTUCKY MOVING &amp; STORAGE</t>
  </si>
  <si>
    <t>721175 AMERICAN AIR FILTER</t>
  </si>
  <si>
    <t>741406 MS INTERNATIONAL</t>
  </si>
  <si>
    <t>84047 THE ROBINETTE COMPANY</t>
  </si>
  <si>
    <t>746520 ROCKY MOUNTAIN PIES</t>
  </si>
  <si>
    <t>733468 CROWN LABORATORIES INC</t>
  </si>
  <si>
    <t>747078 MS INTERNATIONAL</t>
  </si>
  <si>
    <t>745651 PORTOBELLO AMERICA</t>
  </si>
  <si>
    <t>746910 RAGE PLASTICS</t>
  </si>
  <si>
    <t>746950 NEXGEN MOLD &amp; TOOL INC</t>
  </si>
  <si>
    <t>714654 GAP INC</t>
  </si>
  <si>
    <t>747007 EAST JORDAN FOUNDRY LLC</t>
  </si>
  <si>
    <t>745701 FORMULATED SOLUTIONS</t>
  </si>
  <si>
    <t>729312 NIFCO</t>
  </si>
  <si>
    <t>44691 AUTOCHLOR SYSTEM</t>
  </si>
  <si>
    <t>38633 GENESCO IMPORT GROUP/ DOCKERS</t>
  </si>
  <si>
    <t>710894 SNAPLOCK MFG</t>
  </si>
  <si>
    <t>707575 PLANTERS</t>
  </si>
  <si>
    <t>44684 GENESIS DIRECT</t>
  </si>
  <si>
    <t>746140 ASSOCIATED FOR BADIA</t>
  </si>
  <si>
    <t>727933 PIONEER ECLIPSE CORP</t>
  </si>
  <si>
    <t>711257 REGIONAL FOOD BANK</t>
  </si>
  <si>
    <t>746204 SATELLITE WAREHOUSE 314US</t>
  </si>
  <si>
    <t>35302 HONEYVILLE GRAIN INC</t>
  </si>
  <si>
    <t>746565 STOCKTON COLD STORAGE LLC</t>
  </si>
  <si>
    <t>717862 PARKER COMMERCIAL STORAGE &amp; DI</t>
  </si>
  <si>
    <t>746542 JCF HOUSEMENTS</t>
  </si>
  <si>
    <t>733173 VITAMIN SHOPPE</t>
  </si>
  <si>
    <t>717793 CALBEE NORTH AMERICA</t>
  </si>
  <si>
    <t>34535 QCD</t>
  </si>
  <si>
    <t>8238 VALLEN DISTRIBUTION INC</t>
  </si>
  <si>
    <t>741349 ESQUIRE WIRE</t>
  </si>
  <si>
    <t>739411 BASE CULTURE</t>
  </si>
  <si>
    <t>32408</t>
  </si>
  <si>
    <t>YOSEMITE FOODS INC</t>
  </si>
  <si>
    <t>91982</t>
  </si>
  <si>
    <t>GLAXO SMITH &amp; KLINE</t>
  </si>
  <si>
    <t>707236</t>
  </si>
  <si>
    <t>VICTOR PACKING INC</t>
  </si>
  <si>
    <t>200655</t>
  </si>
  <si>
    <t>HP 100 CLR-48mm x 1828m-6 rls/cs-S</t>
  </si>
  <si>
    <t>750931</t>
  </si>
  <si>
    <t>DIESTEL TURKEY RANCH</t>
  </si>
  <si>
    <t>TBD SHURTAPE (I)</t>
  </si>
  <si>
    <t>37873</t>
  </si>
  <si>
    <t>DOMTAR PAPER CO LLC</t>
  </si>
  <si>
    <t>45362</t>
  </si>
  <si>
    <t>ROCKY SHOES AND BOOTS</t>
  </si>
  <si>
    <t>75545</t>
  </si>
  <si>
    <t>ID IMAGES</t>
  </si>
  <si>
    <t>81193</t>
  </si>
  <si>
    <t>THINK PACKAGING</t>
  </si>
  <si>
    <t>100055</t>
  </si>
  <si>
    <t>FP 097 KFT-48mm x 50m-24 rls/cs-H</t>
  </si>
  <si>
    <t>708734</t>
  </si>
  <si>
    <t>P- 628</t>
  </si>
  <si>
    <t>138775</t>
  </si>
  <si>
    <t>P- 628 BLK-48mm x 50m-24 RLS/CS-S</t>
  </si>
  <si>
    <t>718089</t>
  </si>
  <si>
    <t>DP 380</t>
  </si>
  <si>
    <t>232259</t>
  </si>
  <si>
    <t>DP 380 GLA-48mm x 50m-24 rls/cs-H</t>
  </si>
  <si>
    <t>734369</t>
  </si>
  <si>
    <t>AMERICAN MITSUBA</t>
  </si>
  <si>
    <t>738291</t>
  </si>
  <si>
    <t>ASSOCIATED PKG FOR BERRY GLOBAL/ROL</t>
  </si>
  <si>
    <t>739391</t>
  </si>
  <si>
    <t>THE ROYAL GROUP</t>
  </si>
  <si>
    <t>742808</t>
  </si>
  <si>
    <t>ALBANESE CONFECTIONERY DISTR</t>
  </si>
  <si>
    <t>105322</t>
  </si>
  <si>
    <t>CP 225 GLD-48mm x 55m-24 rls/cs-H/T</t>
  </si>
  <si>
    <t>747290</t>
  </si>
  <si>
    <t>AAF ATLANTA PLANT</t>
  </si>
  <si>
    <t>10941</t>
  </si>
  <si>
    <t>MOUNTAIN STATE BEVERAGE</t>
  </si>
  <si>
    <t>33406</t>
  </si>
  <si>
    <t>ALFA SUPPLY, INC.</t>
  </si>
  <si>
    <t>707919</t>
  </si>
  <si>
    <t>WHOLESALE BOUTIQUE</t>
  </si>
  <si>
    <t>101685</t>
  </si>
  <si>
    <t>WP 100 NAT-70mmx138m(450ft)-10rls/cs-H/A</t>
  </si>
  <si>
    <t>741315</t>
  </si>
  <si>
    <t>RESOURCE MHR NC LLC</t>
  </si>
  <si>
    <t>741556</t>
  </si>
  <si>
    <t>LSC COMMUNICATIONS</t>
  </si>
  <si>
    <t>743503</t>
  </si>
  <si>
    <t>ADVANCE AUTO SUPPLIES</t>
  </si>
  <si>
    <t>744567</t>
  </si>
  <si>
    <t>READERLINK DISTRIBUTION DNU</t>
  </si>
  <si>
    <t>745047</t>
  </si>
  <si>
    <t>DAYE NORTH AMERICA INC</t>
  </si>
  <si>
    <t>751421</t>
  </si>
  <si>
    <t>DIRECT SPORTS, INC.</t>
  </si>
  <si>
    <t>751481</t>
  </si>
  <si>
    <t>AXJO AMERICA INC</t>
  </si>
  <si>
    <t>101290</t>
  </si>
  <si>
    <t>GS 501 CLR-72mm x 55m-12 rls/cs-H</t>
  </si>
  <si>
    <t>751584</t>
  </si>
  <si>
    <t>PRODUCTIV INC</t>
  </si>
  <si>
    <t>80579</t>
  </si>
  <si>
    <t>SPECIALTY CONVERTING</t>
  </si>
  <si>
    <t>204559</t>
  </si>
  <si>
    <t>DP 050 CLR-24mm x 50m-36 rls/cs-H</t>
  </si>
  <si>
    <t>100020</t>
  </si>
  <si>
    <t>FP 097 KFT-36mm x 55m-24 rls/cs-H</t>
  </si>
  <si>
    <t>81112</t>
  </si>
  <si>
    <t>FLEETGUARD INC</t>
  </si>
  <si>
    <t>183220</t>
  </si>
  <si>
    <t>HP 240 WR STOP-48mm x 914m-6 rls/cs-H</t>
  </si>
  <si>
    <t>704009</t>
  </si>
  <si>
    <t>704898</t>
  </si>
  <si>
    <t>706027</t>
  </si>
  <si>
    <t>PEYTONS MID-SOUTH</t>
  </si>
  <si>
    <t>717735</t>
  </si>
  <si>
    <t>GAP-OLD NAVY</t>
  </si>
  <si>
    <t>733432</t>
  </si>
  <si>
    <t>B2B GENERIC SHIP-TO DISTRIBUTOR POR</t>
  </si>
  <si>
    <t>101377</t>
  </si>
  <si>
    <t>GS 521 CLR-48mm x 55m-24 rls/cs-H</t>
  </si>
  <si>
    <t>743226</t>
  </si>
  <si>
    <t>RELIANCE WORLDWIDE CORPORATION</t>
  </si>
  <si>
    <t>125419</t>
  </si>
  <si>
    <t>HP 800 CLR-48mm x 50m-36 rls/cs-H</t>
  </si>
  <si>
    <t>747214</t>
  </si>
  <si>
    <t>HIGHLY MARELLI USA INC</t>
  </si>
  <si>
    <t>747350</t>
  </si>
  <si>
    <t>ASSOCIATED FOR JOHNS MANVILLE</t>
  </si>
  <si>
    <t>747420</t>
  </si>
  <si>
    <t>ARTAZN</t>
  </si>
  <si>
    <t>747474</t>
  </si>
  <si>
    <t>SAMUELS METAL PROCESSING</t>
  </si>
  <si>
    <t>751561</t>
  </si>
  <si>
    <t>EBM-PAPST INC</t>
  </si>
  <si>
    <t>751675</t>
  </si>
  <si>
    <t>WHITMAN PUBLISHING</t>
  </si>
  <si>
    <t>HM 016</t>
  </si>
  <si>
    <t>104618</t>
  </si>
  <si>
    <t>751790</t>
  </si>
  <si>
    <t>CORECHEM</t>
  </si>
  <si>
    <t>100530</t>
  </si>
  <si>
    <t>CP 083 NAT-24mm x 55m-36 rls/cs-S</t>
  </si>
  <si>
    <t>704928</t>
  </si>
  <si>
    <t>FRESH LEAF FARMS LLC</t>
  </si>
  <si>
    <t>732142</t>
  </si>
  <si>
    <t>ONEILL RBW LOGISTICS</t>
  </si>
  <si>
    <t>741114</t>
  </si>
  <si>
    <t>741251</t>
  </si>
  <si>
    <t>MS INTERNATIONAL INC</t>
  </si>
  <si>
    <t>743010</t>
  </si>
  <si>
    <t>747829</t>
  </si>
  <si>
    <t>ST MARY'S FOOD BANK ALLIANCE</t>
  </si>
  <si>
    <t>751402</t>
  </si>
  <si>
    <t>C D CONTAINER</t>
  </si>
  <si>
    <t>730232</t>
  </si>
  <si>
    <t>CLEAR LAKE ENTERPRISES INC</t>
  </si>
  <si>
    <t>741354</t>
  </si>
  <si>
    <t>MALLARD MANUFACTURING</t>
  </si>
  <si>
    <t>743045</t>
  </si>
  <si>
    <t>MOTHER KOMBUCHA</t>
  </si>
  <si>
    <t>743172</t>
  </si>
  <si>
    <t>ATLAS EXPORT</t>
  </si>
  <si>
    <t>120077</t>
  </si>
  <si>
    <t>CP 066 NAT-24mm x 55m-36 rls/cs-H/A</t>
  </si>
  <si>
    <t>743686</t>
  </si>
  <si>
    <t>SOLAR CITY INC DBA THE LEVEREDGE</t>
  </si>
  <si>
    <t>744968</t>
  </si>
  <si>
    <t>ASSOCIATED PKG FOR SAFARILAND LLC</t>
  </si>
  <si>
    <t>105030</t>
  </si>
  <si>
    <t>WP 150 RKSAF 70MMx183M(600FT)-10rl/cs-NS</t>
  </si>
  <si>
    <t>746057</t>
  </si>
  <si>
    <t>COCA-COLA BEVERAGES FLORIDA</t>
  </si>
  <si>
    <t>747366</t>
  </si>
  <si>
    <t>ROB BLANKENSHIP</t>
  </si>
  <si>
    <t>92229</t>
  </si>
  <si>
    <t>717868</t>
  </si>
  <si>
    <t>ALMA PAK INC</t>
  </si>
  <si>
    <t>736069</t>
  </si>
  <si>
    <t>SUWANEE SPORTS ACADEMY</t>
  </si>
  <si>
    <t>740305</t>
  </si>
  <si>
    <t>TOP FLIGHT</t>
  </si>
  <si>
    <t>78143</t>
  </si>
  <si>
    <t>CTI FOODS/ SOUP</t>
  </si>
  <si>
    <t>706088</t>
  </si>
  <si>
    <t>CARLISLE COATINGS</t>
  </si>
  <si>
    <t>729126</t>
  </si>
  <si>
    <t>732217</t>
  </si>
  <si>
    <t>ASSOCIATED PKG FOR CARGILL MEAT</t>
  </si>
  <si>
    <t>733910</t>
  </si>
  <si>
    <t>CHEWY.COM (MCO)</t>
  </si>
  <si>
    <t>105173</t>
  </si>
  <si>
    <t>WP 150 WB TR 70mmx138m(450FT)-10rl/cs-NS</t>
  </si>
  <si>
    <t>105424</t>
  </si>
  <si>
    <t>WP 150 BLU NEXHART 72mm x 138M - NS</t>
  </si>
  <si>
    <t>736941</t>
  </si>
  <si>
    <t>CHEWY INC (DAY)</t>
  </si>
  <si>
    <t>PC 009 BLK-48mm x 55m-24 rls/cs-S</t>
  </si>
  <si>
    <t>745657</t>
  </si>
  <si>
    <t>CHEWY PHARMACY LLC AVP4</t>
  </si>
  <si>
    <t>105391</t>
  </si>
  <si>
    <t>WP 150 BLU HEART-72mmx138m(450FT)-10r/cs</t>
  </si>
  <si>
    <t>CP 101</t>
  </si>
  <si>
    <t>202005</t>
  </si>
  <si>
    <t>CP 101 NAT-18mm x 55m-48 rls/cs-H/T</t>
  </si>
  <si>
    <t>750822</t>
  </si>
  <si>
    <t>CHEWY - BNA</t>
  </si>
  <si>
    <t>751666</t>
  </si>
  <si>
    <t>SHAWNEE MILLING</t>
  </si>
  <si>
    <t>231059</t>
  </si>
  <si>
    <t>AP 101 CLR-48mm x 1371m-6 rls/cs-H</t>
  </si>
  <si>
    <t>158828</t>
  </si>
  <si>
    <t>CP 631 GRN-24mm x 55m-36 rls/cs-H</t>
  </si>
  <si>
    <t>152664</t>
  </si>
  <si>
    <t>HP 235 CR BISTOP-72mmx914m-4 rls/cs-NS</t>
  </si>
  <si>
    <t>27654</t>
  </si>
  <si>
    <t>UNITED SOLUTIONS</t>
  </si>
  <si>
    <t>45277</t>
  </si>
  <si>
    <t>CARLISLE SYNTEC</t>
  </si>
  <si>
    <t>202851</t>
  </si>
  <si>
    <t>VP 410 GRN- 50mm X 33m- 24 rls/cs-H</t>
  </si>
  <si>
    <t>101287</t>
  </si>
  <si>
    <t>GS 501 CLR-24mm x 55m-36 rls/cs-H/A</t>
  </si>
  <si>
    <t>717860</t>
  </si>
  <si>
    <t>SYNOVOS</t>
  </si>
  <si>
    <t>208836</t>
  </si>
  <si>
    <t>HP 800 CLR-48mm x 914m-6 rls/cs-NS</t>
  </si>
  <si>
    <t>114685</t>
  </si>
  <si>
    <t>CP 631 RED-48mm x 55m-24 rls/cs-H</t>
  </si>
  <si>
    <t>741565</t>
  </si>
  <si>
    <t>TBDN</t>
  </si>
  <si>
    <t>109856</t>
  </si>
  <si>
    <t>CP 631 BLK-48mm x 55m-24 rls/cs-H/T</t>
  </si>
  <si>
    <t>741630</t>
  </si>
  <si>
    <t>HEARTLAND CATFISH</t>
  </si>
  <si>
    <t>742049</t>
  </si>
  <si>
    <t>HOLLOWELL INDUSTIRES</t>
  </si>
  <si>
    <t>751470</t>
  </si>
  <si>
    <t>AWC INC</t>
  </si>
  <si>
    <t>100742</t>
  </si>
  <si>
    <t>VP 410 GRN-75mm x 33m-18 rls/cs-H</t>
  </si>
  <si>
    <t>751546</t>
  </si>
  <si>
    <t>PFS WEB</t>
  </si>
  <si>
    <t>751748</t>
  </si>
  <si>
    <t>COMMUNITY COFFEE CO</t>
  </si>
  <si>
    <t>750822 CHEWY - BNA</t>
  </si>
  <si>
    <t>732217 ASSOCIATED PKG FOR CARGILL MEAT</t>
  </si>
  <si>
    <t>704928 FRESH LEAF FARMS LLC</t>
  </si>
  <si>
    <t>741630 HEARTLAND CATFISH</t>
  </si>
  <si>
    <t>751481 AXJO AMERICA INC</t>
  </si>
  <si>
    <t>78143 CTI FOODS/ SOUP</t>
  </si>
  <si>
    <t>743172 ATLAS EXPORT</t>
  </si>
  <si>
    <t>751666 SHAWNEE MILLING</t>
  </si>
  <si>
    <t>741556 LSC COMMUNICATIONS</t>
  </si>
  <si>
    <t>746057 COCA-COLA BEVERAGES FLORIDA</t>
  </si>
  <si>
    <t>747829 ST MARY'S FOOD BANK ALLIANCE</t>
  </si>
  <si>
    <t>729126 CARGILL MEAT</t>
  </si>
  <si>
    <t>741354 MALLARD MANUFACTURING</t>
  </si>
  <si>
    <t>751748 COMMUNITY COFFEE CO</t>
  </si>
  <si>
    <t>751546 PFS WEB</t>
  </si>
  <si>
    <t>730232 CLEAR LAKE ENTERPRISES INC</t>
  </si>
  <si>
    <t>751584 PRODUCTIV INC</t>
  </si>
  <si>
    <t>751675 WHITMAN PUBLISHING</t>
  </si>
  <si>
    <t>736941 CHEWY INC (DAY)</t>
  </si>
  <si>
    <t>750931 DIESTEL TURKEY RANCH</t>
  </si>
  <si>
    <t>33406 ALFA SUPPLY, INC.</t>
  </si>
  <si>
    <t>708734 PARKER HANNIFIN CORP HVAC DIV</t>
  </si>
  <si>
    <t>80579 SPECIALTY CONVERTING</t>
  </si>
  <si>
    <t>751421 DIRECT SPORTS, INC.</t>
  </si>
  <si>
    <t>81193 THINK PACKAGING</t>
  </si>
  <si>
    <t>743686 SOLAR CITY INC DBA THE LEVEREDGE</t>
  </si>
  <si>
    <t>741565 TBDN</t>
  </si>
  <si>
    <t>751790 CORECHEM</t>
  </si>
  <si>
    <t>45362 ROCKY SHOES AND BOOTS</t>
  </si>
  <si>
    <t>751561 EBM-PAPST INC</t>
  </si>
  <si>
    <t>734369 AMERICAN MITSUBA</t>
  </si>
  <si>
    <t>27654 UNITED SOLUTIONS</t>
  </si>
  <si>
    <t>743226 RELIANCE WORLDWIDE CORPORATION</t>
  </si>
  <si>
    <t>751470 AWC INC</t>
  </si>
  <si>
    <t>45277 CARLISLE SYNTEC</t>
  </si>
  <si>
    <t>37873 DOMTAR PAPER CO LLC</t>
  </si>
  <si>
    <t>751402 C D CONTAINER</t>
  </si>
  <si>
    <t>747214 HIGHLY MARELLI USA INC</t>
  </si>
  <si>
    <t>741315 RESOURCE MHR NC LLC</t>
  </si>
  <si>
    <t>717860 SYNOVOS</t>
  </si>
  <si>
    <t>740305 TOP FLIGHT</t>
  </si>
  <si>
    <t>736069 SUWANEE SPORTS ACADEMY</t>
  </si>
  <si>
    <t>747290 AAF ATLANTA PLANT</t>
  </si>
  <si>
    <t>91982 GLAXO SMITH &amp; KLINE</t>
  </si>
  <si>
    <t>745047 DAYE NORTH AMERICA INC</t>
  </si>
  <si>
    <t>32408 YOSEMITE FOODS INC</t>
  </si>
  <si>
    <t>704009 DREW FOAM OF TENNESSEE</t>
  </si>
  <si>
    <t>738291 ASSOCIATED PKG FOR BERRY GLOBAL/ROL</t>
  </si>
  <si>
    <t>744968 ASSOCIATED PKG FOR SAFARILAND LLC</t>
  </si>
  <si>
    <t>747420 ARTAZN</t>
  </si>
  <si>
    <t>747366 ROB BLANKENSHIP</t>
  </si>
  <si>
    <t>741114 MS INTERNATIONAL</t>
  </si>
  <si>
    <t>733432 B2B GENERIC SHIP-TO DISTRIBUTOR POR</t>
  </si>
  <si>
    <t>718089 INTERNATIONAL PAPER</t>
  </si>
  <si>
    <t>744567 READERLINK DISTRIBUTION DNU</t>
  </si>
  <si>
    <t>92229 INTERFACEFLOR LLC</t>
  </si>
  <si>
    <t>743045 MOTHER KOMBUCHA</t>
  </si>
  <si>
    <t>706088 CARLISLE COATINGS</t>
  </si>
  <si>
    <t>741251 MS INTERNATIONAL INC</t>
  </si>
  <si>
    <t>739391 THE ROYAL GROUP</t>
  </si>
  <si>
    <t>81112 FLEETGUARD INC</t>
  </si>
  <si>
    <t>717735 GAP-OLD NAVY</t>
  </si>
  <si>
    <t>747350 ASSOCIATED FOR JOHNS MANVILLE</t>
  </si>
  <si>
    <t>745657 CHEWY PHARMACY LLC AVP4</t>
  </si>
  <si>
    <t>747474 SAMUELS METAL PROCESSING</t>
  </si>
  <si>
    <t>742049 HOLLOWELL INDUSTIRES</t>
  </si>
  <si>
    <t>704898 METALMAX LLC</t>
  </si>
  <si>
    <t>10941 MOUNTAIN STATE BEVERAGE</t>
  </si>
  <si>
    <t>706027 PEYTONS MID-SOUTH</t>
  </si>
  <si>
    <t>742808 ALBANESE CONFECTIONERY DISTR</t>
  </si>
  <si>
    <t>743010 MS INTERNATIONAL INC</t>
  </si>
  <si>
    <t>717868 ALMA PAK INC</t>
  </si>
  <si>
    <t>732142 ONEILL RBW LOGISTICS</t>
  </si>
  <si>
    <t>75545 ID IMAGES</t>
  </si>
  <si>
    <t>707919 WHOLESALE BOUTIQUE</t>
  </si>
  <si>
    <t>743503 ADVANCE AUTO SUPPLIES</t>
  </si>
  <si>
    <t>707236 VICTOR PACKING INC</t>
  </si>
  <si>
    <t>733910 CHEWY.COM (MCO)</t>
  </si>
  <si>
    <t>231031</t>
  </si>
  <si>
    <t>AP 201 TAN-48mm x 100m-36 rls/cs-H</t>
  </si>
  <si>
    <t>105307</t>
  </si>
  <si>
    <t>AP 201 GRN 48mm x 914m-6 rls/cs-H/A</t>
  </si>
  <si>
    <t>105310</t>
  </si>
  <si>
    <t>AP 201 YEL 48mm x 914m-6 rls/cs-H/A</t>
  </si>
  <si>
    <t>739709</t>
  </si>
  <si>
    <t>NDS INC</t>
  </si>
  <si>
    <t>745867</t>
  </si>
  <si>
    <t>TORANI - SL</t>
  </si>
  <si>
    <t>746128</t>
  </si>
  <si>
    <t>KIM HONG NOODLE</t>
  </si>
  <si>
    <t>746162</t>
  </si>
  <si>
    <t>CALIFORNIA NUGGETS INC</t>
  </si>
  <si>
    <t>747614</t>
  </si>
  <si>
    <t>PFLUG PACKAGING - LATHROP WHSE</t>
  </si>
  <si>
    <t>747661</t>
  </si>
  <si>
    <t>OMEGA WALNUT INC</t>
  </si>
  <si>
    <t>751476</t>
  </si>
  <si>
    <t>BAUGHER RANCH ORGANICS</t>
  </si>
  <si>
    <t>751841</t>
  </si>
  <si>
    <t>CARRIERE FAMILY FARMS</t>
  </si>
  <si>
    <t>46908</t>
  </si>
  <si>
    <t>MOUNTAINLAND SUPPLY CO</t>
  </si>
  <si>
    <t>734435</t>
  </si>
  <si>
    <t>BRIDGEWATER/ARAMSCO</t>
  </si>
  <si>
    <t>746969</t>
  </si>
  <si>
    <t>ASAP WAREHOUSE FOR ROCKY MTN PIES</t>
  </si>
  <si>
    <t>708660</t>
  </si>
  <si>
    <t>EPW</t>
  </si>
  <si>
    <t>CP 500</t>
  </si>
  <si>
    <t>188481</t>
  </si>
  <si>
    <t>CP 500 NAT-24mm x 55m-36 rls/cs-H</t>
  </si>
  <si>
    <t>724093</t>
  </si>
  <si>
    <t>WINKLER INC</t>
  </si>
  <si>
    <t>724344</t>
  </si>
  <si>
    <t>RAGE CORPORATION</t>
  </si>
  <si>
    <t>901801</t>
  </si>
  <si>
    <t>50385 2" RH/LH Hub</t>
  </si>
  <si>
    <t>740267</t>
  </si>
  <si>
    <t>741924</t>
  </si>
  <si>
    <t>NEXUS VALVE</t>
  </si>
  <si>
    <t>745777</t>
  </si>
  <si>
    <t>MCI FULFILLMENT SERVICES</t>
  </si>
  <si>
    <t>WRBP-MARION</t>
  </si>
  <si>
    <t>DISPENSERS</t>
  </si>
  <si>
    <t>903238</t>
  </si>
  <si>
    <t>03042 SPARE CLEAR WIPER FOR FE-3</t>
  </si>
  <si>
    <t>720725</t>
  </si>
  <si>
    <t>EASTERN STATES STEEL</t>
  </si>
  <si>
    <t>732361</t>
  </si>
  <si>
    <t>TEAM IMAGE MARKETING</t>
  </si>
  <si>
    <t>232262</t>
  </si>
  <si>
    <t>DP 380 GLA-19mm x 50m-48 rls/cs-H</t>
  </si>
  <si>
    <t>740591</t>
  </si>
  <si>
    <t>EBI LLC</t>
  </si>
  <si>
    <t>743609</t>
  </si>
  <si>
    <t>MAINETTI</t>
  </si>
  <si>
    <t>101295</t>
  </si>
  <si>
    <t>GS 490 CLR-72mm x 55m-12 rls/cs-H</t>
  </si>
  <si>
    <t>751821</t>
  </si>
  <si>
    <t>SOFTEX PAPER INC</t>
  </si>
  <si>
    <t>9644</t>
  </si>
  <si>
    <t>PANOLAM INDUSTRIES INTERNATIONAL IN</t>
  </si>
  <si>
    <t>104667</t>
  </si>
  <si>
    <t>FP 115 BRN-24mm x 55m-36 rls/cs-H</t>
  </si>
  <si>
    <t>717435</t>
  </si>
  <si>
    <t>MITCHELL PRINTING/TNT</t>
  </si>
  <si>
    <t>HM 016 CLR-72mm x 100m-24 rls/cs-S</t>
  </si>
  <si>
    <t>742055</t>
  </si>
  <si>
    <t>G&amp;A SCREEN PRINTING</t>
  </si>
  <si>
    <t>747014</t>
  </si>
  <si>
    <t>NASHVILLE RECORD PRESSING</t>
  </si>
  <si>
    <t>713105</t>
  </si>
  <si>
    <t>PALMETTO CANNING CO</t>
  </si>
  <si>
    <t>721619</t>
  </si>
  <si>
    <t>IGT GLOBAL SOLUTIONS CORP</t>
  </si>
  <si>
    <t>732720</t>
  </si>
  <si>
    <t>HONEYCOMB COMPANY OF AMERICA</t>
  </si>
  <si>
    <t>734282</t>
  </si>
  <si>
    <t>COLONIAL PRESS</t>
  </si>
  <si>
    <t>FE-2</t>
  </si>
  <si>
    <t>903250</t>
  </si>
  <si>
    <t>FE-2 Folded-Edge Tape Dispenser - H</t>
  </si>
  <si>
    <t>741842</t>
  </si>
  <si>
    <t>SAFARILAND LLC</t>
  </si>
  <si>
    <t>743687</t>
  </si>
  <si>
    <t>SOUTHERN WINE AND SPIRITS</t>
  </si>
  <si>
    <t>751855</t>
  </si>
  <si>
    <t>COMMERCIAL WAREHOUSING</t>
  </si>
  <si>
    <t>100501</t>
  </si>
  <si>
    <t>HP 200 CLR-36mm x 914m-8 rls/cs-H</t>
  </si>
  <si>
    <t>901623</t>
  </si>
  <si>
    <t>50663 KNIFE GUARD ASSY RH</t>
  </si>
  <si>
    <t>901624</t>
  </si>
  <si>
    <t>50664 KNIFE GUARD ASSY LH</t>
  </si>
  <si>
    <t>901884</t>
  </si>
  <si>
    <t>50560 3" RH CLUTCH ROLLER</t>
  </si>
  <si>
    <t>901890</t>
  </si>
  <si>
    <t>50386 3" RH/LH HUB</t>
  </si>
  <si>
    <t>901948</t>
  </si>
  <si>
    <t>51194 51005 CUTTING CAM ASSY. 2" RH</t>
  </si>
  <si>
    <t>902377</t>
  </si>
  <si>
    <t>50410 2" HUB SHAFT</t>
  </si>
  <si>
    <t>902378</t>
  </si>
  <si>
    <t>50411 3" HUB SHAFT</t>
  </si>
  <si>
    <t>741086</t>
  </si>
  <si>
    <t>RAINBOW GOLD PRODUCTS</t>
  </si>
  <si>
    <t>747621</t>
  </si>
  <si>
    <t>FILTERBUY ORLANDO</t>
  </si>
  <si>
    <t>33511</t>
  </si>
  <si>
    <t>EBAA IRON</t>
  </si>
  <si>
    <t>34135</t>
  </si>
  <si>
    <t>CTI FOODS-BEAN PLANT</t>
  </si>
  <si>
    <t>901788</t>
  </si>
  <si>
    <t>10469 KNIFE-T</t>
  </si>
  <si>
    <t>200667</t>
  </si>
  <si>
    <t>HP 500 CLR-48mm x 100m-36 rls/cs-H</t>
  </si>
  <si>
    <t>712872</t>
  </si>
  <si>
    <t>CENTURY  FITNESS</t>
  </si>
  <si>
    <t>714327</t>
  </si>
  <si>
    <t>ASSOCIATED PKG FOR STANDARD MEAT</t>
  </si>
  <si>
    <t>901764</t>
  </si>
  <si>
    <t>50558 2" RH CLUTCH ROLLER</t>
  </si>
  <si>
    <t>901879</t>
  </si>
  <si>
    <t>50371 50208 ROLLER ASSY. 77MM</t>
  </si>
  <si>
    <t>901930</t>
  </si>
  <si>
    <t>50412 2" CLUTCH ROLLER SHAFT</t>
  </si>
  <si>
    <t>902264</t>
  </si>
  <si>
    <t>50694 KNIFE GAURD ASSY FULL BLADE 2' LH</t>
  </si>
  <si>
    <t>902333</t>
  </si>
  <si>
    <t>51081 UA CYLINDER ASSY. RH LH</t>
  </si>
  <si>
    <t>105100</t>
  </si>
  <si>
    <t>WP 150 WB NXG 70mmx138m(450FT)-10rl/cs</t>
  </si>
  <si>
    <t>105389</t>
  </si>
  <si>
    <t>WP 150 RED SIMP-72mmx138m(450FT)-10rl/cs</t>
  </si>
  <si>
    <t>207892</t>
  </si>
  <si>
    <t>HP 500 TAN-72mm x 50m-24 rls/cs-H/A</t>
  </si>
  <si>
    <t>901625</t>
  </si>
  <si>
    <t>BESTPACK STD MOUNTING PLATES - REAR</t>
  </si>
  <si>
    <t>902016</t>
  </si>
  <si>
    <t>BEST PACK FRONT MOUNTING PLATE</t>
  </si>
  <si>
    <t>747568</t>
  </si>
  <si>
    <t>CHEWY.COM (RNO)</t>
  </si>
  <si>
    <t>751830</t>
  </si>
  <si>
    <t>CHEWY.COM - HOU</t>
  </si>
  <si>
    <t>PC 600S</t>
  </si>
  <si>
    <t>209438</t>
  </si>
  <si>
    <t>PC 600 SIL-72mm  *DO NOT USE*</t>
  </si>
  <si>
    <t>46249</t>
  </si>
  <si>
    <t>NORTHDOWN INDUSTRIES (MTI)</t>
  </si>
  <si>
    <t>79333</t>
  </si>
  <si>
    <t>NEEDLE SPECIALTY PRODUCTS</t>
  </si>
  <si>
    <t>104640</t>
  </si>
  <si>
    <t>CP 066 NAT-12mm x 55m-72 rls/cs- H</t>
  </si>
  <si>
    <t>90392</t>
  </si>
  <si>
    <t>PRINTPACK INC</t>
  </si>
  <si>
    <t>751735</t>
  </si>
  <si>
    <t>ASSOCIATED FOR EVERSANA</t>
  </si>
  <si>
    <t>751735 ASSOCIATED FOR EVERSANA</t>
  </si>
  <si>
    <t>739404 READERLINK DISTRIBUTION DNU</t>
  </si>
  <si>
    <t>751830 CHEWY.COM - HOU</t>
  </si>
  <si>
    <t>717435 MITCHELL PRINTING/TNT</t>
  </si>
  <si>
    <t>741842 SAFARILAND LLC</t>
  </si>
  <si>
    <t>713105 PALMETTO CANNING CO</t>
  </si>
  <si>
    <t>743687 SOUTHERN WINE AND SPIRITS</t>
  </si>
  <si>
    <t>720725 EASTERN STATES STEEL</t>
  </si>
  <si>
    <t>741924 NEXUS VALVE</t>
  </si>
  <si>
    <t>746128 KIM HONG NOODLE</t>
  </si>
  <si>
    <t>751841 CARRIERE FAMILY FARMS</t>
  </si>
  <si>
    <t>743609 MAINETTI</t>
  </si>
  <si>
    <t>33511 EBAA IRON</t>
  </si>
  <si>
    <t>741086 RAINBOW GOLD PRODUCTS</t>
  </si>
  <si>
    <t>751855 COMMERCIAL WAREHOUSING</t>
  </si>
  <si>
    <t>704061 WRBP-MARION</t>
  </si>
  <si>
    <t>751821 SOFTEX PAPER INC</t>
  </si>
  <si>
    <t>751476 BAUGHER RANCH ORGANICS</t>
  </si>
  <si>
    <t>9644 PANOLAM INDUSTRIES INTERNATIONAL IN</t>
  </si>
  <si>
    <t>79333 NEEDLE SPECIALTY PRODUCTS</t>
  </si>
  <si>
    <t>712872 CENTURY  FITNESS</t>
  </si>
  <si>
    <t>732720 HONEYCOMB COMPANY OF AMERICA</t>
  </si>
  <si>
    <t>90392 PRINTPACK INC</t>
  </si>
  <si>
    <t>721619 IGT GLOBAL SOLUTIONS CORP</t>
  </si>
  <si>
    <t>46908 MOUNTAINLAND SUPPLY CO</t>
  </si>
  <si>
    <t>739709 NDS INC</t>
  </si>
  <si>
    <t>746162 CALIFORNIA NUGGETS INC</t>
  </si>
  <si>
    <t>747661 OMEGA WALNUT INC</t>
  </si>
  <si>
    <t>734435 BRIDGEWATER/ARAMSCO</t>
  </si>
  <si>
    <t>34135 CTI FOODS-BEAN PLANT</t>
  </si>
  <si>
    <t>46249 NORTHDOWN INDUSTRIES (MTI)</t>
  </si>
  <si>
    <t>740267 PARKER HANNIFIN CORP HVAC DIV</t>
  </si>
  <si>
    <t>745867 TORANI - SL</t>
  </si>
  <si>
    <t>746969 ASAP WAREHOUSE FOR ROCKY MTN PIES</t>
  </si>
  <si>
    <t>747014 NASHVILLE RECORD PRESSING</t>
  </si>
  <si>
    <t>745777 MCI FULFILLMENT SERVICES</t>
  </si>
  <si>
    <t>747621 FILTERBUY ORLANDO</t>
  </si>
  <si>
    <t>714327 ASSOCIATED PKG FOR STANDARD MEAT</t>
  </si>
  <si>
    <t>747568 CHEWY.COM (RNO)</t>
  </si>
  <si>
    <t>724093 WINKLER INC</t>
  </si>
  <si>
    <t>740591 EBI LLC</t>
  </si>
  <si>
    <t>742055 G&amp;A SCREEN PRINTING</t>
  </si>
  <si>
    <t>708660 EPW</t>
  </si>
  <si>
    <t>732361 TEAM IMAGE MARKETING</t>
  </si>
  <si>
    <t>724344 RAGE CORPORATION</t>
  </si>
  <si>
    <t>734282 COLONIAL PRESS</t>
  </si>
  <si>
    <t>747614 PFLUG PACKAGING - LATHROP WHSE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</si>
</sst>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"/>
    <numFmt numFmtId="165" formatCode="0.0%"/>
    <numFmt numFmtId="166" formatCode="0_);[Red]\(0\)"/>
    <numFmt numFmtId="167" formatCode="_(&quot;$&quot;* #,##0_);_(&quot;$&quot;* \(#,##0\);_(&quot;$&quot;* &quot;-&quot;??_);_(@_)"/>
    <numFmt numFmtId="168" formatCode="_(* #,##0_);_(* \(#,##0\);_(* &quot;-&quot;??_);_(@_)"/>
    <numFmt numFmtId="169" formatCode="&quot;$&quot;#,##0"/>
    <numFmt numFmtId="170" formatCode="###,000"/>
    <numFmt numFmtId="171" formatCode="#,##0;\-#,##0;#,##0"/>
    <numFmt numFmtId="172" formatCode="#,##0.000;\-#,##0.000;#,##0.000"/>
    <numFmt numFmtId="173" formatCode="#,##0.00;\-#,##0.00;#,##0.00"/>
  </numFmts>
  <fonts count="3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8"/>
      <color theme="1"/>
      <name val="Arial"/>
      <family val="2"/>
    </font>
    <font>
      <sz val="12"/>
      <color rgb="FF000000"/>
      <name val="Arial"/>
      <family val="2"/>
    </font>
    <font>
      <sz val="12"/>
      <color indexed="8"/>
      <name val="Arial"/>
      <family val="2"/>
    </font>
    <font>
      <sz val="22"/>
      <color theme="1"/>
      <name val="Arial"/>
      <family val="2"/>
    </font>
    <font>
      <sz val="24"/>
      <color theme="1"/>
      <name val="Arial"/>
      <family val="2"/>
    </font>
    <font>
      <sz val="22"/>
      <color theme="1"/>
      <name val="Times New Roman"/>
      <family val="1"/>
    </font>
    <font>
      <sz val="12"/>
      <name val="Franklin Gothic Medium"/>
      <family val="2"/>
    </font>
    <font>
      <sz val="12"/>
      <color theme="1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CF4"/>
        <bgColor indexed="64"/>
      </patternFill>
    </fill>
    <fill>
      <patternFill patternType="solid">
        <fgColor rgb="FFEEF9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D6776"/>
      </left>
      <right style="thin">
        <color rgb="FF4D6776"/>
      </right>
      <top style="thin">
        <color rgb="FF4D6776"/>
      </top>
      <bottom style="thin">
        <color rgb="FF4D67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</borders>
  <cellStyleXfs count="68">
    <xf numFmtId="0" fontId="0" fillId="0" borderId="0"/>
    <xf numFmtId="9" fontId="2" fillId="0" borderId="0" applyFon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5" fillId="3" borderId="0" applyNumberFormat="0" applyBorder="0" applyAlignment="0" applyProtection="0"/>
    <xf numFmtId="0" fontId="15" fillId="4" borderId="0" applyNumberFormat="0" applyBorder="0" applyAlignment="0" applyProtection="0"/>
    <xf numFmtId="0" fontId="13" fillId="5" borderId="4" applyNumberFormat="0" applyAlignment="0" applyProtection="0"/>
    <xf numFmtId="0" fontId="16" fillId="6" borderId="5" applyNumberFormat="0" applyAlignment="0" applyProtection="0"/>
    <xf numFmtId="0" fontId="6" fillId="6" borderId="4" applyNumberFormat="0" applyAlignment="0" applyProtection="0"/>
    <xf numFmtId="0" fontId="14" fillId="0" borderId="6" applyNumberFormat="0" applyFill="0" applyAlignment="0" applyProtection="0"/>
    <xf numFmtId="0" fontId="7" fillId="7" borderId="7" applyNumberFormat="0" applyAlignment="0" applyProtection="0"/>
    <xf numFmtId="0" fontId="2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31" borderId="0" applyNumberFormat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" fontId="17" fillId="34" borderId="11" applyNumberFormat="0" applyProtection="0">
      <alignment vertical="center"/>
    </xf>
    <xf numFmtId="4" fontId="17" fillId="34" borderId="11" applyNumberFormat="0" applyProtection="0">
      <alignment horizontal="left" vertical="center" indent="1"/>
    </xf>
    <xf numFmtId="0" fontId="18" fillId="35" borderId="11" applyNumberFormat="0" applyProtection="0">
      <alignment horizontal="left" vertical="center" indent="1"/>
    </xf>
    <xf numFmtId="0" fontId="18" fillId="35" borderId="11" applyProtection="0">
      <alignment horizontal="left" vertical="center" indent="1"/>
    </xf>
    <xf numFmtId="4" fontId="17" fillId="36" borderId="11" applyNumberFormat="0" applyProtection="0">
      <alignment horizontal="right" vertical="center"/>
    </xf>
    <xf numFmtId="0" fontId="18" fillId="35" borderId="11" applyNumberFormat="0" applyProtection="0">
      <alignment horizontal="left" vertical="center" indent="1"/>
    </xf>
    <xf numFmtId="0" fontId="18" fillId="35" borderId="11" applyNumberFormat="0" applyProtection="0">
      <alignment horizontal="left" vertical="center" indent="1"/>
    </xf>
    <xf numFmtId="0" fontId="1" fillId="0" borderId="0"/>
    <xf numFmtId="0" fontId="17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3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0" fillId="0" borderId="0"/>
    <xf numFmtId="0" fontId="18" fillId="0" borderId="0"/>
    <xf numFmtId="170" fontId="32" fillId="0" borderId="17" applyNumberFormat="0" applyProtection="0">
      <alignment horizontal="right" vertical="center"/>
    </xf>
    <xf numFmtId="170" fontId="33" fillId="39" borderId="18" applyNumberFormat="0" applyAlignment="0" applyProtection="0">
      <alignment horizontal="left" vertical="center" indent="1"/>
    </xf>
    <xf numFmtId="170" fontId="33" fillId="0" borderId="19" applyNumberFormat="0" applyProtection="0">
      <alignment horizontal="right" vertical="center"/>
    </xf>
  </cellStyleXfs>
  <cellXfs count="68">
    <xf numFmtId="0" fontId="0" fillId="0" borderId="0" xfId="0"/>
    <xf numFmtId="0" fontId="0" fillId="0" borderId="0" xfId="0" applyAlignment="1">
      <alignment wrapText="1"/>
    </xf>
    <xf numFmtId="0" fontId="21" fillId="0" borderId="0" xfId="0" applyFont="1"/>
    <xf numFmtId="0" fontId="22" fillId="0" borderId="10" xfId="0" applyFont="1" applyBorder="1"/>
    <xf numFmtId="167" fontId="3" fillId="0" borderId="0" xfId="42" applyNumberFormat="1" applyFont="1"/>
    <xf numFmtId="168" fontId="21" fillId="0" borderId="0" xfId="41" applyNumberFormat="1" applyFont="1"/>
    <xf numFmtId="0" fontId="21" fillId="32" borderId="10" xfId="0" applyFont="1" applyFill="1" applyBorder="1" applyAlignment="1">
      <alignment horizontal="center" wrapText="1"/>
    </xf>
    <xf numFmtId="0" fontId="22" fillId="0" borderId="10" xfId="0" applyFont="1" applyBorder="1" applyAlignment="1">
      <alignment horizontal="center"/>
    </xf>
    <xf numFmtId="0" fontId="27" fillId="0" borderId="10" xfId="0" applyFont="1" applyBorder="1"/>
    <xf numFmtId="164" fontId="22" fillId="0" borderId="10" xfId="0" applyNumberFormat="1" applyFont="1" applyBorder="1"/>
    <xf numFmtId="6" fontId="23" fillId="37" borderId="10" xfId="0" applyNumberFormat="1" applyFont="1" applyFill="1" applyBorder="1" applyAlignment="1">
      <alignment horizontal="right" vertical="center"/>
    </xf>
    <xf numFmtId="164" fontId="22" fillId="37" borderId="10" xfId="0" applyNumberFormat="1" applyFont="1" applyFill="1" applyBorder="1"/>
    <xf numFmtId="164" fontId="25" fillId="33" borderId="9" xfId="0" applyNumberFormat="1" applyFont="1" applyFill="1" applyBorder="1" applyAlignment="1">
      <alignment horizontal="right" vertical="center"/>
    </xf>
    <xf numFmtId="6" fontId="22" fillId="0" borderId="12" xfId="0" applyNumberFormat="1" applyFont="1" applyBorder="1"/>
    <xf numFmtId="164" fontId="26" fillId="36" borderId="11" xfId="48" applyNumberFormat="1" applyFont="1">
      <alignment horizontal="right" vertical="center"/>
    </xf>
    <xf numFmtId="164" fontId="21" fillId="0" borderId="0" xfId="0" applyNumberFormat="1" applyFont="1"/>
    <xf numFmtId="0" fontId="28" fillId="0" borderId="10" xfId="0" applyFont="1" applyBorder="1" applyAlignment="1">
      <alignment horizontal="center" vertical="center"/>
    </xf>
    <xf numFmtId="0" fontId="18" fillId="35" borderId="11" xfId="49" quotePrefix="1" applyNumberFormat="1" applyProtection="1">
      <alignment horizontal="left" vertical="center" indent="1"/>
      <protection locked="0"/>
    </xf>
    <xf numFmtId="167" fontId="0" fillId="0" borderId="0" xfId="62" applyNumberFormat="1" applyFont="1"/>
    <xf numFmtId="0" fontId="18" fillId="35" borderId="11" xfId="46" quotePrefix="1" applyNumberFormat="1" applyProtection="1">
      <alignment horizontal="left" vertical="center" indent="1"/>
      <protection locked="0"/>
    </xf>
    <xf numFmtId="0" fontId="18" fillId="35" borderId="11" xfId="50" quotePrefix="1" applyNumberFormat="1" applyProtection="1">
      <alignment horizontal="left" vertical="center" indent="1"/>
      <protection locked="0"/>
    </xf>
    <xf numFmtId="0" fontId="0" fillId="0" borderId="0" xfId="0" applyAlignment="1">
      <alignment horizontal="left"/>
    </xf>
    <xf numFmtId="9" fontId="0" fillId="0" borderId="0" xfId="1" applyFont="1"/>
    <xf numFmtId="3" fontId="26" fillId="36" borderId="11" xfId="48" applyNumberFormat="1" applyFont="1">
      <alignment horizontal="right" vertical="center"/>
    </xf>
    <xf numFmtId="3" fontId="25" fillId="33" borderId="9" xfId="0" applyNumberFormat="1" applyFont="1" applyFill="1" applyBorder="1" applyAlignment="1">
      <alignment horizontal="right" vertical="center"/>
    </xf>
    <xf numFmtId="3" fontId="22" fillId="0" borderId="10" xfId="41" applyNumberFormat="1" applyFont="1" applyBorder="1"/>
    <xf numFmtId="38" fontId="23" fillId="37" borderId="10" xfId="41" applyNumberFormat="1" applyFont="1" applyFill="1" applyBorder="1" applyAlignment="1">
      <alignment horizontal="right" vertical="center"/>
    </xf>
    <xf numFmtId="169" fontId="0" fillId="0" borderId="0" xfId="0" applyNumberFormat="1"/>
    <xf numFmtId="42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1" fillId="3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8" fillId="35" borderId="11" xfId="46" quotePrefix="1" applyNumberFormat="1">
      <alignment horizontal="left" vertical="center" indent="1"/>
    </xf>
    <xf numFmtId="0" fontId="0" fillId="0" borderId="0" xfId="0" applyProtection="1">
      <protection locked="0"/>
    </xf>
    <xf numFmtId="0" fontId="18" fillId="35" borderId="11" xfId="49" quotePrefix="1" applyAlignment="1">
      <alignment horizontal="left" vertical="center" wrapText="1" inden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3" fontId="0" fillId="0" borderId="15" xfId="0" applyNumberFormat="1" applyBorder="1"/>
    <xf numFmtId="165" fontId="0" fillId="0" borderId="16" xfId="0" applyNumberFormat="1" applyBorder="1"/>
    <xf numFmtId="0" fontId="0" fillId="0" borderId="13" xfId="0" applyBorder="1" applyAlignment="1">
      <alignment horizontal="left"/>
    </xf>
    <xf numFmtId="169" fontId="0" fillId="0" borderId="12" xfId="0" applyNumberFormat="1" applyBorder="1"/>
    <xf numFmtId="42" fontId="0" fillId="0" borderId="12" xfId="0" applyNumberFormat="1" applyBorder="1"/>
    <xf numFmtId="165" fontId="0" fillId="0" borderId="12" xfId="0" applyNumberFormat="1" applyBorder="1"/>
    <xf numFmtId="3" fontId="0" fillId="0" borderId="13" xfId="0" applyNumberFormat="1" applyBorder="1"/>
    <xf numFmtId="3" fontId="0" fillId="0" borderId="12" xfId="0" applyNumberFormat="1" applyBorder="1"/>
    <xf numFmtId="165" fontId="0" fillId="0" borderId="14" xfId="0" applyNumberFormat="1" applyBorder="1"/>
    <xf numFmtId="169" fontId="0" fillId="0" borderId="13" xfId="0" applyNumberFormat="1" applyBorder="1"/>
    <xf numFmtId="0" fontId="0" fillId="0" borderId="10" xfId="0" applyBorder="1" applyAlignment="1">
      <alignment horizontal="left"/>
    </xf>
    <xf numFmtId="168" fontId="22" fillId="0" borderId="12" xfId="56" applyNumberFormat="1" applyFont="1" applyBorder="1"/>
    <xf numFmtId="0" fontId="22" fillId="37" borderId="0" xfId="0" applyFont="1" applyFill="1"/>
    <xf numFmtId="0" fontId="0" fillId="37" borderId="0" xfId="0" applyFill="1"/>
    <xf numFmtId="0" fontId="21" fillId="37" borderId="0" xfId="0" applyFont="1" applyFill="1"/>
    <xf numFmtId="166" fontId="21" fillId="37" borderId="0" xfId="41" applyNumberFormat="1" applyFont="1" applyFill="1"/>
    <xf numFmtId="166" fontId="21" fillId="37" borderId="0" xfId="0" applyNumberFormat="1" applyFont="1" applyFill="1"/>
    <xf numFmtId="0" fontId="0" fillId="0" borderId="0" xfId="0" pivotButton="1" applyAlignment="1">
      <alignment horizontal="left" wrapText="1"/>
    </xf>
    <xf numFmtId="0" fontId="0" fillId="0" borderId="0" xfId="0" pivotButton="1" applyAlignment="1">
      <alignment wrapText="1"/>
    </xf>
    <xf numFmtId="0" fontId="0" fillId="0" borderId="0" xfId="0" pivotButton="1"/>
    <xf numFmtId="0" fontId="33" fillId="39" borderId="18" xfId="66" quotePrefix="1" applyNumberFormat="1" applyAlignment="1"/>
    <xf numFmtId="171" fontId="33" fillId="0" borderId="19" xfId="67" applyNumberFormat="1">
      <alignment horizontal="right" vertical="center"/>
    </xf>
    <xf numFmtId="172" fontId="33" fillId="0" borderId="19" xfId="67" applyNumberFormat="1">
      <alignment horizontal="right" vertical="center"/>
    </xf>
    <xf numFmtId="173" fontId="33" fillId="0" borderId="20" xfId="67" applyNumberFormat="1" applyBorder="1">
      <alignment horizontal="right" vertical="center"/>
    </xf>
    <xf numFmtId="172" fontId="33" fillId="0" borderId="20" xfId="67" applyNumberFormat="1" applyBorder="1">
      <alignment horizontal="right" vertical="center"/>
    </xf>
    <xf numFmtId="173" fontId="33" fillId="0" borderId="19" xfId="67" applyNumberFormat="1">
      <alignment horizontal="right" vertical="center"/>
    </xf>
    <xf numFmtId="165" fontId="24" fillId="38" borderId="10" xfId="43" applyNumberFormat="1" applyFont="1" applyFill="1" applyBorder="1" applyAlignment="1">
      <alignment horizontal="center"/>
    </xf>
    <xf numFmtId="0" fontId="0" fillId="0" borderId="0" xfId="0" applyAlignment="1">
      <alignment horizontal="left" indent="1"/>
    </xf>
  </cellXfs>
  <cellStyles count="68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FE" xfId="55" xr:uid="{00000000-0005-0000-0000-000018000000}"/>
    <cellStyle name="AFE 2" xfId="64" xr:uid="{00000000-0005-0000-0000-000019000000}"/>
    <cellStyle name="Bad" xfId="7" builtinId="27" customBuiltin="1"/>
    <cellStyle name="Calculation" xfId="11" builtinId="22" customBuiltin="1"/>
    <cellStyle name="Check Cell" xfId="13" builtinId="23" customBuiltin="1"/>
    <cellStyle name="Comma" xfId="56" builtinId="3"/>
    <cellStyle name="Comma 2" xfId="41" xr:uid="{00000000-0005-0000-0000-00001E000000}"/>
    <cellStyle name="Comma 3" xfId="54" xr:uid="{00000000-0005-0000-0000-00001F000000}"/>
    <cellStyle name="Comma 4" xfId="59" xr:uid="{00000000-0005-0000-0000-000020000000}"/>
    <cellStyle name="Currency" xfId="62" builtinId="4"/>
    <cellStyle name="Currency 2" xfId="42" xr:uid="{00000000-0005-0000-0000-000022000000}"/>
    <cellStyle name="Currency 3" xfId="57" xr:uid="{00000000-0005-0000-0000-000023000000}"/>
    <cellStyle name="Currency 4" xfId="60" xr:uid="{00000000-0005-0000-0000-000024000000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51" xr:uid="{00000000-0005-0000-0000-00002F000000}"/>
    <cellStyle name="Normal 2 2" xfId="52" xr:uid="{00000000-0005-0000-0000-000030000000}"/>
    <cellStyle name="Normal 3" xfId="63" xr:uid="{00000000-0005-0000-0000-000031000000}"/>
    <cellStyle name="Output" xfId="10" builtinId="21" customBuiltin="1"/>
    <cellStyle name="Percent" xfId="1" builtinId="5"/>
    <cellStyle name="Percent 2" xfId="43" xr:uid="{00000000-0005-0000-0000-000034000000}"/>
    <cellStyle name="Percent 3" xfId="53" xr:uid="{00000000-0005-0000-0000-000035000000}"/>
    <cellStyle name="Percent 4" xfId="58" xr:uid="{00000000-0005-0000-0000-000036000000}"/>
    <cellStyle name="Percent 5" xfId="61" xr:uid="{00000000-0005-0000-0000-000037000000}"/>
    <cellStyle name="SAPBEXaggData" xfId="44" xr:uid="{00000000-0005-0000-0000-000038000000}"/>
    <cellStyle name="SAPBEXaggItem" xfId="45" xr:uid="{00000000-0005-0000-0000-000039000000}"/>
    <cellStyle name="SAPBEXchaText" xfId="46" xr:uid="{00000000-0005-0000-0000-00003A000000}"/>
    <cellStyle name="SAPBEXchaText 2" xfId="47" xr:uid="{00000000-0005-0000-0000-00003B000000}"/>
    <cellStyle name="SAPBEXstdData" xfId="48" xr:uid="{00000000-0005-0000-0000-00003C000000}"/>
    <cellStyle name="SAPBEXstdItem" xfId="49" xr:uid="{00000000-0005-0000-0000-00003D000000}"/>
    <cellStyle name="SAPBEXstdItemX" xfId="50" xr:uid="{00000000-0005-0000-0000-00003E000000}"/>
    <cellStyle name="SAPDataCell" xfId="67" xr:uid="{C6A36E15-8533-4E4E-9520-A2E141D71F21}"/>
    <cellStyle name="SAPDataTotalCell" xfId="65" xr:uid="{04205578-5E11-4177-A53F-CE3F5FA861B4}"/>
    <cellStyle name="SAPMemberCell" xfId="66" xr:uid="{66E3A73D-78AC-4D66-84D2-85ED9E712CC6}"/>
    <cellStyle name="Total" xfId="16" builtinId="25" customBuiltin="1"/>
    <cellStyle name="Warning Text" xfId="14" builtinId="11" customBuiltin="1"/>
  </cellStyles>
  <dxfs count="108"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left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alignment wrapText="1" readingOrder="0"/>
    </dxf>
    <dxf>
      <alignment wrapText="1" readingOrder="0"/>
    </dxf>
    <dxf>
      <alignment horizontal="left" readingOrder="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wrapText="1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wrapText="1" readingOrder="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wrapText="1" readingOrder="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400" baseline="0"/>
              <a:t>Associated Pkg </a:t>
            </a:r>
            <a:r>
              <a:rPr lang="en-US" sz="2400"/>
              <a:t>Monthly &amp; YTD Net Invoice Dollars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290643345189251E-2"/>
          <c:y val="0.17199519084611184"/>
          <c:w val="0.86736746647962837"/>
          <c:h val="0.6199927778097941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Summary!$A$5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2D050"/>
            </a:solidFill>
            <a:ln w="19050"/>
          </c:spPr>
          <c:invertIfNegative val="0"/>
          <c:cat>
            <c:strRef>
              <c:f>Summary!$B$1:$N$1</c:f>
              <c:strCache>
                <c:ptCount val="13"/>
                <c:pt idx="0">
                  <c:v>Jan.</c:v>
                </c:pt>
                <c:pt idx="1">
                  <c:v>Feb.</c:v>
                </c:pt>
                <c:pt idx="2">
                  <c:v>Mar.</c:v>
                </c:pt>
                <c:pt idx="3">
                  <c:v>Apr.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Dec.</c:v>
                </c:pt>
                <c:pt idx="12">
                  <c:v>YTD Totals</c:v>
                </c:pt>
              </c:strCache>
            </c:strRef>
          </c:cat>
          <c:val>
            <c:numRef>
              <c:f>Summary!$B$5:$M$5</c:f>
              <c:numCache>
                <c:formatCode>"$"\ #,##0</c:formatCode>
                <c:ptCount val="12"/>
                <c:pt idx="0">
                  <c:v>1281345.3899999999</c:v>
                </c:pt>
                <c:pt idx="1">
                  <c:v>1599352.38</c:v>
                </c:pt>
                <c:pt idx="2">
                  <c:v>1731985.24</c:v>
                </c:pt>
                <c:pt idx="3">
                  <c:v>1648677.39</c:v>
                </c:pt>
                <c:pt idx="4">
                  <c:v>1264513.21</c:v>
                </c:pt>
                <c:pt idx="5">
                  <c:v>1997377.13</c:v>
                </c:pt>
                <c:pt idx="6">
                  <c:v>1281309.1399999999</c:v>
                </c:pt>
                <c:pt idx="7">
                  <c:v>1112034.24</c:v>
                </c:pt>
                <c:pt idx="8">
                  <c:v>1566425.78</c:v>
                </c:pt>
                <c:pt idx="9">
                  <c:v>2078854.53</c:v>
                </c:pt>
                <c:pt idx="10">
                  <c:v>1021966.26</c:v>
                </c:pt>
                <c:pt idx="11">
                  <c:v>1780695.88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C-484C-A5FB-3005CAD26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96138920"/>
        <c:axId val="696139312"/>
      </c:barChart>
      <c:barChart>
        <c:barDir val="col"/>
        <c:grouping val="clustered"/>
        <c:varyColors val="0"/>
        <c:ser>
          <c:idx val="2"/>
          <c:order val="1"/>
          <c:tx>
            <c:v>2023 YTD</c:v>
          </c:tx>
          <c:spPr>
            <a:solidFill>
              <a:schemeClr val="tx2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dLbls>
            <c:dLbl>
              <c:idx val="12"/>
              <c:layout>
                <c:manualLayout>
                  <c:x val="-3.0924479690294074E-3"/>
                  <c:y val="5.73962235303119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EC-484C-A5FB-3005CAD26CFB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 pitchFamily="34" charset="0"/>
                    <a:ea typeface="Calibri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Summary!$B$2:$N$2</c:f>
              <c:numCache>
                <c:formatCode>General</c:formatCode>
                <c:ptCount val="13"/>
                <c:pt idx="12" formatCode="&quot;$&quot;\ #,##0">
                  <c:v>5374801.71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EC-484C-A5FB-3005CAD26CFB}"/>
            </c:ext>
          </c:extLst>
        </c:ser>
        <c:ser>
          <c:idx val="3"/>
          <c:order val="2"/>
          <c:tx>
            <c:v>2022 YTD</c:v>
          </c:tx>
          <c:spPr>
            <a:solidFill>
              <a:srgbClr val="B1320F"/>
            </a:solidFill>
            <a:ln w="28575">
              <a:noFill/>
            </a:ln>
          </c:spPr>
          <c:invertIfNegative val="0"/>
          <c:dLbls>
            <c:dLbl>
              <c:idx val="12"/>
              <c:layout>
                <c:manualLayout>
                  <c:x val="7.4239637127900796E-4"/>
                  <c:y val="3.5487965108903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EC-484C-A5FB-3005CAD26CFB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 pitchFamily="34" charset="0"/>
                    <a:ea typeface="Calibri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Summary!$B$3:$N$3</c:f>
              <c:numCache>
                <c:formatCode>General</c:formatCode>
                <c:ptCount val="13"/>
                <c:pt idx="12" formatCode="&quot;$&quot;\ #,##0">
                  <c:v>6261360.3999999994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EC-484C-A5FB-3005CAD26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96139704"/>
        <c:axId val="696140096"/>
      </c:barChart>
      <c:lineChart>
        <c:grouping val="standard"/>
        <c:varyColors val="0"/>
        <c:ser>
          <c:idx val="0"/>
          <c:order val="3"/>
          <c:tx>
            <c:strRef>
              <c:f>Summary!$A$4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5-D2EC-484C-A5FB-3005CAD26CFB}"/>
              </c:ext>
            </c:extLst>
          </c:dPt>
          <c:dPt>
            <c:idx val="12"/>
            <c:marker>
              <c:symbol val="none"/>
            </c:marker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D2EC-484C-A5FB-3005CAD26CFB}"/>
              </c:ext>
            </c:extLst>
          </c:dPt>
          <c:dLbls>
            <c:dLbl>
              <c:idx val="0"/>
              <c:layout>
                <c:manualLayout>
                  <c:x val="-2.8110359187922953E-2"/>
                  <c:y val="-4.0513166779203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EC-484C-A5FB-3005CAD26CFB}"/>
                </c:ext>
              </c:extLst>
            </c:dLbl>
            <c:dLbl>
              <c:idx val="1"/>
              <c:layout>
                <c:manualLayout>
                  <c:x val="-1.9781363872982845E-2"/>
                  <c:y val="-6.21201890614449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EC-484C-A5FB-3005CAD26CFB}"/>
                </c:ext>
              </c:extLst>
            </c:dLbl>
            <c:dLbl>
              <c:idx val="2"/>
              <c:layout>
                <c:manualLayout>
                  <c:x val="-2.7069234773555616E-2"/>
                  <c:y val="-5.6718433490884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EC-484C-A5FB-3005CAD26CFB}"/>
                </c:ext>
              </c:extLst>
            </c:dLbl>
            <c:dLbl>
              <c:idx val="3"/>
              <c:layout>
                <c:manualLayout>
                  <c:x val="-2.2904737116085452E-2"/>
                  <c:y val="-4.8615800135043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EC-484C-A5FB-3005CAD26CFB}"/>
                </c:ext>
              </c:extLst>
            </c:dLbl>
            <c:dLbl>
              <c:idx val="4"/>
              <c:layout>
                <c:manualLayout>
                  <c:x val="-2.9151483602290473E-2"/>
                  <c:y val="-4.8615800135043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EC-484C-A5FB-3005CAD26CFB}"/>
                </c:ext>
              </c:extLst>
            </c:dLbl>
            <c:dLbl>
              <c:idx val="5"/>
              <c:layout>
                <c:manualLayout>
                  <c:x val="-1.9781363872982821E-2"/>
                  <c:y val="-5.9419311276164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2EC-484C-A5FB-3005CAD26CFB}"/>
                </c:ext>
              </c:extLst>
            </c:dLbl>
            <c:dLbl>
              <c:idx val="11"/>
              <c:layout>
                <c:manualLayout>
                  <c:x val="-2.4611056488059082E-3"/>
                  <c:y val="-3.35731389510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EC-484C-A5FB-3005CAD26CF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EC-484C-A5FB-3005CAD26C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latin typeface="Arial" pitchFamily="34" charset="0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Summary!$B$1:$N$1</c:f>
              <c:strCache>
                <c:ptCount val="13"/>
                <c:pt idx="0">
                  <c:v>Jan.</c:v>
                </c:pt>
                <c:pt idx="1">
                  <c:v>Feb.</c:v>
                </c:pt>
                <c:pt idx="2">
                  <c:v>Mar.</c:v>
                </c:pt>
                <c:pt idx="3">
                  <c:v>Apr.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Dec.</c:v>
                </c:pt>
                <c:pt idx="12">
                  <c:v>YTD Totals</c:v>
                </c:pt>
              </c:strCache>
            </c:strRef>
          </c:cat>
          <c:val>
            <c:numRef>
              <c:f>Summary!$B$4:$N$4</c:f>
              <c:numCache>
                <c:formatCode>"$"\ #,##0</c:formatCode>
                <c:ptCount val="13"/>
                <c:pt idx="0">
                  <c:v>1222472.81</c:v>
                </c:pt>
                <c:pt idx="1">
                  <c:v>1313383.42</c:v>
                </c:pt>
                <c:pt idx="2">
                  <c:v>1723526.59</c:v>
                </c:pt>
                <c:pt idx="3">
                  <c:v>1115418.8899999999</c:v>
                </c:pt>
                <c:pt idx="12">
                  <c:v>5374801.71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EC-484C-A5FB-3005CAD26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138920"/>
        <c:axId val="696139312"/>
      </c:lineChart>
      <c:catAx>
        <c:axId val="69613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139312"/>
        <c:crosses val="autoZero"/>
        <c:auto val="1"/>
        <c:lblAlgn val="ctr"/>
        <c:lblOffset val="100"/>
        <c:noMultiLvlLbl val="0"/>
      </c:catAx>
      <c:valAx>
        <c:axId val="696139312"/>
        <c:scaling>
          <c:orientation val="minMax"/>
          <c:max val="25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800"/>
                  <a:t>Monthly Net Sales K $'s</a:t>
                </a:r>
              </a:p>
            </c:rich>
          </c:tx>
          <c:overlay val="0"/>
        </c:title>
        <c:numFmt formatCode="&quot;$&quot;\ 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138920"/>
        <c:crosses val="autoZero"/>
        <c:crossBetween val="between"/>
        <c:dispUnits>
          <c:builtInUnit val="thousands"/>
        </c:dispUnits>
      </c:valAx>
      <c:catAx>
        <c:axId val="696139704"/>
        <c:scaling>
          <c:orientation val="minMax"/>
        </c:scaling>
        <c:delete val="1"/>
        <c:axPos val="b"/>
        <c:majorTickMark val="out"/>
        <c:minorTickMark val="none"/>
        <c:tickLblPos val="none"/>
        <c:crossAx val="696140096"/>
        <c:crosses val="autoZero"/>
        <c:auto val="1"/>
        <c:lblAlgn val="ctr"/>
        <c:lblOffset val="100"/>
        <c:noMultiLvlLbl val="0"/>
      </c:catAx>
      <c:valAx>
        <c:axId val="696140096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800"/>
                  <a:t>Year to Date Net Sales K $'s</a:t>
                </a:r>
              </a:p>
            </c:rich>
          </c:tx>
          <c:layout>
            <c:manualLayout>
              <c:xMode val="edge"/>
              <c:yMode val="edge"/>
              <c:x val="0.97364421167242876"/>
              <c:y val="8.9153073951315248E-2"/>
            </c:manualLayout>
          </c:layout>
          <c:overlay val="0"/>
        </c:title>
        <c:numFmt formatCode="&quot;$&quot;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139704"/>
        <c:crosses val="max"/>
        <c:crossBetween val="between"/>
        <c:dispUnits>
          <c:builtInUnit val="thousands"/>
        </c:dispUnits>
      </c:valAx>
    </c:plotArea>
    <c:legend>
      <c:legendPos val="b"/>
      <c:overlay val="0"/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2400" baseline="0"/>
              <a:t>Associated Pkg </a:t>
            </a:r>
            <a:r>
              <a:rPr lang="en-US" sz="2400"/>
              <a:t>Monthly &amp; YTD Square Yards</a:t>
            </a:r>
          </a:p>
        </c:rich>
      </c:tx>
      <c:layout>
        <c:manualLayout>
          <c:xMode val="edge"/>
          <c:yMode val="edge"/>
          <c:x val="0.31841440735129772"/>
          <c:y val="3.20409486698638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Summary!$A$12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2D050"/>
            </a:solidFill>
            <a:ln w="19050"/>
          </c:spPr>
          <c:invertIfNegative val="0"/>
          <c:dPt>
            <c:idx val="12"/>
            <c:invertIfNegative val="0"/>
            <c:bubble3D val="0"/>
            <c:spPr>
              <a:noFill/>
              <a:ln w="19050"/>
            </c:spPr>
            <c:extLst>
              <c:ext xmlns:c16="http://schemas.microsoft.com/office/drawing/2014/chart" uri="{C3380CC4-5D6E-409C-BE32-E72D297353CC}">
                <c16:uniqueId val="{00000001-590F-4420-ACB5-A0F1C896E066}"/>
              </c:ext>
            </c:extLst>
          </c:dPt>
          <c:cat>
            <c:strRef>
              <c:f>Summary!$B$1:$N$1</c:f>
              <c:strCache>
                <c:ptCount val="13"/>
                <c:pt idx="0">
                  <c:v>Jan.</c:v>
                </c:pt>
                <c:pt idx="1">
                  <c:v>Feb.</c:v>
                </c:pt>
                <c:pt idx="2">
                  <c:v>Mar.</c:v>
                </c:pt>
                <c:pt idx="3">
                  <c:v>Apr.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Dec.</c:v>
                </c:pt>
                <c:pt idx="12">
                  <c:v>YTD Totals</c:v>
                </c:pt>
              </c:strCache>
            </c:strRef>
          </c:cat>
          <c:val>
            <c:numRef>
              <c:f>Summary!$B$12:$N$12</c:f>
              <c:numCache>
                <c:formatCode>#,##0</c:formatCode>
                <c:ptCount val="13"/>
                <c:pt idx="0">
                  <c:v>3968772.5589999999</c:v>
                </c:pt>
                <c:pt idx="1">
                  <c:v>4791834.7369999997</c:v>
                </c:pt>
                <c:pt idx="2">
                  <c:v>4918646.1040000003</c:v>
                </c:pt>
                <c:pt idx="3">
                  <c:v>4545940.5640000002</c:v>
                </c:pt>
                <c:pt idx="4">
                  <c:v>3618569.7239999999</c:v>
                </c:pt>
                <c:pt idx="5">
                  <c:v>6052457.9589999998</c:v>
                </c:pt>
                <c:pt idx="6">
                  <c:v>3334098.588</c:v>
                </c:pt>
                <c:pt idx="7">
                  <c:v>3102780.162</c:v>
                </c:pt>
                <c:pt idx="8">
                  <c:v>4101796.9449999998</c:v>
                </c:pt>
                <c:pt idx="9">
                  <c:v>5065131.2309999997</c:v>
                </c:pt>
                <c:pt idx="10">
                  <c:v>2775710.93</c:v>
                </c:pt>
                <c:pt idx="11">
                  <c:v>4727815.9469999997</c:v>
                </c:pt>
                <c:pt idx="12" formatCode="#,##0_);[Red]\(#,##0\)">
                  <c:v>18225193.964000002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F-4420-ACB5-A0F1C896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96140880"/>
        <c:axId val="922660896"/>
      </c:barChart>
      <c:barChart>
        <c:barDir val="col"/>
        <c:grouping val="clustered"/>
        <c:varyColors val="0"/>
        <c:ser>
          <c:idx val="2"/>
          <c:order val="1"/>
          <c:tx>
            <c:v>2023 YTD</c:v>
          </c:tx>
          <c:spPr>
            <a:solidFill>
              <a:schemeClr val="tx2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dLbls>
            <c:dLbl>
              <c:idx val="12"/>
              <c:layout>
                <c:manualLayout>
                  <c:x val="-3.0924479690294074E-3"/>
                  <c:y val="5.739622353031197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0F-4420-ACB5-A0F1C896E0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 pitchFamily="34" charset="0"/>
                    <a:ea typeface="Calibri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Summary!$B$9:$N$9</c:f>
              <c:numCache>
                <c:formatCode>General</c:formatCode>
                <c:ptCount val="13"/>
                <c:pt idx="12" formatCode="_(* #,##0_);_(* \(#,##0\);_(* &quot;-&quot;??_);_(@_)">
                  <c:v>15063650.590000002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F-4420-ACB5-A0F1C896E066}"/>
            </c:ext>
          </c:extLst>
        </c:ser>
        <c:ser>
          <c:idx val="3"/>
          <c:order val="2"/>
          <c:tx>
            <c:v>2022 YTD</c:v>
          </c:tx>
          <c:spPr>
            <a:solidFill>
              <a:srgbClr val="B1320F"/>
            </a:solidFill>
            <a:ln w="28575">
              <a:noFill/>
            </a:ln>
          </c:spPr>
          <c:invertIfNegative val="0"/>
          <c:dLbls>
            <c:dLbl>
              <c:idx val="12"/>
              <c:layout>
                <c:manualLayout>
                  <c:x val="-1.5478070696282311E-4"/>
                  <c:y val="3.54879551924049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0F-4420-ACB5-A0F1C896E0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 pitchFamily="34" charset="0"/>
                    <a:ea typeface="Calibri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Summary!$B$10:$N$10</c:f>
              <c:numCache>
                <c:formatCode>General</c:formatCode>
                <c:ptCount val="13"/>
                <c:pt idx="12" formatCode="_(* #,##0_);_(* \(#,##0\);_(* &quot;-&quot;??_);_(@_)">
                  <c:v>18225193.964000002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0F-4420-ACB5-A0F1C896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22661288"/>
        <c:axId val="922661680"/>
      </c:barChart>
      <c:lineChart>
        <c:grouping val="standard"/>
        <c:varyColors val="0"/>
        <c:ser>
          <c:idx val="0"/>
          <c:order val="3"/>
          <c:tx>
            <c:strRef>
              <c:f>Summary!$A$11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7-590F-4420-ACB5-A0F1C896E066}"/>
              </c:ext>
            </c:extLst>
          </c:dPt>
          <c:dLbls>
            <c:dLbl>
              <c:idx val="0"/>
              <c:layout>
                <c:manualLayout>
                  <c:x val="-2.8110359187922953E-2"/>
                  <c:y val="-4.0513166779203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0F-4420-ACB5-A0F1C896E066}"/>
                </c:ext>
              </c:extLst>
            </c:dLbl>
            <c:dLbl>
              <c:idx val="1"/>
              <c:layout>
                <c:manualLayout>
                  <c:x val="-1.9781363872982845E-2"/>
                  <c:y val="-6.21201890614449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0F-4420-ACB5-A0F1C896E066}"/>
                </c:ext>
              </c:extLst>
            </c:dLbl>
            <c:dLbl>
              <c:idx val="2"/>
              <c:layout>
                <c:manualLayout>
                  <c:x val="-2.7069234773555616E-2"/>
                  <c:y val="-5.6718433490884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0F-4420-ACB5-A0F1C896E066}"/>
                </c:ext>
              </c:extLst>
            </c:dLbl>
            <c:dLbl>
              <c:idx val="3"/>
              <c:layout>
                <c:manualLayout>
                  <c:x val="-2.2904737116085452E-2"/>
                  <c:y val="-4.8615800135043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0F-4420-ACB5-A0F1C896E066}"/>
                </c:ext>
              </c:extLst>
            </c:dLbl>
            <c:dLbl>
              <c:idx val="4"/>
              <c:layout>
                <c:manualLayout>
                  <c:x val="-2.9151483602290473E-2"/>
                  <c:y val="-4.8615800135043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90F-4420-ACB5-A0F1C896E066}"/>
                </c:ext>
              </c:extLst>
            </c:dLbl>
            <c:dLbl>
              <c:idx val="5"/>
              <c:layout>
                <c:manualLayout>
                  <c:x val="-1.9781363872982821E-2"/>
                  <c:y val="-5.9419311276164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0F-4420-ACB5-A0F1C896E066}"/>
                </c:ext>
              </c:extLst>
            </c:dLbl>
            <c:dLbl>
              <c:idx val="11"/>
              <c:layout>
                <c:manualLayout>
                  <c:x val="0"/>
                  <c:y val="-1.82529380043991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0F-4420-ACB5-A0F1C896E0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latin typeface="Arial" pitchFamily="34" charset="0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Summary!$B$1:$N$1</c:f>
              <c:strCache>
                <c:ptCount val="13"/>
                <c:pt idx="0">
                  <c:v>Jan.</c:v>
                </c:pt>
                <c:pt idx="1">
                  <c:v>Feb.</c:v>
                </c:pt>
                <c:pt idx="2">
                  <c:v>Mar.</c:v>
                </c:pt>
                <c:pt idx="3">
                  <c:v>Apr.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Dec.</c:v>
                </c:pt>
                <c:pt idx="12">
                  <c:v>YTD Totals</c:v>
                </c:pt>
              </c:strCache>
            </c:strRef>
          </c:cat>
          <c:val>
            <c:numRef>
              <c:f>Summary!$B$11:$M$11</c:f>
              <c:numCache>
                <c:formatCode>#,##0</c:formatCode>
                <c:ptCount val="12"/>
                <c:pt idx="0">
                  <c:v>3510638.2629999998</c:v>
                </c:pt>
                <c:pt idx="1">
                  <c:v>3449758.406</c:v>
                </c:pt>
                <c:pt idx="2">
                  <c:v>4856427.4970000004</c:v>
                </c:pt>
                <c:pt idx="3">
                  <c:v>3246826.4240000001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90F-4420-ACB5-A0F1C896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140880"/>
        <c:axId val="922660896"/>
      </c:lineChart>
      <c:catAx>
        <c:axId val="6961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660896"/>
        <c:crosses val="autoZero"/>
        <c:auto val="1"/>
        <c:lblAlgn val="ctr"/>
        <c:lblOffset val="100"/>
        <c:noMultiLvlLbl val="0"/>
      </c:catAx>
      <c:valAx>
        <c:axId val="922660896"/>
        <c:scaling>
          <c:orientation val="minMax"/>
          <c:max val="7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800"/>
                  <a:t>Monthly YD</a:t>
                </a:r>
                <a:r>
                  <a:rPr lang="en-US" sz="1800">
                    <a:latin typeface="Times New Roman"/>
                    <a:cs typeface="Times New Roman"/>
                  </a:rPr>
                  <a:t>²</a:t>
                </a:r>
                <a:r>
                  <a:rPr lang="en-US" sz="1800"/>
                  <a:t> in</a:t>
                </a:r>
                <a:r>
                  <a:rPr lang="en-US" sz="1800" baseline="0"/>
                  <a:t> K's 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2300354454983608E-2"/>
              <c:y val="0.2757641229526657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140880"/>
        <c:crosses val="autoZero"/>
        <c:crossBetween val="between"/>
        <c:dispUnits>
          <c:builtInUnit val="thousands"/>
        </c:dispUnits>
      </c:valAx>
      <c:catAx>
        <c:axId val="922661288"/>
        <c:scaling>
          <c:orientation val="minMax"/>
        </c:scaling>
        <c:delete val="1"/>
        <c:axPos val="b"/>
        <c:majorTickMark val="out"/>
        <c:minorTickMark val="none"/>
        <c:tickLblPos val="none"/>
        <c:crossAx val="922661680"/>
        <c:crosses val="autoZero"/>
        <c:auto val="1"/>
        <c:lblAlgn val="ctr"/>
        <c:lblOffset val="100"/>
        <c:noMultiLvlLbl val="0"/>
      </c:catAx>
      <c:valAx>
        <c:axId val="9226616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800"/>
                  <a:t>Year to Date</a:t>
                </a:r>
                <a:r>
                  <a:rPr lang="en-US" sz="1800" baseline="0"/>
                  <a:t> YD</a:t>
                </a:r>
                <a:r>
                  <a:rPr lang="en-US" sz="1800" baseline="0">
                    <a:latin typeface="Times New Roman"/>
                    <a:cs typeface="Times New Roman"/>
                  </a:rPr>
                  <a:t>²</a:t>
                </a:r>
                <a:r>
                  <a:rPr lang="en-US" sz="1800" baseline="0"/>
                  <a:t> in K's 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0.96592966513183465"/>
              <c:y val="0.16051202133524689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2661288"/>
        <c:crosses val="max"/>
        <c:crossBetween val="between"/>
        <c:dispUnits>
          <c:builtInUnit val="thousands"/>
          <c:dispUnitsLbl/>
        </c:dispUnits>
      </c:valAx>
    </c:plotArea>
    <c:legend>
      <c:legendPos val="b"/>
      <c:overlay val="0"/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588" l="0.70000000000000062" r="0.70000000000000062" t="0.7500000000000058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149677</xdr:rowOff>
    </xdr:from>
    <xdr:to>
      <xdr:col>15</xdr:col>
      <xdr:colOff>888547</xdr:colOff>
      <xdr:row>38</xdr:row>
      <xdr:rowOff>122463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95250</xdr:rowOff>
    </xdr:from>
    <xdr:to>
      <xdr:col>15</xdr:col>
      <xdr:colOff>888547</xdr:colOff>
      <xdr:row>61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8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9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20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21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22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23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4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5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6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7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8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9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0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1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2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3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4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5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6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7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8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40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4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4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4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4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4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4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4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4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4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50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51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52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53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54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55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56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57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58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59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60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61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62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63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64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65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66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67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68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69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70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71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7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73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74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75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76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77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78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79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80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81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8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8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8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8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8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8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8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8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9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9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9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9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9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9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9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9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98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99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00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01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02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03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04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05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06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07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08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09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10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11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12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13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14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15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16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17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18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1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20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2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2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2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2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2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2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2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2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2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30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31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32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33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34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35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36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37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38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39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40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41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42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43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44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45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46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47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48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49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50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51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5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53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54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55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56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57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58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59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60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61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6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6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6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6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6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6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6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6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7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7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7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7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7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7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7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7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78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79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80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81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82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83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184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185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186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187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188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189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190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191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192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93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194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195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196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197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198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19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00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0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0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0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0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0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20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20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20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0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10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211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212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213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214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215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16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17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18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19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20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21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222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223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224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25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26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227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228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229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230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231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3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33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34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35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36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37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238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239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240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41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4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24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24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24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24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24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4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4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5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5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5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5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25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25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25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5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74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275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276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277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278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27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280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28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28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28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28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28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28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28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28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28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06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07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08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09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10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11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1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13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14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15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16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17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18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19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20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21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2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2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2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2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2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2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2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2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3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3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3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3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3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3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3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3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38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39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40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41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42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43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44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45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46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47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48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49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50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51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52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53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54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55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56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57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58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5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60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61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62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63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64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65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66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67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68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69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70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71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72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73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74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75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76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77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78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79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80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81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82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83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384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85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386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387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388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389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390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391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39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393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394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395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396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397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398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399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400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401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402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10</xdr:row>
      <xdr:rowOff>0</xdr:rowOff>
    </xdr:from>
    <xdr:ext cx="123825" cy="123825"/>
    <xdr:pic macro="[5]!DesignIconClicked">
      <xdr:nvPicPr>
        <xdr:cNvPr id="403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11</xdr:row>
      <xdr:rowOff>0</xdr:rowOff>
    </xdr:from>
    <xdr:ext cx="123825" cy="123825"/>
    <xdr:pic macro="[5]!DesignIconClicked">
      <xdr:nvPicPr>
        <xdr:cNvPr id="404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12</xdr:row>
      <xdr:rowOff>0</xdr:rowOff>
    </xdr:from>
    <xdr:ext cx="123825" cy="123825"/>
    <xdr:pic macro="[5]!DesignIconClicked">
      <xdr:nvPicPr>
        <xdr:cNvPr id="405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13</xdr:row>
      <xdr:rowOff>0</xdr:rowOff>
    </xdr:from>
    <xdr:ext cx="123825" cy="123825"/>
    <xdr:pic macro="[5]!DesignIconClicked">
      <xdr:nvPicPr>
        <xdr:cNvPr id="406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3</xdr:row>
      <xdr:rowOff>0</xdr:rowOff>
    </xdr:from>
    <xdr:ext cx="123825" cy="123825"/>
    <xdr:pic macro="[5]!DesignIconClicked">
      <xdr:nvPicPr>
        <xdr:cNvPr id="407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098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85725</xdr:colOff>
      <xdr:row>5</xdr:row>
      <xdr:rowOff>0</xdr:rowOff>
    </xdr:from>
    <xdr:ext cx="123825" cy="123825"/>
    <xdr:pic macro="[5]!DesignIconClicked">
      <xdr:nvPicPr>
        <xdr:cNvPr id="408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098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10</xdr:row>
      <xdr:rowOff>0</xdr:rowOff>
    </xdr:from>
    <xdr:ext cx="123825" cy="123825"/>
    <xdr:pic macro="[5]!DesignIconClicked">
      <xdr:nvPicPr>
        <xdr:cNvPr id="409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9</xdr:row>
      <xdr:rowOff>0</xdr:rowOff>
    </xdr:from>
    <xdr:ext cx="123825" cy="123825"/>
    <xdr:pic macro="[5]!DesignIconClicked">
      <xdr:nvPicPr>
        <xdr:cNvPr id="410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8</xdr:row>
      <xdr:rowOff>0</xdr:rowOff>
    </xdr:from>
    <xdr:ext cx="123825" cy="123825"/>
    <xdr:pic macro="[5]!DesignIconClicked">
      <xdr:nvPicPr>
        <xdr:cNvPr id="411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7</xdr:row>
      <xdr:rowOff>0</xdr:rowOff>
    </xdr:from>
    <xdr:ext cx="123825" cy="123825"/>
    <xdr:pic macro="[5]!DesignIconClicked">
      <xdr:nvPicPr>
        <xdr:cNvPr id="412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6</xdr:row>
      <xdr:rowOff>9525</xdr:rowOff>
    </xdr:from>
    <xdr:ext cx="123825" cy="123825"/>
    <xdr:pic macro="[5]!DesignIconClicked">
      <xdr:nvPicPr>
        <xdr:cNvPr id="413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5</xdr:row>
      <xdr:rowOff>0</xdr:rowOff>
    </xdr:from>
    <xdr:ext cx="123825" cy="123825"/>
    <xdr:pic macro="[5]!DesignIconClicked">
      <xdr:nvPicPr>
        <xdr:cNvPr id="414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4</xdr:row>
      <xdr:rowOff>0</xdr:rowOff>
    </xdr:from>
    <xdr:ext cx="123825" cy="123825"/>
    <xdr:pic macro="[5]!DesignIconClicked">
      <xdr:nvPicPr>
        <xdr:cNvPr id="415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3</xdr:row>
      <xdr:rowOff>0</xdr:rowOff>
    </xdr:from>
    <xdr:ext cx="123825" cy="123825"/>
    <xdr:pic macro="[5]!DesignIconClicked">
      <xdr:nvPicPr>
        <xdr:cNvPr id="416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47625</xdr:colOff>
      <xdr:row>2</xdr:row>
      <xdr:rowOff>0</xdr:rowOff>
    </xdr:from>
    <xdr:ext cx="123825" cy="123825"/>
    <xdr:pic macro="[5]!DesignIconClicked">
      <xdr:nvPicPr>
        <xdr:cNvPr id="417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717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Shurtape%20-%20Sales\HVAC\Misc\Lennox%20Price%20Page%202011_17_01r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burleson\Documents\Shurtape\2011%20Eastern%20RegionKS%20Teritory%20Plan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burris\My%20Documents\Lennox%20Mast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burris\My%20Documents\Johnstone%20Mast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_01_17 Price Sheet"/>
      <sheetName val="Sheet3"/>
      <sheetName val="Summary"/>
    </sheetNames>
    <sheetDataSet>
      <sheetData sheetId="0" refreshError="1"/>
      <sheetData sheetId="1" refreshError="1">
        <row r="2">
          <cell r="E2">
            <v>155206</v>
          </cell>
          <cell r="F2" t="str">
            <v>X</v>
          </cell>
          <cell r="G2" t="str">
            <v>AF 100 SIL- 2-1/2inx60yd-16 rls/cs</v>
          </cell>
          <cell r="H2">
            <v>8.27</v>
          </cell>
          <cell r="I2">
            <v>8.85</v>
          </cell>
        </row>
        <row r="3">
          <cell r="E3">
            <v>216478</v>
          </cell>
          <cell r="F3" t="str">
            <v>X</v>
          </cell>
          <cell r="G3" t="str">
            <v>AF 100 SIL- 72MM X 55M- 16 RLS/CS</v>
          </cell>
          <cell r="H3">
            <v>9.85</v>
          </cell>
          <cell r="I3">
            <v>10.54</v>
          </cell>
        </row>
        <row r="4">
          <cell r="E4">
            <v>101026</v>
          </cell>
          <cell r="G4" t="str">
            <v>AF 912 SIL- 48mm X 50YD- 24 rls/cs</v>
          </cell>
          <cell r="H4">
            <v>4.8499999999999996</v>
          </cell>
          <cell r="I4">
            <v>5.19</v>
          </cell>
        </row>
        <row r="5">
          <cell r="E5">
            <v>101056</v>
          </cell>
          <cell r="G5" t="str">
            <v>AF 912 SIL- 72mm X 50YD -16 rls/cs</v>
          </cell>
          <cell r="H5">
            <v>6.32</v>
          </cell>
          <cell r="I5">
            <v>6.76</v>
          </cell>
        </row>
        <row r="6">
          <cell r="E6">
            <v>232031</v>
          </cell>
          <cell r="G6" t="str">
            <v>AF 914 SIL- 48mm X 46m- 24 rls/cs</v>
          </cell>
          <cell r="H6">
            <v>4.8499999999999996</v>
          </cell>
          <cell r="I6">
            <v>5.19</v>
          </cell>
        </row>
        <row r="7">
          <cell r="E7">
            <v>232034</v>
          </cell>
          <cell r="F7" t="str">
            <v>X</v>
          </cell>
          <cell r="G7" t="str">
            <v>AF 914 SIL- 72mm X 46m- 16 rls/cs</v>
          </cell>
          <cell r="H7">
            <v>6.32</v>
          </cell>
          <cell r="I7">
            <v>6.76</v>
          </cell>
        </row>
        <row r="8">
          <cell r="E8">
            <v>232037</v>
          </cell>
          <cell r="G8" t="str">
            <v>AF 914 SIL- 96mm X 46m- 12 rls/cs</v>
          </cell>
          <cell r="H8">
            <v>9.7100000000000009</v>
          </cell>
          <cell r="I8">
            <v>10.39</v>
          </cell>
        </row>
        <row r="9">
          <cell r="E9">
            <v>219698</v>
          </cell>
          <cell r="G9" t="str">
            <v>AF 973 SIL- 48mm X 46m- 24 rls/cs</v>
          </cell>
          <cell r="H9">
            <v>4.1100000000000003</v>
          </cell>
          <cell r="I9">
            <v>4.4000000000000004</v>
          </cell>
        </row>
        <row r="10">
          <cell r="E10">
            <v>140330</v>
          </cell>
          <cell r="G10" t="str">
            <v>AF 973 SIL- 72mm X 46m- 16 rls/cs</v>
          </cell>
          <cell r="H10">
            <v>6.17</v>
          </cell>
          <cell r="I10">
            <v>6.6</v>
          </cell>
        </row>
        <row r="11">
          <cell r="E11">
            <v>232032</v>
          </cell>
          <cell r="F11" t="str">
            <v>X</v>
          </cell>
          <cell r="G11" t="str">
            <v>AF 975 SIL- 48mm X 46m- 24 rls/cs</v>
          </cell>
          <cell r="H11">
            <v>4.1100000000000003</v>
          </cell>
          <cell r="I11">
            <v>4.4000000000000004</v>
          </cell>
        </row>
        <row r="12">
          <cell r="E12">
            <v>232043</v>
          </cell>
          <cell r="G12" t="str">
            <v>AF 975 SIL- 60mm X 46m- 20 rls/cs</v>
          </cell>
          <cell r="H12">
            <v>6.49</v>
          </cell>
          <cell r="I12">
            <v>6.94</v>
          </cell>
        </row>
        <row r="13">
          <cell r="E13">
            <v>232035</v>
          </cell>
          <cell r="F13" t="str">
            <v>X</v>
          </cell>
          <cell r="G13" t="str">
            <v>AF 975 SIL- 72mm X 46m- 16 rls/cs</v>
          </cell>
          <cell r="H13">
            <v>6.17</v>
          </cell>
          <cell r="I13">
            <v>6.6</v>
          </cell>
        </row>
        <row r="14">
          <cell r="E14">
            <v>232038</v>
          </cell>
          <cell r="G14" t="str">
            <v>AF 975 SIL- 96mm X 46m- 12 rls/cs</v>
          </cell>
          <cell r="H14">
            <v>10.38</v>
          </cell>
          <cell r="I14">
            <v>11.11</v>
          </cell>
        </row>
        <row r="15">
          <cell r="E15">
            <v>204763</v>
          </cell>
          <cell r="G15" t="str">
            <v>AF 982 SIL- 48mm X 46m- 24 rls/cs</v>
          </cell>
          <cell r="H15">
            <v>5.0999999999999996</v>
          </cell>
          <cell r="I15">
            <v>5.46</v>
          </cell>
        </row>
        <row r="16">
          <cell r="E16">
            <v>170154</v>
          </cell>
          <cell r="G16" t="str">
            <v>AF 982 SIL- 72mm X 46m- 16 rls/cs</v>
          </cell>
          <cell r="H16">
            <v>6.94</v>
          </cell>
          <cell r="I16">
            <v>7.43</v>
          </cell>
        </row>
        <row r="17">
          <cell r="E17">
            <v>232033</v>
          </cell>
          <cell r="G17" t="str">
            <v>AF 984 SIL- 48mm X 46m- 24 rls/cs</v>
          </cell>
          <cell r="H17">
            <v>5.0999999999999996</v>
          </cell>
          <cell r="I17">
            <v>5.46</v>
          </cell>
        </row>
        <row r="18">
          <cell r="E18">
            <v>232036</v>
          </cell>
          <cell r="F18" t="str">
            <v>X</v>
          </cell>
          <cell r="G18" t="str">
            <v>AF 984 SIL- 72mm X 46m- 16 rls/cs</v>
          </cell>
          <cell r="H18">
            <v>6.94</v>
          </cell>
          <cell r="I18">
            <v>7.43</v>
          </cell>
        </row>
        <row r="19">
          <cell r="E19">
            <v>232039</v>
          </cell>
          <cell r="G19" t="str">
            <v>AF 984 SIL- 96mm X 46m- 12 rls/cs</v>
          </cell>
          <cell r="H19">
            <v>10.199999999999999</v>
          </cell>
          <cell r="I19">
            <v>10.91</v>
          </cell>
        </row>
        <row r="20">
          <cell r="E20">
            <v>206682</v>
          </cell>
          <cell r="G20" t="str">
            <v>AF 990 WHI- 3in X 50yd- 16 rls/cs</v>
          </cell>
          <cell r="H20">
            <v>12.53</v>
          </cell>
          <cell r="I20">
            <v>13.41</v>
          </cell>
        </row>
        <row r="21">
          <cell r="E21" t="str">
            <v>*</v>
          </cell>
          <cell r="G21" t="str">
            <v>AP 401, Clear 48x100M=2x110</v>
          </cell>
          <cell r="H21">
            <v>2.71</v>
          </cell>
          <cell r="I21">
            <v>2.71</v>
          </cell>
        </row>
        <row r="22">
          <cell r="E22">
            <v>205330</v>
          </cell>
          <cell r="F22" t="str">
            <v>X</v>
          </cell>
          <cell r="G22" t="str">
            <v>DC 181 BPT-48mm x 110m - 24rls/cs</v>
          </cell>
          <cell r="H22">
            <v>4.9400000000000004</v>
          </cell>
          <cell r="I22">
            <v>5.29</v>
          </cell>
        </row>
        <row r="23">
          <cell r="E23">
            <v>164686</v>
          </cell>
          <cell r="F23" t="str">
            <v>X</v>
          </cell>
          <cell r="G23" t="str">
            <v>DC 181 MPT-48mm x 110m - 24rls/cs</v>
          </cell>
          <cell r="H23">
            <v>4.9400000000000004</v>
          </cell>
          <cell r="I23">
            <v>5.29</v>
          </cell>
        </row>
        <row r="24">
          <cell r="E24">
            <v>106634</v>
          </cell>
          <cell r="F24" t="str">
            <v>X</v>
          </cell>
          <cell r="G24" t="str">
            <v>DC 181 BPT-72mm x 110m - 16 rls/cs</v>
          </cell>
          <cell r="H24">
            <v>7.42</v>
          </cell>
          <cell r="I24">
            <v>7.94</v>
          </cell>
        </row>
        <row r="25">
          <cell r="E25">
            <v>207113</v>
          </cell>
          <cell r="F25" t="str">
            <v>X</v>
          </cell>
          <cell r="G25" t="str">
            <v>DC 181 MPT-72mm x 110m - 16 rls/cs</v>
          </cell>
          <cell r="H25">
            <v>7.42</v>
          </cell>
          <cell r="I25">
            <v>7.94</v>
          </cell>
        </row>
        <row r="26">
          <cell r="E26">
            <v>200782</v>
          </cell>
          <cell r="F26" t="str">
            <v>X</v>
          </cell>
          <cell r="G26" t="str">
            <v>EV 057 BLK- 3/4in X 66ft- 100 rls/cs</v>
          </cell>
          <cell r="H26">
            <v>0.57999999999999996</v>
          </cell>
          <cell r="I26">
            <v>0.62</v>
          </cell>
        </row>
        <row r="27">
          <cell r="E27">
            <v>207142</v>
          </cell>
          <cell r="G27" t="str">
            <v>HP 100 CLR- 48mm X 100m- 36 rls/cs</v>
          </cell>
          <cell r="H27">
            <v>1.49</v>
          </cell>
          <cell r="I27">
            <v>1.59</v>
          </cell>
        </row>
        <row r="28">
          <cell r="E28">
            <v>169206</v>
          </cell>
          <cell r="G28" t="str">
            <v>IT 100 BLK-2inX30ft Boxed 24/cs</v>
          </cell>
          <cell r="H28">
            <v>4.95</v>
          </cell>
          <cell r="I28">
            <v>5.3</v>
          </cell>
        </row>
        <row r="29">
          <cell r="E29">
            <v>102666</v>
          </cell>
          <cell r="F29" t="str">
            <v>X</v>
          </cell>
          <cell r="G29" t="str">
            <v>LS 300 BPT- 48MM X 55M - 24 RLS/CS</v>
          </cell>
          <cell r="H29">
            <v>3.25</v>
          </cell>
          <cell r="I29">
            <v>3.48</v>
          </cell>
        </row>
        <row r="30">
          <cell r="E30">
            <v>205006</v>
          </cell>
          <cell r="G30" t="str">
            <v>MJ 100 WHI- 3in X 150ft- 18 rls/cs</v>
          </cell>
          <cell r="H30">
            <v>3.38</v>
          </cell>
          <cell r="I30">
            <v>3.62</v>
          </cell>
        </row>
        <row r="31">
          <cell r="E31">
            <v>187348</v>
          </cell>
          <cell r="F31" t="str">
            <v>X</v>
          </cell>
          <cell r="G31" t="str">
            <v>PC 590 BLK- 48mm x 55m- 24 rls/cs</v>
          </cell>
          <cell r="H31">
            <v>3</v>
          </cell>
          <cell r="I31">
            <v>3.21</v>
          </cell>
        </row>
        <row r="32">
          <cell r="E32">
            <v>166625</v>
          </cell>
          <cell r="F32" t="str">
            <v>X</v>
          </cell>
          <cell r="G32" t="str">
            <v>PC 590 SIL- 48mm X 55m- 24 rls/cs</v>
          </cell>
          <cell r="H32">
            <v>3</v>
          </cell>
          <cell r="I32">
            <v>3.21</v>
          </cell>
        </row>
        <row r="33">
          <cell r="E33">
            <v>207089</v>
          </cell>
          <cell r="G33" t="str">
            <v>PC 595 SIL- 48mm X 55m- 24 rls/cs</v>
          </cell>
          <cell r="H33">
            <v>3.04</v>
          </cell>
          <cell r="I33">
            <v>3.25</v>
          </cell>
        </row>
        <row r="34">
          <cell r="E34">
            <v>200546</v>
          </cell>
          <cell r="G34" t="str">
            <v>PC 600 BLK- 48mm X 55m- 24 rls/cs</v>
          </cell>
          <cell r="H34">
            <v>3.24</v>
          </cell>
          <cell r="I34">
            <v>3.47</v>
          </cell>
        </row>
        <row r="35">
          <cell r="E35">
            <v>208479</v>
          </cell>
          <cell r="G35" t="str">
            <v>PC 600 SIL- 48mm X 55m- 24 rls/cs</v>
          </cell>
          <cell r="H35">
            <v>3.24</v>
          </cell>
          <cell r="I35">
            <v>3.47</v>
          </cell>
        </row>
        <row r="36">
          <cell r="E36">
            <v>199722</v>
          </cell>
          <cell r="F36" t="str">
            <v>X</v>
          </cell>
          <cell r="G36" t="str">
            <v>PC 609 BLK- 48mm X 55m- 24 rls/cs</v>
          </cell>
          <cell r="H36">
            <v>3.9</v>
          </cell>
          <cell r="I36">
            <v>4.17</v>
          </cell>
        </row>
        <row r="37">
          <cell r="E37">
            <v>149263</v>
          </cell>
          <cell r="F37" t="str">
            <v>X</v>
          </cell>
          <cell r="G37" t="str">
            <v>PC 609 SIL- 48mm X 55m- 24 rls/cs</v>
          </cell>
          <cell r="H37">
            <v>3.9</v>
          </cell>
          <cell r="I37">
            <v>4.17</v>
          </cell>
        </row>
        <row r="38">
          <cell r="E38">
            <v>196307</v>
          </cell>
          <cell r="G38" t="str">
            <v>PC 609 SIL- 72mm X 55m-16 rls/cs</v>
          </cell>
          <cell r="H38">
            <v>5.86</v>
          </cell>
          <cell r="I38">
            <v>6.27</v>
          </cell>
        </row>
        <row r="39">
          <cell r="E39">
            <v>203674</v>
          </cell>
          <cell r="G39" t="str">
            <v>PC 618 BLK- 48mm X 55m- 24 rls/cs</v>
          </cell>
          <cell r="H39">
            <v>4.04</v>
          </cell>
          <cell r="I39">
            <v>4.32</v>
          </cell>
        </row>
        <row r="40">
          <cell r="E40">
            <v>201458</v>
          </cell>
          <cell r="G40" t="str">
            <v>PC 618 SIL- 48mm X 55m- 24 rls/cs</v>
          </cell>
          <cell r="H40">
            <v>4.04</v>
          </cell>
          <cell r="I40">
            <v>4.32</v>
          </cell>
        </row>
        <row r="41">
          <cell r="E41">
            <v>203257</v>
          </cell>
          <cell r="G41" t="str">
            <v>PC 618 SIL- 72mm X 55m- 16 rls/cs</v>
          </cell>
          <cell r="H41">
            <v>6.07</v>
          </cell>
          <cell r="I41">
            <v>6.49</v>
          </cell>
        </row>
        <row r="42">
          <cell r="E42">
            <v>101066</v>
          </cell>
          <cell r="F42" t="str">
            <v>X</v>
          </cell>
          <cell r="G42" t="str">
            <v>PC 620 SIL- 48mm X 55m- 24 rls/cs</v>
          </cell>
          <cell r="H42">
            <v>5.0999999999999996</v>
          </cell>
          <cell r="I42">
            <v>5.46</v>
          </cell>
        </row>
        <row r="43">
          <cell r="E43">
            <v>201498</v>
          </cell>
          <cell r="G43" t="str">
            <v>PC 621 BLK- 48mm X 55m- 24 rls/cs</v>
          </cell>
          <cell r="H43">
            <v>4.9000000000000004</v>
          </cell>
          <cell r="I43">
            <v>5.24</v>
          </cell>
        </row>
        <row r="44">
          <cell r="E44">
            <v>105699</v>
          </cell>
          <cell r="G44" t="str">
            <v>PC 621 SIL- 48mm X 55m- 24 rls/cs</v>
          </cell>
          <cell r="H44">
            <v>4.9000000000000004</v>
          </cell>
          <cell r="I44">
            <v>5.24</v>
          </cell>
        </row>
        <row r="45">
          <cell r="E45">
            <v>208269</v>
          </cell>
          <cell r="F45" t="str">
            <v>X</v>
          </cell>
          <cell r="G45" t="str">
            <v>PC 621 SPT- 48MM X 55M- 24 RLS/CS</v>
          </cell>
          <cell r="H45">
            <v>4.9000000000000004</v>
          </cell>
          <cell r="I45">
            <v>5.24</v>
          </cell>
        </row>
        <row r="46">
          <cell r="E46">
            <v>145083</v>
          </cell>
          <cell r="G46" t="str">
            <v>PC 622 BLK- 48mm X 55m- 24 rls/cs</v>
          </cell>
          <cell r="H46">
            <v>5.92</v>
          </cell>
          <cell r="I46">
            <v>6.33</v>
          </cell>
        </row>
        <row r="47">
          <cell r="E47">
            <v>183845</v>
          </cell>
          <cell r="G47" t="str">
            <v>PC 622 SIL- 48MM X 55M- 24 RLS/CS</v>
          </cell>
          <cell r="H47">
            <v>5.92</v>
          </cell>
          <cell r="I47">
            <v>6.33</v>
          </cell>
        </row>
        <row r="48">
          <cell r="E48">
            <v>162545</v>
          </cell>
          <cell r="F48" t="str">
            <v>X</v>
          </cell>
          <cell r="G48" t="str">
            <v>PC 628 BLK- 48mm X 55m- 24 rls/cs</v>
          </cell>
          <cell r="H48">
            <v>11.53</v>
          </cell>
          <cell r="I48">
            <v>12.34</v>
          </cell>
        </row>
        <row r="49">
          <cell r="E49">
            <v>205239</v>
          </cell>
          <cell r="G49" t="str">
            <v>PC 628 BLK- 72mm X 55m- 16 rls/cs</v>
          </cell>
          <cell r="H49">
            <v>17.309999999999999</v>
          </cell>
          <cell r="I49">
            <v>18.52</v>
          </cell>
        </row>
        <row r="50">
          <cell r="E50">
            <v>101327</v>
          </cell>
          <cell r="G50" t="str">
            <v>PC 657 BLK- 48mm X 55m- 24 rls/cs</v>
          </cell>
          <cell r="H50">
            <v>7.77</v>
          </cell>
          <cell r="I50">
            <v>8.31</v>
          </cell>
        </row>
        <row r="51">
          <cell r="E51">
            <v>101359</v>
          </cell>
          <cell r="G51" t="str">
            <v>PC 657 SIL- 48MM X 55M- 24 rls/cs</v>
          </cell>
          <cell r="H51">
            <v>7.77</v>
          </cell>
          <cell r="I51">
            <v>8.31</v>
          </cell>
        </row>
        <row r="52">
          <cell r="E52">
            <v>203104</v>
          </cell>
          <cell r="G52" t="str">
            <v>PC 657 SIL- 72mm X 55m- 16 rls/cs</v>
          </cell>
          <cell r="H52">
            <v>11.65</v>
          </cell>
          <cell r="I52">
            <v>12.47</v>
          </cell>
        </row>
        <row r="53">
          <cell r="E53">
            <v>201885</v>
          </cell>
          <cell r="F53" t="str">
            <v>X</v>
          </cell>
          <cell r="G53" t="str">
            <v>PC 857 BPT- 48mm x 55m- 24 rls/cs</v>
          </cell>
          <cell r="H53">
            <v>7.57</v>
          </cell>
          <cell r="I53">
            <v>8.1</v>
          </cell>
        </row>
        <row r="54">
          <cell r="E54">
            <v>201887</v>
          </cell>
          <cell r="F54" t="str">
            <v>X</v>
          </cell>
          <cell r="G54" t="str">
            <v>PC 857 GPT- 48mm X 55m- 24 rls/cs</v>
          </cell>
          <cell r="H54">
            <v>7.57</v>
          </cell>
          <cell r="I54">
            <v>8.1</v>
          </cell>
        </row>
        <row r="55">
          <cell r="E55">
            <v>101015</v>
          </cell>
          <cell r="F55" t="str">
            <v>X</v>
          </cell>
          <cell r="G55" t="str">
            <v>PC 857 SMT- 48mm x 55m- 24 rls/cs</v>
          </cell>
          <cell r="H55">
            <v>7.57</v>
          </cell>
          <cell r="I55">
            <v>8.1</v>
          </cell>
        </row>
        <row r="56">
          <cell r="E56">
            <v>101014</v>
          </cell>
          <cell r="G56" t="str">
            <v>PC 857 SMT- 72mm x 55m- 16 rls/cs</v>
          </cell>
          <cell r="H56">
            <v>12.54</v>
          </cell>
          <cell r="I56">
            <v>13.42</v>
          </cell>
        </row>
        <row r="57">
          <cell r="E57">
            <v>143969</v>
          </cell>
          <cell r="G57" t="str">
            <v>PC 858 SMT- 48mm x 55m- 24 rls/cs</v>
          </cell>
          <cell r="H57">
            <v>8.32</v>
          </cell>
          <cell r="I57">
            <v>8.9</v>
          </cell>
        </row>
        <row r="58">
          <cell r="E58" t="str">
            <v>*</v>
          </cell>
          <cell r="G58" t="str">
            <v>PC 858, Metalized 72x55M=3x60</v>
          </cell>
          <cell r="H58">
            <v>12.48</v>
          </cell>
          <cell r="I58">
            <v>13.35</v>
          </cell>
        </row>
        <row r="59">
          <cell r="E59">
            <v>100755</v>
          </cell>
          <cell r="G59" t="str">
            <v>PW 100 BPT- 50mm x 30m- 36rls/cs</v>
          </cell>
          <cell r="H59">
            <v>3.01</v>
          </cell>
          <cell r="I59">
            <v>3.22</v>
          </cell>
        </row>
        <row r="60">
          <cell r="E60">
            <v>103765</v>
          </cell>
          <cell r="G60" t="str">
            <v>PF 220 CLR- 24 IN X 200 FT -1 rls/cs</v>
          </cell>
          <cell r="H60">
            <v>29.55</v>
          </cell>
          <cell r="I60">
            <v>31.62</v>
          </cell>
        </row>
        <row r="61">
          <cell r="E61">
            <v>103766</v>
          </cell>
          <cell r="G61" t="str">
            <v>PF 220 CLR- 36 IN X 200 FT -1 rls/cs</v>
          </cell>
          <cell r="H61">
            <v>40.98</v>
          </cell>
          <cell r="I61">
            <v>43.85</v>
          </cell>
        </row>
        <row r="62">
          <cell r="E62">
            <v>146956</v>
          </cell>
          <cell r="F62" t="str">
            <v>X</v>
          </cell>
          <cell r="G62" t="str">
            <v>SF 682 SIL- 48mm X 55m- 24 rls/cs</v>
          </cell>
          <cell r="H62">
            <v>4.8600000000000003</v>
          </cell>
          <cell r="I62">
            <v>5.2</v>
          </cell>
        </row>
        <row r="63">
          <cell r="E63">
            <v>138664</v>
          </cell>
          <cell r="F63" t="str">
            <v>X</v>
          </cell>
          <cell r="G63" t="str">
            <v>SF 682 SIL- 72mm X 55m- 16 rls/cs</v>
          </cell>
          <cell r="H63">
            <v>7.29</v>
          </cell>
          <cell r="I63">
            <v>7.8</v>
          </cell>
        </row>
        <row r="64">
          <cell r="E64">
            <v>208144</v>
          </cell>
          <cell r="G64" t="str">
            <v>SF 683 SPT- 48mm X 55m- 24 rls/cs</v>
          </cell>
          <cell r="H64">
            <v>5.36</v>
          </cell>
          <cell r="I64">
            <v>5.74</v>
          </cell>
        </row>
        <row r="65">
          <cell r="E65">
            <v>208574</v>
          </cell>
          <cell r="G65" t="str">
            <v>SF 683 SPT- 72mm X 55m- 16 rls/cs</v>
          </cell>
          <cell r="H65">
            <v>8.9499999999999993</v>
          </cell>
          <cell r="I65">
            <v>9.58</v>
          </cell>
        </row>
        <row r="66">
          <cell r="E66">
            <v>200664</v>
          </cell>
          <cell r="F66" t="str">
            <v>X</v>
          </cell>
          <cell r="G66" t="str">
            <v>SF 685 SPT- 2in X 100ft- 24 rls/cs</v>
          </cell>
          <cell r="H66">
            <v>12.08</v>
          </cell>
          <cell r="I66">
            <v>12.93</v>
          </cell>
        </row>
        <row r="67">
          <cell r="E67">
            <v>200666</v>
          </cell>
          <cell r="G67" t="str">
            <v>SF 685 SPT- 3IN X 100FT- 16 RLS/CS</v>
          </cell>
          <cell r="H67">
            <v>18.12</v>
          </cell>
          <cell r="I67">
            <v>19.39</v>
          </cell>
        </row>
        <row r="68">
          <cell r="E68">
            <v>183431</v>
          </cell>
          <cell r="F68" t="str">
            <v>X</v>
          </cell>
          <cell r="G68" t="str">
            <v>SF 686 SPT- 2IN X 100FT- 24 RLS/CS</v>
          </cell>
          <cell r="H68">
            <v>12.46</v>
          </cell>
          <cell r="I68">
            <v>13.33</v>
          </cell>
        </row>
        <row r="69">
          <cell r="E69">
            <v>111163</v>
          </cell>
          <cell r="F69" t="str">
            <v>X</v>
          </cell>
          <cell r="G69" t="str">
            <v>SF 686 SPT- 3IN X 100FT- 16 RLS/CS</v>
          </cell>
          <cell r="H69">
            <v>18.690000000000001</v>
          </cell>
          <cell r="I69">
            <v>20</v>
          </cell>
        </row>
        <row r="70">
          <cell r="E70">
            <v>202810</v>
          </cell>
          <cell r="G70" t="str">
            <v>VP 410 BLK- 50MM X 33M- 24 RLS/CS</v>
          </cell>
          <cell r="H70">
            <v>2.29</v>
          </cell>
          <cell r="I70">
            <v>2.4500000000000002</v>
          </cell>
        </row>
        <row r="71">
          <cell r="E71">
            <v>202793</v>
          </cell>
          <cell r="G71" t="str">
            <v>VP 410 WHI- 50mm X 33m- 24 rls/cs</v>
          </cell>
          <cell r="H71">
            <v>2.29</v>
          </cell>
          <cell r="I71">
            <v>2.4500000000000002</v>
          </cell>
        </row>
        <row r="72">
          <cell r="E72">
            <v>198660</v>
          </cell>
          <cell r="G72" t="str">
            <v>VP 500 WHI- 3IN X 50YDS- 16 RLS/CS</v>
          </cell>
          <cell r="H72">
            <v>8.36</v>
          </cell>
          <cell r="I72">
            <v>8.9499999999999993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MidSouth-83"/>
      <sheetName val="TLS-57"/>
      <sheetName val="HVAC S-80 "/>
      <sheetName val="AtoZ-76 "/>
      <sheetName val="Northway-70"/>
      <sheetName val="Kivlan-71"/>
      <sheetName val="Thompson-41"/>
      <sheetName val="Reeves-69"/>
      <sheetName val="ProSales-79"/>
      <sheetName val="Codes"/>
      <sheetName val="JayKay-82"/>
      <sheetName val="AFW-6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/>
        </row>
        <row r="2">
          <cell r="A2" t="str">
            <v>Closed</v>
          </cell>
        </row>
        <row r="3">
          <cell r="A3" t="str">
            <v>1 - Price</v>
          </cell>
        </row>
        <row r="4">
          <cell r="A4" t="str">
            <v>2 - Terms</v>
          </cell>
        </row>
        <row r="5">
          <cell r="A5" t="str">
            <v>3 - Rebate</v>
          </cell>
        </row>
        <row r="6">
          <cell r="A6" t="str">
            <v>4 - Buying Group</v>
          </cell>
        </row>
        <row r="7">
          <cell r="A7" t="str">
            <v>WNSwitch</v>
          </cell>
        </row>
        <row r="8">
          <cell r="A8" t="str">
            <v>1,2,3,4</v>
          </cell>
        </row>
        <row r="9">
          <cell r="A9" t="str">
            <v>1,2</v>
          </cell>
        </row>
        <row r="10">
          <cell r="A10" t="str">
            <v>1,3</v>
          </cell>
        </row>
        <row r="11">
          <cell r="A11" t="str">
            <v>1,4</v>
          </cell>
        </row>
        <row r="12">
          <cell r="A12" t="str">
            <v>2,1</v>
          </cell>
        </row>
        <row r="13">
          <cell r="A13" t="str">
            <v>2,2</v>
          </cell>
        </row>
        <row r="14">
          <cell r="A14" t="str">
            <v>2,3</v>
          </cell>
        </row>
        <row r="15">
          <cell r="A15" t="str">
            <v>2,4</v>
          </cell>
        </row>
        <row r="16">
          <cell r="A16" t="str">
            <v>3,1</v>
          </cell>
        </row>
        <row r="17">
          <cell r="A17" t="str">
            <v>3,2</v>
          </cell>
        </row>
        <row r="18">
          <cell r="A18" t="str">
            <v>3,3</v>
          </cell>
        </row>
        <row r="19">
          <cell r="A19" t="str">
            <v>3,4</v>
          </cell>
        </row>
        <row r="20">
          <cell r="A20" t="str">
            <v>4,1</v>
          </cell>
        </row>
        <row r="21">
          <cell r="A21" t="str">
            <v>4,2</v>
          </cell>
        </row>
        <row r="22">
          <cell r="A22" t="str">
            <v>4,3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heet2"/>
      <sheetName val="Sheet1 (2)"/>
      <sheetName val="Open"/>
      <sheetName val="Open 53"/>
    </sheetNames>
    <sheetDataSet>
      <sheetData sheetId="0" refreshError="1"/>
      <sheetData sheetId="1" refreshError="1">
        <row r="2">
          <cell r="A2" t="str">
            <v>16P81</v>
          </cell>
          <cell r="B2" t="str">
            <v>PC 620 SIL- 48mm X 55m- 24 rls/cs</v>
          </cell>
          <cell r="C2">
            <v>24</v>
          </cell>
          <cell r="D2">
            <v>11</v>
          </cell>
          <cell r="E2">
            <v>5.0999999999999996</v>
          </cell>
          <cell r="F2" t="e">
            <v>#REF!</v>
          </cell>
          <cell r="G2" t="e">
            <v>#REF!</v>
          </cell>
        </row>
        <row r="3">
          <cell r="A3" t="str">
            <v>16P82</v>
          </cell>
          <cell r="B3" t="str">
            <v>PC 622 SIL- 48mm X 55m- 24 rls/cs</v>
          </cell>
          <cell r="C3">
            <v>24</v>
          </cell>
          <cell r="D3">
            <v>12.5</v>
          </cell>
          <cell r="E3">
            <v>5.92</v>
          </cell>
          <cell r="F3" t="e">
            <v>#REF!</v>
          </cell>
          <cell r="G3" t="e">
            <v>#REF!</v>
          </cell>
        </row>
        <row r="4">
          <cell r="A4" t="str">
            <v>16P83</v>
          </cell>
          <cell r="B4" t="str">
            <v>PC 618 SIL- 48mm X 55m- 24 rls/cs</v>
          </cell>
          <cell r="C4">
            <v>24</v>
          </cell>
          <cell r="D4">
            <v>10</v>
          </cell>
          <cell r="E4">
            <v>4.04</v>
          </cell>
          <cell r="F4" t="e">
            <v>#REF!</v>
          </cell>
          <cell r="G4" t="e">
            <v>#REF!</v>
          </cell>
        </row>
        <row r="5">
          <cell r="A5" t="str">
            <v>16P93</v>
          </cell>
          <cell r="B5" t="str">
            <v>EV 057 BLK- 3/4in X 66ft- 100 rls/cs</v>
          </cell>
          <cell r="C5">
            <v>100</v>
          </cell>
          <cell r="D5">
            <v>7</v>
          </cell>
          <cell r="E5">
            <v>0.57999999999999996</v>
          </cell>
          <cell r="F5" t="e">
            <v>#REF!</v>
          </cell>
          <cell r="G5" t="e">
            <v>#REF!</v>
          </cell>
        </row>
        <row r="6">
          <cell r="A6" t="str">
            <v>16P94</v>
          </cell>
          <cell r="B6" t="str">
            <v>PC 609 SIL- 48mm X 55m- 24 rls/cs</v>
          </cell>
          <cell r="C6">
            <v>24</v>
          </cell>
          <cell r="D6">
            <v>10</v>
          </cell>
          <cell r="E6">
            <v>3.9</v>
          </cell>
          <cell r="F6" t="e">
            <v>#REF!</v>
          </cell>
          <cell r="G6" t="e">
            <v>#REF!</v>
          </cell>
        </row>
        <row r="7">
          <cell r="A7" t="str">
            <v>17P54</v>
          </cell>
          <cell r="B7" t="str">
            <v>PC 628 BLK- 48mm X 55m- 24 rls/cs</v>
          </cell>
          <cell r="C7">
            <v>24</v>
          </cell>
          <cell r="D7">
            <v>12</v>
          </cell>
          <cell r="E7">
            <v>11.53</v>
          </cell>
          <cell r="F7" t="e">
            <v>#REF!</v>
          </cell>
          <cell r="G7" t="e">
            <v>#REF!</v>
          </cell>
        </row>
        <row r="8">
          <cell r="A8" t="str">
            <v>17P88</v>
          </cell>
          <cell r="B8" t="str">
            <v>PC 621 SIL- 48mm X 55m- 24 rls/cs</v>
          </cell>
          <cell r="C8">
            <v>24</v>
          </cell>
          <cell r="D8">
            <v>11.5</v>
          </cell>
          <cell r="E8">
            <v>4.9000000000000004</v>
          </cell>
          <cell r="F8" t="e">
            <v>#REF!</v>
          </cell>
          <cell r="G8" t="e">
            <v>#REF!</v>
          </cell>
        </row>
        <row r="9">
          <cell r="A9" t="str">
            <v>17P89</v>
          </cell>
          <cell r="B9" t="str">
            <v>SF 682 SIL- 48mm X 55m- 24 rls/cs</v>
          </cell>
          <cell r="C9">
            <v>24</v>
          </cell>
          <cell r="D9">
            <v>11</v>
          </cell>
          <cell r="E9">
            <v>4.8600000000000003</v>
          </cell>
          <cell r="F9" t="e">
            <v>#REF!</v>
          </cell>
          <cell r="G9" t="e">
            <v>#REF!</v>
          </cell>
        </row>
        <row r="10">
          <cell r="A10" t="str">
            <v>17P90</v>
          </cell>
          <cell r="B10" t="str">
            <v>AF 100 SIL- 72mm X 55m- 16 rls/cs</v>
          </cell>
          <cell r="C10">
            <v>16</v>
          </cell>
          <cell r="D10">
            <v>4.2</v>
          </cell>
          <cell r="E10">
            <v>9.85</v>
          </cell>
          <cell r="F10" t="e">
            <v>#REF!</v>
          </cell>
          <cell r="G10" t="e">
            <v>#REF!</v>
          </cell>
        </row>
        <row r="11">
          <cell r="A11" t="str">
            <v>18P34</v>
          </cell>
          <cell r="B11" t="str">
            <v>PC 609 BLK- 48mm X 55m- 24 rls/cs</v>
          </cell>
          <cell r="C11">
            <v>24</v>
          </cell>
          <cell r="D11">
            <v>10</v>
          </cell>
          <cell r="E11">
            <v>3.9</v>
          </cell>
          <cell r="F11" t="e">
            <v>#REF!</v>
          </cell>
          <cell r="G11" t="e">
            <v>#REF!</v>
          </cell>
        </row>
        <row r="12">
          <cell r="A12" t="str">
            <v>18P35</v>
          </cell>
          <cell r="B12" t="str">
            <v>AF 100 SIL- 2-1/2inx60yd-16 rls/cs</v>
          </cell>
          <cell r="C12">
            <v>16</v>
          </cell>
          <cell r="D12">
            <v>4.2</v>
          </cell>
          <cell r="E12">
            <v>8.27</v>
          </cell>
          <cell r="F12" t="e">
            <v>#REF!</v>
          </cell>
          <cell r="G12" t="e">
            <v>#REF!</v>
          </cell>
        </row>
        <row r="13">
          <cell r="A13" t="str">
            <v>18P92</v>
          </cell>
          <cell r="B13" t="str">
            <v>PC 621 SPT- 48mm X 55m- 24 rls/cs</v>
          </cell>
          <cell r="C13">
            <v>24</v>
          </cell>
          <cell r="D13">
            <v>11.5</v>
          </cell>
          <cell r="E13">
            <v>4.9000000000000004</v>
          </cell>
          <cell r="F13" t="e">
            <v>#REF!</v>
          </cell>
          <cell r="G13" t="e">
            <v>#REF!</v>
          </cell>
        </row>
        <row r="14">
          <cell r="A14" t="str">
            <v>19P39</v>
          </cell>
          <cell r="B14" t="str">
            <v>SF 682 SIL- 72mm X 55m- 16 rls/cs</v>
          </cell>
          <cell r="C14">
            <v>16</v>
          </cell>
          <cell r="D14">
            <v>11</v>
          </cell>
          <cell r="E14">
            <v>7.29</v>
          </cell>
          <cell r="F14" t="e">
            <v>#REF!</v>
          </cell>
          <cell r="G14" t="e">
            <v>#REF!</v>
          </cell>
        </row>
        <row r="15">
          <cell r="A15" t="str">
            <v>33N63</v>
          </cell>
          <cell r="B15" t="str">
            <v>SF 686 SPT- 3in X 100ft- 16 rls/cs</v>
          </cell>
          <cell r="C15">
            <v>16</v>
          </cell>
          <cell r="D15">
            <v>17</v>
          </cell>
          <cell r="E15">
            <v>18.690000000000001</v>
          </cell>
          <cell r="F15" t="e">
            <v>#REF!</v>
          </cell>
          <cell r="G15" t="e">
            <v>#REF!</v>
          </cell>
        </row>
        <row r="16">
          <cell r="A16" t="str">
            <v>34X01</v>
          </cell>
          <cell r="B16" t="str">
            <v>PC 857 BPT- 48mm x 55m- 24 rls/cs</v>
          </cell>
          <cell r="C16">
            <v>24</v>
          </cell>
          <cell r="D16">
            <v>14</v>
          </cell>
          <cell r="E16">
            <v>7.57</v>
          </cell>
          <cell r="F16" t="e">
            <v>#REF!</v>
          </cell>
          <cell r="G16" t="e">
            <v>#REF!</v>
          </cell>
        </row>
        <row r="17">
          <cell r="A17" t="str">
            <v>34X02</v>
          </cell>
          <cell r="B17" t="str">
            <v>PC 857 GPT- 48mm X 55m- 24 rls/cs</v>
          </cell>
          <cell r="C17">
            <v>24</v>
          </cell>
          <cell r="D17">
            <v>14</v>
          </cell>
          <cell r="E17">
            <v>7.57</v>
          </cell>
          <cell r="F17" t="e">
            <v>#REF!</v>
          </cell>
          <cell r="G17" t="e">
            <v>#REF!</v>
          </cell>
        </row>
        <row r="18">
          <cell r="A18" t="str">
            <v>46X82</v>
          </cell>
          <cell r="B18" t="str">
            <v>SF 685 SPT- 2in X 100ft- 24 rls/cs</v>
          </cell>
          <cell r="C18">
            <v>24</v>
          </cell>
          <cell r="D18">
            <v>17</v>
          </cell>
          <cell r="E18">
            <v>12.08</v>
          </cell>
          <cell r="F18" t="e">
            <v>#REF!</v>
          </cell>
          <cell r="G18" t="e">
            <v>#REF!</v>
          </cell>
        </row>
        <row r="19">
          <cell r="A19" t="str">
            <v>75P64</v>
          </cell>
          <cell r="B19" t="str">
            <v>SF 683 SPT- 48mm X 55m- 24 rls/cs</v>
          </cell>
          <cell r="C19">
            <v>24</v>
          </cell>
          <cell r="D19">
            <v>11</v>
          </cell>
          <cell r="E19">
            <v>5.36</v>
          </cell>
          <cell r="F19" t="e">
            <v>#REF!</v>
          </cell>
          <cell r="G19" t="e">
            <v>#REF!</v>
          </cell>
        </row>
        <row r="20">
          <cell r="A20" t="str">
            <v>X0290</v>
          </cell>
          <cell r="B20" t="str">
            <v>DC 181 MPT-48mm x 110m - 24rls/cs</v>
          </cell>
          <cell r="C20">
            <v>24</v>
          </cell>
          <cell r="D20">
            <v>3</v>
          </cell>
          <cell r="E20">
            <v>4.9400000000000004</v>
          </cell>
          <cell r="F20" t="e">
            <v>#REF!</v>
          </cell>
          <cell r="G20" t="e">
            <v>#REF!</v>
          </cell>
        </row>
        <row r="21">
          <cell r="A21" t="str">
            <v>X1775</v>
          </cell>
          <cell r="B21" t="str">
            <v>PC 857 SMT- 48mm x 55m- 24 rls/cs</v>
          </cell>
          <cell r="C21">
            <v>24</v>
          </cell>
          <cell r="D21">
            <v>14</v>
          </cell>
          <cell r="E21">
            <v>7.57</v>
          </cell>
          <cell r="F21" t="e">
            <v>#REF!</v>
          </cell>
          <cell r="G21" t="e">
            <v>#REF!</v>
          </cell>
        </row>
        <row r="22">
          <cell r="A22" t="str">
            <v>Y2085</v>
          </cell>
          <cell r="B22" t="str">
            <v>PC 590 BLK- 48mm x 55m- 24 rls/cs</v>
          </cell>
          <cell r="C22">
            <v>24</v>
          </cell>
          <cell r="D22">
            <v>7</v>
          </cell>
          <cell r="E22">
            <v>3</v>
          </cell>
          <cell r="F22" t="e">
            <v>#REF!</v>
          </cell>
          <cell r="G22" t="e">
            <v>#REF!</v>
          </cell>
        </row>
        <row r="23">
          <cell r="A23" t="str">
            <v>Y2086</v>
          </cell>
          <cell r="B23" t="str">
            <v>PC 590 SIL- 48mm X 55m- 24 rls/cs</v>
          </cell>
          <cell r="C23">
            <v>24</v>
          </cell>
          <cell r="D23">
            <v>7</v>
          </cell>
          <cell r="E23">
            <v>3</v>
          </cell>
          <cell r="F23" t="e">
            <v>#REF!</v>
          </cell>
          <cell r="G23" t="e">
            <v>#REF!</v>
          </cell>
        </row>
        <row r="24">
          <cell r="A24" t="str">
            <v>Y2089</v>
          </cell>
          <cell r="B24" t="str">
            <v>SF 686 SPT- 2in X 100ft- 24 rls/cs</v>
          </cell>
          <cell r="C24">
            <v>24</v>
          </cell>
          <cell r="D24">
            <v>17</v>
          </cell>
          <cell r="E24">
            <v>12.46</v>
          </cell>
          <cell r="F24" t="e">
            <v>#REF!</v>
          </cell>
          <cell r="G24" t="e">
            <v>#REF!</v>
          </cell>
        </row>
        <row r="25">
          <cell r="A25" t="str">
            <v>Y2090</v>
          </cell>
          <cell r="B25" t="str">
            <v>DC 181 BPT-48mm x 110m - 24rls/cs</v>
          </cell>
          <cell r="C25">
            <v>24</v>
          </cell>
          <cell r="D25">
            <v>3</v>
          </cell>
          <cell r="E25">
            <v>4.9400000000000004</v>
          </cell>
          <cell r="F25" t="e">
            <v>#REF!</v>
          </cell>
          <cell r="G25" t="e">
            <v>#REF!</v>
          </cell>
        </row>
        <row r="26">
          <cell r="A26" t="str">
            <v>Y2091</v>
          </cell>
          <cell r="B26" t="str">
            <v>LS 300 BPT- 48mm x 55m - 24 rls/cs</v>
          </cell>
          <cell r="C26">
            <v>24</v>
          </cell>
          <cell r="D26">
            <v>3</v>
          </cell>
          <cell r="E26">
            <v>3.25</v>
          </cell>
          <cell r="F26" t="e">
            <v>#REF!</v>
          </cell>
          <cell r="G26" t="e">
            <v>#REF!</v>
          </cell>
        </row>
        <row r="27">
          <cell r="A27" t="str">
            <v>Y2093</v>
          </cell>
          <cell r="B27" t="str">
            <v>DC 181 MPT-72mm x 110m - 16 rls/cs</v>
          </cell>
          <cell r="C27">
            <v>16</v>
          </cell>
          <cell r="D27">
            <v>3</v>
          </cell>
          <cell r="E27">
            <v>7.42</v>
          </cell>
          <cell r="F27" t="e">
            <v>#REF!</v>
          </cell>
          <cell r="G27" t="e">
            <v>#REF!</v>
          </cell>
        </row>
        <row r="28">
          <cell r="A28" t="str">
            <v>Y302201</v>
          </cell>
          <cell r="B28" t="str">
            <v>AF 914 SIL- 72mm X 46m- 16 rls/cs- H</v>
          </cell>
          <cell r="C28">
            <v>16</v>
          </cell>
          <cell r="D28">
            <v>3.4</v>
          </cell>
          <cell r="E28">
            <v>6.32</v>
          </cell>
          <cell r="F28" t="e">
            <v>#REF!</v>
          </cell>
          <cell r="G28" t="e">
            <v>#REF!</v>
          </cell>
        </row>
        <row r="29">
          <cell r="A29" t="str">
            <v>Y302301</v>
          </cell>
          <cell r="B29" t="str">
            <v>AF 975 SIL- 48mm X 46m- 24 rls/cs- H</v>
          </cell>
          <cell r="C29">
            <v>24</v>
          </cell>
          <cell r="D29">
            <v>3.9</v>
          </cell>
          <cell r="E29">
            <v>4.1100000000000003</v>
          </cell>
          <cell r="F29" t="e">
            <v>#REF!</v>
          </cell>
          <cell r="G29" t="e">
            <v>#REF!</v>
          </cell>
        </row>
        <row r="30">
          <cell r="A30" t="str">
            <v>Y302401</v>
          </cell>
          <cell r="B30" t="str">
            <v>AF 975 SIL- 60mm X 46m- 20 rls/cs- H</v>
          </cell>
          <cell r="C30">
            <v>20</v>
          </cell>
          <cell r="D30">
            <v>3.9</v>
          </cell>
          <cell r="E30">
            <v>6.49</v>
          </cell>
          <cell r="F30" t="e">
            <v>#REF!</v>
          </cell>
          <cell r="G30" t="e">
            <v>#REF!</v>
          </cell>
        </row>
        <row r="31">
          <cell r="A31" t="str">
            <v>Y302501</v>
          </cell>
          <cell r="B31" t="str">
            <v>AF 975 SIL- 72mm X 46m- 16 rls/cs- H</v>
          </cell>
          <cell r="C31">
            <v>16</v>
          </cell>
          <cell r="D31">
            <v>3.9</v>
          </cell>
          <cell r="E31">
            <v>6.17</v>
          </cell>
          <cell r="F31" t="e">
            <v>#REF!</v>
          </cell>
          <cell r="G31" t="e">
            <v>#REF!</v>
          </cell>
        </row>
        <row r="32">
          <cell r="A32" t="str">
            <v>Y302601</v>
          </cell>
          <cell r="B32" t="str">
            <v>AF 984 SIL- 72mm X 46m- 16 rls/cs- H</v>
          </cell>
          <cell r="C32">
            <v>16</v>
          </cell>
          <cell r="D32">
            <v>7.5</v>
          </cell>
          <cell r="E32">
            <v>6.94</v>
          </cell>
          <cell r="F32" t="e">
            <v>#REF!</v>
          </cell>
          <cell r="G32" t="e">
            <v>#REF!</v>
          </cell>
        </row>
        <row r="33">
          <cell r="B33" t="str">
            <v>AF 914 SIL- 48mm X 46m- 24 rls/cs- H</v>
          </cell>
          <cell r="C33">
            <v>24</v>
          </cell>
          <cell r="D33">
            <v>3.4</v>
          </cell>
          <cell r="E33">
            <v>4.8499999999999996</v>
          </cell>
          <cell r="F33" t="e">
            <v>#REF!</v>
          </cell>
          <cell r="G33" t="e">
            <v>#REF!</v>
          </cell>
        </row>
        <row r="34">
          <cell r="B34" t="str">
            <v>PC 618 BLK- 48mm X 55m- 24 rls/cs</v>
          </cell>
          <cell r="C34">
            <v>24</v>
          </cell>
          <cell r="D34">
            <v>10</v>
          </cell>
          <cell r="E34">
            <v>4.04</v>
          </cell>
          <cell r="F34" t="e">
            <v>#REF!</v>
          </cell>
          <cell r="G34" t="e">
            <v>#REF!</v>
          </cell>
        </row>
        <row r="35">
          <cell r="B35" t="str">
            <v>HP 200 CLR- 48mm X 100m- 36 rls/cs</v>
          </cell>
          <cell r="C35">
            <v>36</v>
          </cell>
          <cell r="D35">
            <v>1.9</v>
          </cell>
          <cell r="E35">
            <v>1.49</v>
          </cell>
          <cell r="F35" t="e">
            <v>#REF!</v>
          </cell>
          <cell r="G35" t="e">
            <v>#REF!</v>
          </cell>
        </row>
        <row r="36">
          <cell r="B36" t="str">
            <v>AP 401 CLR- 48mm X 100M- 36 rls/cs</v>
          </cell>
          <cell r="C36">
            <v>36</v>
          </cell>
          <cell r="D36">
            <v>2.5</v>
          </cell>
          <cell r="E36">
            <v>2.7143999999999999</v>
          </cell>
          <cell r="F36">
            <v>2.9044080000000001</v>
          </cell>
          <cell r="G36">
            <v>7.0000000000000062E-2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RVC202"/>
      <sheetName val="Sheet1"/>
      <sheetName val="Open"/>
      <sheetName val="Open 53"/>
    </sheetNames>
    <sheetDataSet>
      <sheetData sheetId="0" refreshError="1"/>
      <sheetData sheetId="1" refreshError="1">
        <row r="2">
          <cell r="A2">
            <v>100003</v>
          </cell>
          <cell r="B2" t="str">
            <v>FP 097</v>
          </cell>
          <cell r="C2" t="str">
            <v>FP 097 KFT- 4in X 60yd- 12 rls/cs-H</v>
          </cell>
        </row>
        <row r="3">
          <cell r="A3">
            <v>100050</v>
          </cell>
          <cell r="B3" t="str">
            <v>PC 595</v>
          </cell>
          <cell r="C3" t="str">
            <v>PC 595 SIL- 48mm X 55m- 24 rls/cs-NS</v>
          </cell>
        </row>
        <row r="4">
          <cell r="A4">
            <v>100263</v>
          </cell>
          <cell r="B4" t="str">
            <v>CP 066</v>
          </cell>
          <cell r="C4" t="str">
            <v>CP 066 NAT- 24mm X 55m- 36 rls/cs-S</v>
          </cell>
        </row>
        <row r="5">
          <cell r="A5">
            <v>100307</v>
          </cell>
          <cell r="B5" t="str">
            <v>CP 066</v>
          </cell>
          <cell r="C5" t="str">
            <v>CP 066 NAT- 36mm X 55m- 24 rls/cs-S</v>
          </cell>
        </row>
        <row r="6">
          <cell r="A6">
            <v>100455</v>
          </cell>
          <cell r="B6" t="str">
            <v>CP 083</v>
          </cell>
          <cell r="C6" t="str">
            <v>CP 083 NAT- 12mm x 55m-72 rls/cs-H/A</v>
          </cell>
        </row>
        <row r="7">
          <cell r="A7">
            <v>100486</v>
          </cell>
          <cell r="B7" t="str">
            <v>CP 083</v>
          </cell>
          <cell r="C7" t="str">
            <v>CP 083 NAT- 18mm X 55m- 48 rls/cs-S</v>
          </cell>
        </row>
        <row r="8">
          <cell r="A8">
            <v>100526</v>
          </cell>
          <cell r="B8" t="str">
            <v>PC 667</v>
          </cell>
          <cell r="C8" t="str">
            <v>PC 667 RED- 48mm X 55m- 24 rls/cs-H/A</v>
          </cell>
        </row>
        <row r="9">
          <cell r="A9">
            <v>100530</v>
          </cell>
          <cell r="B9" t="str">
            <v>CP 083</v>
          </cell>
          <cell r="C9" t="str">
            <v>CP 083 NAT- 24mm X 55m- 36 rls/cs-S</v>
          </cell>
        </row>
        <row r="10">
          <cell r="A10">
            <v>100567</v>
          </cell>
          <cell r="B10" t="str">
            <v>CP 083</v>
          </cell>
          <cell r="C10" t="str">
            <v>CP 083 NAT- 36mm X 55m- 24 rls/cs-S</v>
          </cell>
        </row>
        <row r="11">
          <cell r="A11">
            <v>100652</v>
          </cell>
          <cell r="B11" t="str">
            <v>CP 107</v>
          </cell>
          <cell r="C11" t="str">
            <v>CP 107 NAT- 18MM X 55M- 48 RLS/CS-H</v>
          </cell>
        </row>
        <row r="12">
          <cell r="A12">
            <v>100653</v>
          </cell>
          <cell r="B12" t="str">
            <v>CP 107</v>
          </cell>
          <cell r="C12" t="str">
            <v>CP 107 NAT- 24MM X 55M- 36 RLS/CS-H/A</v>
          </cell>
        </row>
        <row r="13">
          <cell r="A13">
            <v>100738</v>
          </cell>
          <cell r="B13" t="str">
            <v>COL 00</v>
          </cell>
          <cell r="C13" t="str">
            <v>COL 00 NAT- 18mm X 55m- 48 rls/cs-S</v>
          </cell>
        </row>
        <row r="14">
          <cell r="A14">
            <v>100746</v>
          </cell>
          <cell r="B14" t="str">
            <v>HP 200</v>
          </cell>
          <cell r="C14" t="str">
            <v>HP 200 CLR- 72mm X 1828m- 4 rls/cs-H</v>
          </cell>
        </row>
        <row r="15">
          <cell r="A15">
            <v>100755</v>
          </cell>
          <cell r="B15" t="str">
            <v>PW 100</v>
          </cell>
          <cell r="C15" t="str">
            <v>PW 100 BPT- 50mm x 30m- 36rls/cs - H</v>
          </cell>
        </row>
        <row r="16">
          <cell r="A16">
            <v>100757</v>
          </cell>
          <cell r="B16" t="str">
            <v>PC 658</v>
          </cell>
          <cell r="C16" t="str">
            <v>PC 658 BLK- 48mm X 33m- 24 rls/cs - H/A</v>
          </cell>
        </row>
        <row r="17">
          <cell r="A17">
            <v>100781</v>
          </cell>
          <cell r="B17" t="str">
            <v>CP 066</v>
          </cell>
          <cell r="C17" t="str">
            <v>CP 066 NAT- 48mm X 55m- 24 rls/cs-S</v>
          </cell>
        </row>
        <row r="18">
          <cell r="A18">
            <v>100893</v>
          </cell>
          <cell r="B18" t="str">
            <v>CP 107</v>
          </cell>
          <cell r="C18" t="str">
            <v>CP 107 NAT- 12mm x 55m- 72 rls/cs-C</v>
          </cell>
        </row>
        <row r="19">
          <cell r="A19">
            <v>101006</v>
          </cell>
          <cell r="B19" t="str">
            <v>CP 106</v>
          </cell>
          <cell r="C19" t="str">
            <v>CP 106 NAT- 24mm X 55m- 36 rls/cs- S</v>
          </cell>
        </row>
        <row r="20">
          <cell r="A20">
            <v>101007</v>
          </cell>
          <cell r="B20" t="str">
            <v>CP 106</v>
          </cell>
          <cell r="C20" t="str">
            <v>CP 106 NAT- 36mm X 55m- 24 rls/cs- S</v>
          </cell>
        </row>
        <row r="21">
          <cell r="A21">
            <v>101008</v>
          </cell>
          <cell r="B21" t="str">
            <v>CP 106</v>
          </cell>
          <cell r="C21" t="str">
            <v>CP 106 NAT- 48mm X 55m- 24 rls/cs- S</v>
          </cell>
        </row>
        <row r="22">
          <cell r="A22">
            <v>101013</v>
          </cell>
          <cell r="B22" t="str">
            <v>PC 857</v>
          </cell>
          <cell r="C22" t="str">
            <v>PC 857 SMT- 60mm x 55m- 16 rls/cs-NS</v>
          </cell>
        </row>
        <row r="23">
          <cell r="A23">
            <v>101014</v>
          </cell>
          <cell r="B23" t="str">
            <v>PC 857</v>
          </cell>
          <cell r="C23" t="str">
            <v>PC 857 SMT- 72mm x 55m- 16 rls/cs-H</v>
          </cell>
        </row>
        <row r="24">
          <cell r="A24">
            <v>101015</v>
          </cell>
          <cell r="B24" t="str">
            <v>PC 857</v>
          </cell>
          <cell r="C24" t="str">
            <v>PC 857 SMT- 48mm x 55m- 24 rls/cs-H/A</v>
          </cell>
        </row>
        <row r="25">
          <cell r="A25">
            <v>101017</v>
          </cell>
          <cell r="B25" t="str">
            <v>PC 620</v>
          </cell>
          <cell r="C25" t="str">
            <v>PC 620 SIL- 24MM X 55M- 48 RLS/CS-NS</v>
          </cell>
        </row>
        <row r="26">
          <cell r="A26">
            <v>101024</v>
          </cell>
          <cell r="B26" t="str">
            <v>AF 973</v>
          </cell>
          <cell r="C26" t="str">
            <v>AF 973 SIL- 48mm X 46m- 24 rls/cs - S</v>
          </cell>
        </row>
        <row r="27">
          <cell r="A27">
            <v>101026</v>
          </cell>
          <cell r="B27" t="str">
            <v>AF 912</v>
          </cell>
          <cell r="C27" t="str">
            <v>AF 912 SIL- 48mm X 50YD- 24 rls/cs-H/A/T</v>
          </cell>
        </row>
        <row r="28">
          <cell r="A28">
            <v>101052</v>
          </cell>
          <cell r="B28" t="str">
            <v>CP 106</v>
          </cell>
          <cell r="C28" t="str">
            <v>CP 106 NAT- 18mm X 55m- 48 rls/cs- S</v>
          </cell>
        </row>
        <row r="29">
          <cell r="A29">
            <v>101056</v>
          </cell>
          <cell r="B29" t="str">
            <v>AF 912</v>
          </cell>
          <cell r="C29" t="str">
            <v>AF 912 SIL- 72mm X 50YD -16 rls/cs-H/T</v>
          </cell>
        </row>
        <row r="30">
          <cell r="A30">
            <v>101066</v>
          </cell>
          <cell r="B30" t="str">
            <v>PC 620</v>
          </cell>
          <cell r="C30" t="str">
            <v>PC 620 SIL- 48MM X 55M- 24 RLS/CS-H</v>
          </cell>
        </row>
        <row r="31">
          <cell r="A31">
            <v>101072</v>
          </cell>
          <cell r="B31" t="str">
            <v>FP 097</v>
          </cell>
          <cell r="C31" t="str">
            <v>FP 097 KFT- 48mm X 55m- 24 rls/cs-H/A</v>
          </cell>
        </row>
        <row r="32">
          <cell r="A32">
            <v>101073</v>
          </cell>
          <cell r="B32" t="str">
            <v>FP 097</v>
          </cell>
          <cell r="C32" t="str">
            <v>FP 097 KFT- 72mm X 55m- 16 rls/cs-H/A</v>
          </cell>
        </row>
        <row r="33">
          <cell r="A33">
            <v>101089</v>
          </cell>
          <cell r="B33" t="str">
            <v>AF 973</v>
          </cell>
          <cell r="C33" t="str">
            <v>AF 973 SIL- 60MM X 46M - 20 RLS/CS-H</v>
          </cell>
        </row>
        <row r="34">
          <cell r="A34">
            <v>101146</v>
          </cell>
          <cell r="B34" t="str">
            <v>PC 622</v>
          </cell>
          <cell r="C34" t="str">
            <v>PC 622 BLK- 48mm X 55m- 24 rls/cs-H/A</v>
          </cell>
        </row>
        <row r="35">
          <cell r="A35">
            <v>101151</v>
          </cell>
          <cell r="B35" t="str">
            <v>PC 622</v>
          </cell>
          <cell r="C35" t="str">
            <v>PC 622 OLV- 48mm X 55m- 24 rls/cs-H</v>
          </cell>
        </row>
        <row r="36">
          <cell r="A36">
            <v>101155</v>
          </cell>
          <cell r="B36" t="str">
            <v>PC 622</v>
          </cell>
          <cell r="C36" t="str">
            <v>PC 622 SIL- 48MM X 55M- 24 RLS/CS-H/A</v>
          </cell>
        </row>
        <row r="37">
          <cell r="A37">
            <v>101165</v>
          </cell>
          <cell r="B37" t="str">
            <v>PC 622</v>
          </cell>
          <cell r="C37" t="str">
            <v>PC 622 WHI- 48mm X 55m- 24 rls/cs-H</v>
          </cell>
        </row>
        <row r="38">
          <cell r="A38">
            <v>101173</v>
          </cell>
          <cell r="B38" t="str">
            <v>PC 622</v>
          </cell>
          <cell r="C38" t="str">
            <v>PC 622 BLK- 72mm X 55m- 16 rls/cs-H</v>
          </cell>
        </row>
        <row r="39">
          <cell r="A39">
            <v>101178</v>
          </cell>
          <cell r="B39" t="str">
            <v>PC 622</v>
          </cell>
          <cell r="C39" t="str">
            <v>PC 622 SIL- 72mm X 55m- 16 rls/cs-H</v>
          </cell>
        </row>
        <row r="40">
          <cell r="A40">
            <v>101198</v>
          </cell>
          <cell r="B40" t="str">
            <v>PC 457</v>
          </cell>
          <cell r="C40" t="str">
            <v>PC 457 SMT- 48mm x 55m- 24 rls/cs-NS</v>
          </cell>
        </row>
        <row r="41">
          <cell r="A41">
            <v>101200</v>
          </cell>
          <cell r="B41" t="str">
            <v>PC 457</v>
          </cell>
          <cell r="C41" t="str">
            <v>PC 457 BPT- 48mm x 55m- 24 rls/cs-NS</v>
          </cell>
        </row>
        <row r="42">
          <cell r="A42">
            <v>101201</v>
          </cell>
          <cell r="B42" t="str">
            <v>PC 457</v>
          </cell>
          <cell r="C42" t="str">
            <v>PC 457 SMT- 72MM X 55M- 16 rls/cs - NS</v>
          </cell>
        </row>
        <row r="43">
          <cell r="A43">
            <v>101219</v>
          </cell>
          <cell r="B43" t="str">
            <v>GS 490</v>
          </cell>
          <cell r="C43" t="str">
            <v>GS 490 WHI- 24MM X 55M- 36 RLS/CS -H/A</v>
          </cell>
        </row>
        <row r="44">
          <cell r="A44">
            <v>101229</v>
          </cell>
          <cell r="B44" t="str">
            <v>GS 490</v>
          </cell>
          <cell r="C44" t="str">
            <v>GS 490 WHI- 18MM X 55M- 48 RLS/CS -H/A</v>
          </cell>
        </row>
        <row r="45">
          <cell r="A45">
            <v>101230</v>
          </cell>
          <cell r="B45" t="str">
            <v>GS 490</v>
          </cell>
          <cell r="C45" t="str">
            <v>GS 490 WHI- 48MM X 55M- 24 RLS/CS -H/A</v>
          </cell>
        </row>
        <row r="46">
          <cell r="A46">
            <v>101285</v>
          </cell>
          <cell r="B46" t="str">
            <v>GS 501</v>
          </cell>
          <cell r="C46" t="str">
            <v>GS 501 WHI- 1/2inx60yd -72 rls/cs -H</v>
          </cell>
        </row>
        <row r="47">
          <cell r="A47">
            <v>101286</v>
          </cell>
          <cell r="B47" t="str">
            <v>GS 501</v>
          </cell>
          <cell r="C47" t="str">
            <v>GS 501 WHI- 18mm X 55m- 48 rls/cs H/A</v>
          </cell>
        </row>
        <row r="48">
          <cell r="A48">
            <v>101287</v>
          </cell>
          <cell r="B48" t="str">
            <v>GS 501</v>
          </cell>
          <cell r="C48" t="str">
            <v>GS 501 WHI- 24mm X 55m- 36 rls/cs-H/A</v>
          </cell>
        </row>
        <row r="49">
          <cell r="A49">
            <v>101327</v>
          </cell>
          <cell r="B49" t="str">
            <v>PC 657</v>
          </cell>
          <cell r="C49" t="str">
            <v>PC 657 BLK- 48mm X 55m- 24 rls/cs-H</v>
          </cell>
        </row>
        <row r="50">
          <cell r="A50">
            <v>101331</v>
          </cell>
          <cell r="B50" t="str">
            <v>CP 106</v>
          </cell>
          <cell r="C50" t="str">
            <v>CP 106 NAT- 72mm X 55m- 16 rls/cs-S</v>
          </cell>
        </row>
        <row r="51">
          <cell r="A51">
            <v>101339</v>
          </cell>
          <cell r="B51" t="str">
            <v>GS 500</v>
          </cell>
          <cell r="C51" t="str">
            <v>GS 500 WHI- 18mm X 55m- 48 rls/cs -H/A</v>
          </cell>
        </row>
        <row r="52">
          <cell r="A52">
            <v>101340</v>
          </cell>
          <cell r="B52" t="str">
            <v>GS 500</v>
          </cell>
          <cell r="C52" t="str">
            <v>GS 500 WHI- 24mm X 55m- 36 rls/cs -H/A</v>
          </cell>
        </row>
        <row r="53">
          <cell r="A53">
            <v>101341</v>
          </cell>
          <cell r="B53" t="str">
            <v>GS 500</v>
          </cell>
          <cell r="C53" t="str">
            <v>GS 500 WHI- 36MM X 55M- 24 RLS/CS -NS</v>
          </cell>
        </row>
        <row r="54">
          <cell r="A54">
            <v>101342</v>
          </cell>
          <cell r="B54" t="str">
            <v>GS 500</v>
          </cell>
          <cell r="C54" t="str">
            <v>GS 500 WHI- 48mm X 55m- 24 rls/cs-H/A</v>
          </cell>
        </row>
        <row r="55">
          <cell r="A55">
            <v>101359</v>
          </cell>
          <cell r="B55" t="str">
            <v>PC 657</v>
          </cell>
          <cell r="C55" t="str">
            <v>PC 657 SIL- 48MM X 55M- 24 rls/cs-H</v>
          </cell>
        </row>
        <row r="56">
          <cell r="A56">
            <v>101374</v>
          </cell>
          <cell r="B56" t="str">
            <v>GS 521</v>
          </cell>
          <cell r="C56" t="str">
            <v>GS 521 WHI- 18MM X 55M- 48 RLS/CS -H</v>
          </cell>
        </row>
        <row r="57">
          <cell r="A57">
            <v>101375</v>
          </cell>
          <cell r="B57" t="str">
            <v>GS 521</v>
          </cell>
          <cell r="C57" t="str">
            <v>GS 521 WHI- 24MM X 55M- 36 RLS/CS H</v>
          </cell>
        </row>
        <row r="58">
          <cell r="A58">
            <v>101376</v>
          </cell>
          <cell r="B58" t="str">
            <v>GS 521</v>
          </cell>
          <cell r="C58" t="str">
            <v>GS 521 WHI- 36mm x 55m- 24 rls/cs - H</v>
          </cell>
        </row>
        <row r="59">
          <cell r="A59">
            <v>101377</v>
          </cell>
          <cell r="B59" t="str">
            <v>GS 521</v>
          </cell>
          <cell r="C59" t="str">
            <v>GS 521 WHI- 48mm X 55m- 24 rls/cs-H</v>
          </cell>
        </row>
        <row r="60">
          <cell r="A60">
            <v>101535</v>
          </cell>
          <cell r="B60" t="str">
            <v>CP 066</v>
          </cell>
          <cell r="C60" t="str">
            <v>CP 066 NAT- 48mm X 55m- 24 rls/cs-S</v>
          </cell>
        </row>
        <row r="61">
          <cell r="A61">
            <v>101536</v>
          </cell>
          <cell r="B61" t="str">
            <v>CP 083</v>
          </cell>
          <cell r="C61" t="str">
            <v>CP 083 NAT- 48mm X 55m- 24 rls/cs-S</v>
          </cell>
        </row>
        <row r="62">
          <cell r="A62">
            <v>101539</v>
          </cell>
          <cell r="B62" t="str">
            <v>CP 066</v>
          </cell>
          <cell r="C62" t="str">
            <v>CP 066 NAT- 72mm X 55m- 16 rls/cs-H/A</v>
          </cell>
        </row>
        <row r="63">
          <cell r="A63">
            <v>101540</v>
          </cell>
          <cell r="B63" t="str">
            <v>CP 083</v>
          </cell>
          <cell r="C63" t="str">
            <v>CP 083 NAT- 72mm X 55m- 16 rls/cs-H/A</v>
          </cell>
        </row>
        <row r="64">
          <cell r="A64">
            <v>101557</v>
          </cell>
          <cell r="B64" t="str">
            <v>AF 982</v>
          </cell>
          <cell r="C64" t="str">
            <v>AF 982 SIL- 72mm X 46m- 16 rls/cs-H/A</v>
          </cell>
        </row>
        <row r="65">
          <cell r="A65">
            <v>101589</v>
          </cell>
          <cell r="B65" t="str">
            <v>CF 740</v>
          </cell>
          <cell r="C65" t="str">
            <v>CF 740 NAT- 48MM X 55M- 24 RLS/CS-H</v>
          </cell>
        </row>
        <row r="66">
          <cell r="A66">
            <v>101646</v>
          </cell>
          <cell r="B66" t="str">
            <v>AF 982</v>
          </cell>
          <cell r="C66" t="str">
            <v>AF 982 SIL- 4in x 50yds - 12 rls/cs - H</v>
          </cell>
        </row>
        <row r="67">
          <cell r="A67">
            <v>101727</v>
          </cell>
          <cell r="B67" t="str">
            <v>WP 300</v>
          </cell>
          <cell r="C67" t="str">
            <v>WP 300 NAT, 76mmx138m(450ft)-10 rls/cs-H</v>
          </cell>
        </row>
        <row r="68">
          <cell r="A68">
            <v>101734</v>
          </cell>
          <cell r="B68" t="str">
            <v>WP 400</v>
          </cell>
          <cell r="C68" t="str">
            <v>WP 400 NAT, 76MMX138M(450FT)-10RLS/CS-C</v>
          </cell>
        </row>
        <row r="69">
          <cell r="A69">
            <v>102169</v>
          </cell>
          <cell r="B69" t="str">
            <v>P- 670</v>
          </cell>
          <cell r="C69" t="str">
            <v>P- 670 BLK- 48MM X 55M- 24 RLS/CS- C</v>
          </cell>
        </row>
        <row r="70">
          <cell r="A70">
            <v>102170</v>
          </cell>
          <cell r="B70" t="str">
            <v>P- 670</v>
          </cell>
          <cell r="C70" t="str">
            <v>P- 670 WHI- 48MM X 55M- 24 RLS/CS- C</v>
          </cell>
        </row>
        <row r="71">
          <cell r="A71">
            <v>102666</v>
          </cell>
          <cell r="B71" t="str">
            <v>LS 300</v>
          </cell>
          <cell r="C71" t="str">
            <v>LS 300 BPT- 48MM X 55M - 24 RLS/CS - H/A</v>
          </cell>
        </row>
        <row r="72">
          <cell r="A72">
            <v>102765</v>
          </cell>
          <cell r="B72" t="str">
            <v>PC 745</v>
          </cell>
          <cell r="C72" t="str">
            <v>PC 745 MSL- 48MM X 40YD- 12 RLS/CS-NS</v>
          </cell>
        </row>
        <row r="73">
          <cell r="A73">
            <v>103365</v>
          </cell>
          <cell r="B73" t="str">
            <v>CP 150</v>
          </cell>
          <cell r="C73" t="str">
            <v>CP 150 GRN- 48 MM X 55 M -24 rls/cs-H/T</v>
          </cell>
        </row>
        <row r="74">
          <cell r="A74">
            <v>103765</v>
          </cell>
          <cell r="B74" t="str">
            <v>PF 220</v>
          </cell>
          <cell r="C74" t="str">
            <v>PF 220 CLR- 24 IN X 200 FT -1 rls/cs-H/A</v>
          </cell>
        </row>
        <row r="75">
          <cell r="A75">
            <v>103766</v>
          </cell>
          <cell r="B75" t="str">
            <v>PF 220</v>
          </cell>
          <cell r="C75" t="str">
            <v>PF 220 CLR- 36 IN X 200 FT -1 rls/cs-H/A</v>
          </cell>
        </row>
        <row r="76">
          <cell r="A76">
            <v>104772</v>
          </cell>
          <cell r="B76" t="str">
            <v>DF 642</v>
          </cell>
          <cell r="C76" t="str">
            <v>DF 642 NAT- 48mm X 23M- 24 rls/cs-H/A</v>
          </cell>
        </row>
        <row r="77">
          <cell r="A77">
            <v>105699</v>
          </cell>
          <cell r="B77" t="str">
            <v>PC 621</v>
          </cell>
          <cell r="C77" t="str">
            <v>PC 621 SIL- 48mm X 55m- 24 rls/cs-H</v>
          </cell>
        </row>
        <row r="78">
          <cell r="A78">
            <v>106634</v>
          </cell>
          <cell r="B78" t="str">
            <v>DC 181</v>
          </cell>
          <cell r="C78" t="str">
            <v>DC 181 BPT-72mm x 110m - 16 rls/cs-H</v>
          </cell>
        </row>
        <row r="79">
          <cell r="A79">
            <v>110229</v>
          </cell>
          <cell r="B79" t="str">
            <v>PC 595</v>
          </cell>
          <cell r="C79" t="str">
            <v>PC 595 BLK- 48mm X 55m- 24 rls/cs-NS</v>
          </cell>
        </row>
        <row r="80">
          <cell r="A80">
            <v>110244</v>
          </cell>
          <cell r="B80" t="str">
            <v>PC 610</v>
          </cell>
          <cell r="C80" t="str">
            <v>PC 610 MSL- 48mm X 55m- 24 rls/cs-H</v>
          </cell>
        </row>
        <row r="81">
          <cell r="A81">
            <v>110408</v>
          </cell>
          <cell r="B81" t="str">
            <v>VP 510</v>
          </cell>
          <cell r="C81" t="str">
            <v>VP 510 WHI- 1in x 36yds- 36 rls/cs - NS</v>
          </cell>
        </row>
        <row r="82">
          <cell r="A82">
            <v>111163</v>
          </cell>
          <cell r="B82" t="str">
            <v>SF 686</v>
          </cell>
          <cell r="C82" t="str">
            <v>SF 686 SPT- 3IN X 100FT- 16 RLS/CS-H</v>
          </cell>
        </row>
        <row r="83">
          <cell r="A83">
            <v>116814</v>
          </cell>
          <cell r="B83" t="str">
            <v>PC 618</v>
          </cell>
          <cell r="C83" t="str">
            <v>PC 618 BLK- 48mm X 55m- 24 rls/cs-NS</v>
          </cell>
        </row>
        <row r="84">
          <cell r="A84">
            <v>117830</v>
          </cell>
          <cell r="B84" t="str">
            <v>DT 100</v>
          </cell>
          <cell r="C84" t="str">
            <v>DT 100 CLR- 36MM X 50M- 24 RLS/CS-X</v>
          </cell>
        </row>
        <row r="85">
          <cell r="A85">
            <v>120887</v>
          </cell>
          <cell r="B85" t="str">
            <v>HP 200</v>
          </cell>
          <cell r="C85" t="str">
            <v>HP 200 WHI- 48mm X 100m- 36 rls/cs-H</v>
          </cell>
        </row>
        <row r="86">
          <cell r="A86">
            <v>120954</v>
          </cell>
          <cell r="B86" t="str">
            <v>PC 460</v>
          </cell>
          <cell r="C86" t="str">
            <v>PC 460 SIL- 48mm x 55m- 24 rls/cs-H</v>
          </cell>
        </row>
        <row r="87">
          <cell r="A87">
            <v>121189</v>
          </cell>
          <cell r="B87" t="str">
            <v>CP 020</v>
          </cell>
          <cell r="C87" t="str">
            <v>CP 020 GRN- 24MM X 55M- 36 RLS/CS-H</v>
          </cell>
        </row>
        <row r="88">
          <cell r="A88">
            <v>124152</v>
          </cell>
          <cell r="B88" t="str">
            <v>HP 240</v>
          </cell>
          <cell r="C88" t="str">
            <v>HP 240 WR STOP 48MMX100M- 36 rls/cs-H</v>
          </cell>
        </row>
        <row r="89">
          <cell r="A89">
            <v>125739</v>
          </cell>
          <cell r="B89" t="str">
            <v>PC 600</v>
          </cell>
          <cell r="C89" t="str">
            <v>PC 600 BLK- 24mm X 55m- 48 rls/cs-NS</v>
          </cell>
        </row>
        <row r="90">
          <cell r="A90">
            <v>128151</v>
          </cell>
          <cell r="B90" t="str">
            <v>PC 618</v>
          </cell>
          <cell r="C90" t="str">
            <v>PC 618 SIL- 48mm X 55m- 24 rls/cs-NS</v>
          </cell>
        </row>
        <row r="91">
          <cell r="A91">
            <v>138664</v>
          </cell>
          <cell r="B91" t="str">
            <v>SF 682</v>
          </cell>
          <cell r="C91" t="str">
            <v>SF 682 SIL- 72mm X 55m- 16 rls/cs-H</v>
          </cell>
        </row>
        <row r="92">
          <cell r="A92">
            <v>140330</v>
          </cell>
          <cell r="B92" t="str">
            <v>AF 973</v>
          </cell>
          <cell r="C92" t="str">
            <v>AF 973 SIL- 72mm X 46m- 16 rls/cs-H/A</v>
          </cell>
        </row>
        <row r="93">
          <cell r="A93">
            <v>141757</v>
          </cell>
          <cell r="B93" t="str">
            <v>SF 682</v>
          </cell>
          <cell r="C93" t="str">
            <v>SF 682 SIL- 48mm X 55m- 24 rls/cs-NS</v>
          </cell>
        </row>
        <row r="94">
          <cell r="A94">
            <v>143969</v>
          </cell>
          <cell r="B94" t="str">
            <v>PC 858</v>
          </cell>
          <cell r="C94" t="str">
            <v>PC 858 SMT- 48mm x 55m- 24 rls/cs-A</v>
          </cell>
        </row>
        <row r="95">
          <cell r="A95">
            <v>144210</v>
          </cell>
          <cell r="B95" t="str">
            <v>CP 020</v>
          </cell>
          <cell r="C95" t="str">
            <v>CP 020 GRN- 48MM X 55M- 24 RLS/CS-H/A</v>
          </cell>
        </row>
        <row r="96">
          <cell r="A96">
            <v>145083</v>
          </cell>
          <cell r="B96" t="str">
            <v>PC 622</v>
          </cell>
          <cell r="C96" t="str">
            <v>PC 622 BLK- 48mm X 55m- 24 rls/cs - H/A</v>
          </cell>
        </row>
        <row r="97">
          <cell r="A97">
            <v>146956</v>
          </cell>
          <cell r="B97" t="str">
            <v>SF 682</v>
          </cell>
          <cell r="C97" t="str">
            <v>SF 682 SIL- 48mm X 55m- 24 rls/cs-H/A</v>
          </cell>
        </row>
        <row r="98">
          <cell r="A98">
            <v>149263</v>
          </cell>
          <cell r="B98" t="str">
            <v>PC 609</v>
          </cell>
          <cell r="C98" t="str">
            <v>PC 609 SIL- 48mm X 55m- 24 rls/cs-H/A</v>
          </cell>
        </row>
        <row r="99">
          <cell r="A99">
            <v>152645</v>
          </cell>
          <cell r="B99" t="str">
            <v>DP 050</v>
          </cell>
          <cell r="C99" t="str">
            <v>DP 050 CLR- 42mm X 50M- 24 rls/cs-C</v>
          </cell>
        </row>
        <row r="100">
          <cell r="A100">
            <v>155206</v>
          </cell>
          <cell r="B100" t="str">
            <v>AF 100</v>
          </cell>
          <cell r="C100" t="str">
            <v>AF 100 SIL- 2-1/2inx60yd-16 rls/cs-H/A</v>
          </cell>
        </row>
        <row r="101">
          <cell r="A101">
            <v>159799</v>
          </cell>
          <cell r="B101" t="str">
            <v>PC 610</v>
          </cell>
          <cell r="C101" t="str">
            <v>PC 610 MSL- 72mm X 55m- 16 rls/cs-H</v>
          </cell>
        </row>
        <row r="102">
          <cell r="A102">
            <v>162545</v>
          </cell>
          <cell r="B102" t="str">
            <v>PC 628</v>
          </cell>
          <cell r="C102" t="str">
            <v>PC 628 BLK- 48mm X 55m- 24 rls/cs-H</v>
          </cell>
        </row>
        <row r="103">
          <cell r="A103">
            <v>164686</v>
          </cell>
          <cell r="B103" t="str">
            <v>DC 181</v>
          </cell>
          <cell r="C103" t="str">
            <v>DC 181 MPT-48mm x 110m - 24rls/cs-H/A</v>
          </cell>
        </row>
        <row r="104">
          <cell r="A104">
            <v>166625</v>
          </cell>
          <cell r="B104" t="str">
            <v>PC 590</v>
          </cell>
          <cell r="C104" t="str">
            <v>PC 590 SIL- 48mm X 55m- 24 rls/cs-H/A/T</v>
          </cell>
        </row>
        <row r="105">
          <cell r="A105">
            <v>166819</v>
          </cell>
          <cell r="B105" t="str">
            <v>PC 957</v>
          </cell>
          <cell r="C105" t="str">
            <v>PC 957 SMT- 48mm x 55m- 24 rls/cs-NS</v>
          </cell>
        </row>
        <row r="106">
          <cell r="A106">
            <v>169206</v>
          </cell>
          <cell r="B106" t="str">
            <v>IT 100</v>
          </cell>
          <cell r="C106" t="str">
            <v>IT 100 BLK-2inX30ft Boxed 24/cs-H</v>
          </cell>
        </row>
        <row r="107">
          <cell r="A107">
            <v>170154</v>
          </cell>
          <cell r="B107" t="str">
            <v>AF 982</v>
          </cell>
          <cell r="C107" t="str">
            <v>AF 982 SIL- 72mm X 46m- 16 rls/cs-H/A</v>
          </cell>
        </row>
        <row r="108">
          <cell r="A108">
            <v>175828</v>
          </cell>
          <cell r="B108" t="str">
            <v>VP 510</v>
          </cell>
          <cell r="C108" t="str">
            <v>VP 510 WHI- 1-1/2 in x 36yds-24rls/cs-NS</v>
          </cell>
        </row>
        <row r="109">
          <cell r="A109">
            <v>178695</v>
          </cell>
          <cell r="B109" t="str">
            <v>AF 973</v>
          </cell>
          <cell r="C109" t="str">
            <v>AF 973 SIL- 36mm X 46m- 32 rls/cs - NS</v>
          </cell>
        </row>
        <row r="110">
          <cell r="A110">
            <v>178868</v>
          </cell>
          <cell r="B110" t="str">
            <v>CP 027</v>
          </cell>
          <cell r="C110" t="str">
            <v>CP 027 BLU- 72MM X 55M- 16 RLS/CS-H</v>
          </cell>
        </row>
        <row r="111">
          <cell r="A111">
            <v>183431</v>
          </cell>
          <cell r="B111" t="str">
            <v>SF 686</v>
          </cell>
          <cell r="C111" t="str">
            <v>SF 686 SPT- 2IN X 100FT- 24 RLS/CS-H</v>
          </cell>
        </row>
        <row r="112">
          <cell r="A112">
            <v>183478</v>
          </cell>
          <cell r="B112" t="str">
            <v>PC 745</v>
          </cell>
          <cell r="C112" t="str">
            <v>PC 745 MSL- 48MM X 40YD- 24 RLS/CS-H</v>
          </cell>
        </row>
        <row r="113">
          <cell r="A113">
            <v>183845</v>
          </cell>
          <cell r="B113" t="str">
            <v>PC 622</v>
          </cell>
          <cell r="C113" t="str">
            <v>PC 622 SIL- 48MM X 55M- 24 RLS/CS-H</v>
          </cell>
        </row>
        <row r="114">
          <cell r="A114">
            <v>184031</v>
          </cell>
          <cell r="B114" t="str">
            <v>BT 100</v>
          </cell>
          <cell r="C114" t="str">
            <v>BT 100 YEL-3inX300ft-CAUTION 16r/c-H</v>
          </cell>
        </row>
        <row r="115">
          <cell r="A115">
            <v>184664</v>
          </cell>
          <cell r="B115" t="str">
            <v>PC 625</v>
          </cell>
          <cell r="C115" t="str">
            <v>PC 625 CAM- 48mm X 55m- 24 rls/cs-NS</v>
          </cell>
        </row>
        <row r="116">
          <cell r="A116">
            <v>185218</v>
          </cell>
          <cell r="B116" t="str">
            <v>PC 629</v>
          </cell>
          <cell r="C116" t="str">
            <v>PC 629 MSL- 48mm X 55m- 24 rls/cs-H</v>
          </cell>
        </row>
        <row r="117">
          <cell r="A117">
            <v>185568</v>
          </cell>
          <cell r="B117" t="str">
            <v>DC 181</v>
          </cell>
          <cell r="C117" t="str">
            <v>DC 181 CGP-48mm x 110m - 24rls/cs-A</v>
          </cell>
        </row>
        <row r="118">
          <cell r="A118">
            <v>187348</v>
          </cell>
          <cell r="B118" t="str">
            <v>PC 590</v>
          </cell>
          <cell r="C118" t="str">
            <v>PC 590 BLK- 48mm x 55m- 24 rls/cs- H</v>
          </cell>
        </row>
        <row r="119">
          <cell r="A119">
            <v>188993</v>
          </cell>
          <cell r="B119" t="str">
            <v>PC 957</v>
          </cell>
          <cell r="C119" t="str">
            <v>PC 957 SMT- 72mm x 55m- 16 rls/cs-NS</v>
          </cell>
        </row>
        <row r="120">
          <cell r="A120">
            <v>191552</v>
          </cell>
          <cell r="B120" t="str">
            <v>PC 957</v>
          </cell>
          <cell r="C120" t="str">
            <v>PC 957 GPT- 48mm x 55m- 24 rls/cs-NS</v>
          </cell>
        </row>
        <row r="121">
          <cell r="A121">
            <v>191938</v>
          </cell>
          <cell r="B121" t="str">
            <v>CF 740</v>
          </cell>
          <cell r="C121" t="str">
            <v>CF 740 NAT- 72MM X 55M- 16 RLS/CS-NS</v>
          </cell>
        </row>
        <row r="122">
          <cell r="A122">
            <v>193629</v>
          </cell>
          <cell r="B122" t="str">
            <v>CP 106</v>
          </cell>
          <cell r="C122" t="str">
            <v>CP 106 NAT- 48mm X 55m- 24 rls/cs-NS</v>
          </cell>
        </row>
        <row r="123">
          <cell r="A123">
            <v>194642</v>
          </cell>
          <cell r="B123" t="str">
            <v>CP 500</v>
          </cell>
          <cell r="C123" t="str">
            <v>CP 500 NAT- 36mm x 55m - 24 rls/cs - H</v>
          </cell>
        </row>
        <row r="124">
          <cell r="A124">
            <v>196307</v>
          </cell>
          <cell r="B124" t="str">
            <v>PC 609</v>
          </cell>
          <cell r="C124" t="str">
            <v>PC 609 SIL- 72mm X 55m-16 rls/cs-H</v>
          </cell>
        </row>
        <row r="125">
          <cell r="A125">
            <v>198050</v>
          </cell>
          <cell r="B125" t="str">
            <v>PE 444</v>
          </cell>
          <cell r="C125" t="str">
            <v>PE 444 RED- 48mm X 55m- 24 rls/cs-H/A</v>
          </cell>
        </row>
        <row r="126">
          <cell r="A126">
            <v>198660</v>
          </cell>
          <cell r="B126" t="str">
            <v>VP 500</v>
          </cell>
          <cell r="C126" t="str">
            <v>VP 500 WHI- 3IN X 50YDS- 16 RLS/CS-H</v>
          </cell>
        </row>
        <row r="127">
          <cell r="A127">
            <v>198734</v>
          </cell>
          <cell r="B127" t="str">
            <v>HP 200</v>
          </cell>
          <cell r="C127" t="str">
            <v>HP 200 YEL- 48mm X 100m- 36 rls/cs-H</v>
          </cell>
        </row>
        <row r="128">
          <cell r="A128">
            <v>199722</v>
          </cell>
          <cell r="B128" t="str">
            <v>PC 609</v>
          </cell>
          <cell r="C128" t="str">
            <v>PC 609 BLK- 48mm X 55m- 24 rls/cs-H/A</v>
          </cell>
        </row>
        <row r="129">
          <cell r="A129">
            <v>200544</v>
          </cell>
          <cell r="B129" t="str">
            <v>PC 600</v>
          </cell>
          <cell r="C129" t="str">
            <v>PC 600 WHI- 72mm X 55m- 16 rls/cs-H</v>
          </cell>
        </row>
        <row r="130">
          <cell r="A130">
            <v>200545</v>
          </cell>
          <cell r="B130" t="str">
            <v>PC 600</v>
          </cell>
          <cell r="C130" t="str">
            <v>PC 600 BLK- 72mm X 55m- 16 rls/cs-H/A</v>
          </cell>
        </row>
        <row r="131">
          <cell r="A131">
            <v>200546</v>
          </cell>
          <cell r="B131" t="str">
            <v>PC 600</v>
          </cell>
          <cell r="C131" t="str">
            <v>PC 600 BLK- 48mm X 55m- 24 rls/cs-H/A</v>
          </cell>
        </row>
        <row r="132">
          <cell r="A132">
            <v>200547</v>
          </cell>
          <cell r="B132" t="str">
            <v>PC 600</v>
          </cell>
          <cell r="C132" t="str">
            <v>PC 600 WHI- 48mm X 55m- 24 rls/cs-H/A</v>
          </cell>
        </row>
        <row r="133">
          <cell r="A133">
            <v>200664</v>
          </cell>
          <cell r="B133" t="str">
            <v>SF 685</v>
          </cell>
          <cell r="C133" t="str">
            <v>SF 685 SPT- 2in X 100ft- 24 rls/cs-H</v>
          </cell>
        </row>
        <row r="134">
          <cell r="A134">
            <v>200666</v>
          </cell>
          <cell r="B134" t="str">
            <v>SF 685</v>
          </cell>
          <cell r="C134" t="str">
            <v>SF 685 SPT- 3IN X 100FT- 16 RLS/CS - H</v>
          </cell>
        </row>
        <row r="135">
          <cell r="A135">
            <v>200667</v>
          </cell>
          <cell r="B135" t="str">
            <v>HP 500</v>
          </cell>
          <cell r="C135" t="str">
            <v>HP 500 CLR- 48mm X 100m- 36 rls/cs-H</v>
          </cell>
        </row>
        <row r="136">
          <cell r="A136">
            <v>200698</v>
          </cell>
          <cell r="B136" t="str">
            <v>FP 227</v>
          </cell>
          <cell r="C136" t="str">
            <v>FP 227 WHI- 18mm X 55M- 48 rls/cs-C</v>
          </cell>
        </row>
        <row r="137">
          <cell r="A137">
            <v>200782</v>
          </cell>
          <cell r="B137" t="str">
            <v>EV 057</v>
          </cell>
          <cell r="C137" t="str">
            <v>EV 057 BLK- 3/4in X 66ft- 100 rls/cs-S</v>
          </cell>
        </row>
        <row r="138">
          <cell r="A138">
            <v>200865</v>
          </cell>
          <cell r="B138" t="str">
            <v>PC 600</v>
          </cell>
          <cell r="C138" t="str">
            <v>PC 600 YEL- 48mm X 55m- 24 rls/cs-H/A</v>
          </cell>
        </row>
        <row r="139">
          <cell r="A139">
            <v>200866</v>
          </cell>
          <cell r="B139" t="str">
            <v>PC 600</v>
          </cell>
          <cell r="C139" t="str">
            <v>PC 600 GRN- 48mm X 55m- 24 rls/cs-H/A</v>
          </cell>
        </row>
        <row r="140">
          <cell r="A140">
            <v>201153</v>
          </cell>
          <cell r="B140" t="str">
            <v>PC 622</v>
          </cell>
          <cell r="C140" t="str">
            <v>PC 622 RED- 48mm X 55m- 24 rls/cs-H/A</v>
          </cell>
        </row>
        <row r="141">
          <cell r="A141">
            <v>201189</v>
          </cell>
          <cell r="B141" t="str">
            <v>PC 622</v>
          </cell>
          <cell r="C141" t="str">
            <v>PC 622 OLV- 4in X 60yd- 12 rls/cs-H</v>
          </cell>
        </row>
        <row r="142">
          <cell r="A142">
            <v>201279</v>
          </cell>
          <cell r="B142" t="str">
            <v>GS 531</v>
          </cell>
          <cell r="C142" t="str">
            <v>GS 531 WHI- 24mm x 55m - 36 rls/cs-H</v>
          </cell>
        </row>
        <row r="143">
          <cell r="A143">
            <v>201289</v>
          </cell>
          <cell r="B143" t="str">
            <v>GS 531</v>
          </cell>
          <cell r="C143" t="str">
            <v>GS 531 WHI- 48mm x 55m - 24 rls/cs-H</v>
          </cell>
        </row>
        <row r="144">
          <cell r="A144">
            <v>201458</v>
          </cell>
          <cell r="B144" t="str">
            <v>PC 618</v>
          </cell>
          <cell r="C144" t="str">
            <v>PC 618 SIL- 48mm X 55m- 24 rls/cs-S</v>
          </cell>
        </row>
        <row r="145">
          <cell r="A145">
            <v>201498</v>
          </cell>
          <cell r="B145" t="str">
            <v>PC 621</v>
          </cell>
          <cell r="C145" t="str">
            <v>PC 621 BLK- 48mm X 55m- 24 rls/cs-H</v>
          </cell>
        </row>
        <row r="146">
          <cell r="A146">
            <v>201544</v>
          </cell>
          <cell r="B146" t="str">
            <v>CP 083</v>
          </cell>
          <cell r="C146" t="str">
            <v>CP 083 NAT- 4IN X 60YD- 12 RLS/CS-H</v>
          </cell>
        </row>
        <row r="147">
          <cell r="A147">
            <v>201793</v>
          </cell>
          <cell r="B147" t="str">
            <v>FP 096</v>
          </cell>
          <cell r="C147" t="str">
            <v>FP 096 KFT- 72mm X 55m- 16 rls/cs-S</v>
          </cell>
        </row>
        <row r="148">
          <cell r="A148">
            <v>201806</v>
          </cell>
          <cell r="B148" t="str">
            <v>FP 096</v>
          </cell>
          <cell r="C148" t="str">
            <v>FP 096 KFT- 48mm X 55m- 24 rls/cs-S</v>
          </cell>
        </row>
        <row r="149">
          <cell r="A149">
            <v>201852</v>
          </cell>
          <cell r="B149" t="str">
            <v>PC 857</v>
          </cell>
          <cell r="C149" t="str">
            <v>PC 857 BPT- 72mm x 55m- 16 rls/cs-H</v>
          </cell>
        </row>
        <row r="150">
          <cell r="A150">
            <v>201885</v>
          </cell>
          <cell r="B150" t="str">
            <v>PC 857</v>
          </cell>
          <cell r="C150" t="str">
            <v>PC 857 BPT- 48mm x 55m- 24 rls/cs-H/A</v>
          </cell>
        </row>
        <row r="151">
          <cell r="A151">
            <v>201887</v>
          </cell>
          <cell r="B151" t="str">
            <v>PC 857</v>
          </cell>
          <cell r="C151" t="str">
            <v>PC 857 GPT- 48mm X 55m- 24 rls/cs-H/A</v>
          </cell>
        </row>
        <row r="152">
          <cell r="A152">
            <v>201912</v>
          </cell>
          <cell r="B152" t="str">
            <v>PC 621</v>
          </cell>
          <cell r="C152" t="str">
            <v>PC 621 BPT- 48mm X 55m- 24 rls/cs-NS</v>
          </cell>
        </row>
        <row r="153">
          <cell r="A153">
            <v>201919</v>
          </cell>
          <cell r="B153" t="str">
            <v>PC 609</v>
          </cell>
          <cell r="C153" t="str">
            <v>PC 609 SIL- 72MM X 55M- 16 RLS/CS-H</v>
          </cell>
        </row>
        <row r="154">
          <cell r="A154">
            <v>201922</v>
          </cell>
          <cell r="B154" t="str">
            <v>PC 609</v>
          </cell>
          <cell r="C154" t="str">
            <v>PC 609 BLK- 72mm X 55m- 16 rls/cs-H</v>
          </cell>
        </row>
        <row r="155">
          <cell r="A155">
            <v>201988</v>
          </cell>
          <cell r="B155" t="str">
            <v>CP 101</v>
          </cell>
          <cell r="C155" t="str">
            <v>CP 101 NAT- 48mm X 55m- 24 rls/cs-S</v>
          </cell>
        </row>
        <row r="156">
          <cell r="A156">
            <v>201999</v>
          </cell>
          <cell r="B156" t="str">
            <v>PC 600</v>
          </cell>
          <cell r="C156" t="str">
            <v>PC 600 PRP- 48mm X 55m- 24 rls/cs-H</v>
          </cell>
        </row>
        <row r="157">
          <cell r="A157">
            <v>202163</v>
          </cell>
          <cell r="B157" t="str">
            <v>PC 600</v>
          </cell>
          <cell r="C157" t="str">
            <v>PC 600 BRN- 72mm X 55m- 16 rls/cs-H</v>
          </cell>
        </row>
        <row r="158">
          <cell r="A158">
            <v>202176</v>
          </cell>
          <cell r="B158" t="str">
            <v>TG 356</v>
          </cell>
          <cell r="C158" t="str">
            <v>TG 356 NAT- 18MM X 33M- 48 RLS/CS-H/A</v>
          </cell>
        </row>
        <row r="159">
          <cell r="A159">
            <v>202191</v>
          </cell>
          <cell r="B159" t="str">
            <v>TG 356</v>
          </cell>
          <cell r="C159" t="str">
            <v>TG 356 NAT- 12mm X 33m- 72 rls/cs -S</v>
          </cell>
        </row>
        <row r="160">
          <cell r="A160">
            <v>202342</v>
          </cell>
          <cell r="B160" t="str">
            <v>PC 600</v>
          </cell>
          <cell r="C160" t="str">
            <v>PC 600 BLU- 72mm X 55m- 16 rls/cs-NS</v>
          </cell>
        </row>
        <row r="161">
          <cell r="A161">
            <v>202419</v>
          </cell>
          <cell r="B161" t="str">
            <v>PP 808</v>
          </cell>
          <cell r="C161" t="str">
            <v>PP 808 GRN- 9mm X 165m- 96 rls/cs-H</v>
          </cell>
        </row>
        <row r="162">
          <cell r="A162">
            <v>202645</v>
          </cell>
          <cell r="B162" t="str">
            <v>PC 657</v>
          </cell>
          <cell r="C162" t="str">
            <v>PC 657 BLK- 48MM X 55M- 24 RLS/CS-H</v>
          </cell>
        </row>
        <row r="163">
          <cell r="A163">
            <v>202682</v>
          </cell>
          <cell r="B163" t="str">
            <v>PC 600</v>
          </cell>
          <cell r="C163" t="str">
            <v>PC 600 ORG- 48mm X 55m- 24 rls/cs-H</v>
          </cell>
        </row>
        <row r="164">
          <cell r="A164">
            <v>202683</v>
          </cell>
          <cell r="B164" t="str">
            <v>PC 600</v>
          </cell>
          <cell r="C164" t="str">
            <v>PC 600 RED- 48mm X 55m- 24 rls/cs-H/A</v>
          </cell>
        </row>
        <row r="165">
          <cell r="A165">
            <v>202684</v>
          </cell>
          <cell r="B165" t="str">
            <v>PC 600</v>
          </cell>
          <cell r="C165" t="str">
            <v>PC 600 BLU- 48mm X 55m- 24 rls/cs-H/A</v>
          </cell>
        </row>
        <row r="166">
          <cell r="A166">
            <v>202686</v>
          </cell>
          <cell r="B166" t="str">
            <v>PC 600</v>
          </cell>
          <cell r="C166" t="str">
            <v>PC 600 OLV- 48mm X 55m- 24 rls/cs-H</v>
          </cell>
        </row>
        <row r="167">
          <cell r="A167">
            <v>202793</v>
          </cell>
          <cell r="B167" t="str">
            <v>VP 410</v>
          </cell>
          <cell r="C167" t="str">
            <v>VP 410 WHI- 50mm X 33m- 24 rls/cs-H</v>
          </cell>
        </row>
        <row r="168">
          <cell r="A168">
            <v>202795</v>
          </cell>
          <cell r="B168" t="str">
            <v>VP 410</v>
          </cell>
          <cell r="C168" t="str">
            <v>VP 410 YEL- 50MM X 33M- 24 RLS/CS-S</v>
          </cell>
        </row>
        <row r="169">
          <cell r="A169">
            <v>202810</v>
          </cell>
          <cell r="B169" t="str">
            <v>VP 410</v>
          </cell>
          <cell r="C169" t="str">
            <v>VP 410 BLK- 50MM X 33M- 24 RLS/CS-H</v>
          </cell>
        </row>
        <row r="170">
          <cell r="A170">
            <v>202872</v>
          </cell>
          <cell r="B170" t="str">
            <v>CP 027</v>
          </cell>
          <cell r="C170" t="str">
            <v>CP 027 BLU- 24MM X 55M- 36 RLS/CS-S</v>
          </cell>
        </row>
        <row r="171">
          <cell r="A171">
            <v>202873</v>
          </cell>
          <cell r="B171" t="str">
            <v>VP 410</v>
          </cell>
          <cell r="C171" t="str">
            <v>VP 410 WHI- 75MM X 33M- 18 RLS/CS-H</v>
          </cell>
        </row>
        <row r="172">
          <cell r="A172">
            <v>202876</v>
          </cell>
          <cell r="B172" t="str">
            <v>VP 410</v>
          </cell>
          <cell r="C172" t="str">
            <v>VP 410 BLK- 75MM X 33M- 18 RLS/CS-NS</v>
          </cell>
        </row>
        <row r="173">
          <cell r="A173">
            <v>202880</v>
          </cell>
          <cell r="B173" t="str">
            <v>CP 027</v>
          </cell>
          <cell r="C173" t="str">
            <v>CP 027 BLU- 48MM X 55M- 24 RLS/CS-S</v>
          </cell>
        </row>
        <row r="174">
          <cell r="A174">
            <v>202918</v>
          </cell>
          <cell r="B174" t="str">
            <v>VP 410</v>
          </cell>
          <cell r="C174" t="str">
            <v>VP 410 WHI- 25MM X 33M- 48 RLS/CS-NS</v>
          </cell>
        </row>
        <row r="175">
          <cell r="A175">
            <v>202923</v>
          </cell>
          <cell r="B175" t="str">
            <v>PC 623</v>
          </cell>
          <cell r="C175" t="str">
            <v>PC 623 BLK- 48mm X 55m- 24 rls/cs-NS</v>
          </cell>
        </row>
        <row r="176">
          <cell r="A176">
            <v>203104</v>
          </cell>
          <cell r="B176" t="str">
            <v>PC 657</v>
          </cell>
          <cell r="C176" t="str">
            <v>PC 657 SIL- 72MM X 55M- 16 RLS/CS-NS</v>
          </cell>
        </row>
        <row r="177">
          <cell r="A177">
            <v>203147</v>
          </cell>
          <cell r="B177" t="str">
            <v>PC 609</v>
          </cell>
          <cell r="C177" t="str">
            <v>PC 609 RED- 48mm X 55m- 24 rls/cs-H</v>
          </cell>
        </row>
        <row r="178">
          <cell r="A178">
            <v>203255</v>
          </cell>
          <cell r="B178" t="str">
            <v>PS 750</v>
          </cell>
          <cell r="C178" t="str">
            <v>PS 750 NAT- 1IN X 60YD- 36 RLS/CS-NS</v>
          </cell>
        </row>
        <row r="179">
          <cell r="A179">
            <v>203257</v>
          </cell>
          <cell r="B179" t="str">
            <v>PC 618</v>
          </cell>
          <cell r="C179" t="str">
            <v>PC 618 SIL- 72MM X 55M- 16 RLS/CS-H</v>
          </cell>
        </row>
        <row r="180">
          <cell r="A180">
            <v>203308</v>
          </cell>
          <cell r="B180" t="str">
            <v>PC 618</v>
          </cell>
          <cell r="C180" t="str">
            <v>PC 618 SIL- 4IN X 60YD- 12 RLS/CS-H</v>
          </cell>
        </row>
        <row r="181">
          <cell r="A181">
            <v>203322</v>
          </cell>
          <cell r="B181" t="str">
            <v>CP 101</v>
          </cell>
          <cell r="C181" t="str">
            <v>CP 101 NAT- 72mm X 55m- 16 rls/cs-S</v>
          </cell>
        </row>
        <row r="182">
          <cell r="A182">
            <v>203333</v>
          </cell>
          <cell r="B182" t="str">
            <v>CP 106</v>
          </cell>
          <cell r="C182" t="str">
            <v>CP 106 NAT- 96mmx55m- 12 rls/cs-H</v>
          </cell>
        </row>
        <row r="183">
          <cell r="A183">
            <v>203672</v>
          </cell>
          <cell r="B183" t="str">
            <v>PC 618</v>
          </cell>
          <cell r="C183" t="str">
            <v>PC 618 WHI- 48MM X 55M- 24 RLS/CS-H</v>
          </cell>
        </row>
        <row r="184">
          <cell r="A184">
            <v>203673</v>
          </cell>
          <cell r="B184" t="str">
            <v>PC 618</v>
          </cell>
          <cell r="C184" t="str">
            <v>PC 618 RED- 48mm X 55m- 24 rls/cs-H/A</v>
          </cell>
        </row>
        <row r="185">
          <cell r="A185">
            <v>203674</v>
          </cell>
          <cell r="B185" t="str">
            <v>PC 618</v>
          </cell>
          <cell r="C185" t="str">
            <v>PC 618 BLK- 48mm X 55m- 24 rls/cs-S</v>
          </cell>
        </row>
        <row r="186">
          <cell r="A186">
            <v>203676</v>
          </cell>
          <cell r="B186" t="str">
            <v>PC 618</v>
          </cell>
          <cell r="C186" t="str">
            <v>PC 618 BLU- 48mm X 55m- 24 rls/cs-H/A</v>
          </cell>
        </row>
        <row r="187">
          <cell r="A187">
            <v>203677</v>
          </cell>
          <cell r="B187" t="str">
            <v>PC 618</v>
          </cell>
          <cell r="C187" t="str">
            <v>PC 618 GRN- 48MM X 55M- 24 RLS/CS-H</v>
          </cell>
        </row>
        <row r="188">
          <cell r="A188">
            <v>203680</v>
          </cell>
          <cell r="B188" t="str">
            <v>PC 618</v>
          </cell>
          <cell r="C188" t="str">
            <v>PC 618 YEL- 48mm X 55m- 24 rls/cs-H/A</v>
          </cell>
        </row>
        <row r="189">
          <cell r="A189">
            <v>203778</v>
          </cell>
          <cell r="B189" t="str">
            <v>PC 618</v>
          </cell>
          <cell r="C189" t="str">
            <v>PC 618 WHI- 72mm X 55m- 16 rls/cs-H</v>
          </cell>
        </row>
        <row r="190">
          <cell r="A190">
            <v>203823</v>
          </cell>
          <cell r="B190" t="str">
            <v>PS 748</v>
          </cell>
          <cell r="C190" t="str">
            <v>PS 748 NAT- 12MM X 55M- 72 RLS/CS-NS</v>
          </cell>
        </row>
        <row r="191">
          <cell r="A191">
            <v>203876</v>
          </cell>
          <cell r="B191" t="str">
            <v>PC 618</v>
          </cell>
          <cell r="C191" t="str">
            <v>PC 618 BLK- 72mm X 55m- 16 rls/cs-H/A</v>
          </cell>
        </row>
        <row r="192">
          <cell r="A192">
            <v>203925</v>
          </cell>
          <cell r="B192" t="str">
            <v>PC 618</v>
          </cell>
          <cell r="C192" t="str">
            <v>PC 618 GRN- 72mm X 55m- 16 rls/cs-H/A</v>
          </cell>
        </row>
        <row r="193">
          <cell r="A193">
            <v>204377</v>
          </cell>
          <cell r="B193" t="str">
            <v>PC 618</v>
          </cell>
          <cell r="C193" t="str">
            <v>PC 618 ORG- 48mm X 55m- 24 rls/cs-H</v>
          </cell>
        </row>
        <row r="194">
          <cell r="A194">
            <v>204458</v>
          </cell>
          <cell r="B194" t="str">
            <v>GG 200</v>
          </cell>
          <cell r="C194" t="str">
            <v>GG 200 NAT- 24MM X 33M- 36 RLS/CS-H</v>
          </cell>
        </row>
        <row r="195">
          <cell r="A195">
            <v>204536</v>
          </cell>
          <cell r="B195" t="str">
            <v>PC 628</v>
          </cell>
          <cell r="C195" t="str">
            <v>PC 628 BLK- 48mm X 55m- 24 rls/cs-S</v>
          </cell>
        </row>
        <row r="196">
          <cell r="A196">
            <v>204763</v>
          </cell>
          <cell r="B196" t="str">
            <v>AF 982</v>
          </cell>
          <cell r="C196" t="str">
            <v>AF 982 SIL- 48MM X 46M- 24 RLS/CS -NS</v>
          </cell>
        </row>
        <row r="197">
          <cell r="A197">
            <v>204797</v>
          </cell>
          <cell r="B197" t="str">
            <v>PC 628</v>
          </cell>
          <cell r="C197" t="str">
            <v>PC 628 GRY- 48mm X 55m- 24 rls/cs-H/A</v>
          </cell>
        </row>
        <row r="198">
          <cell r="A198">
            <v>205006</v>
          </cell>
          <cell r="B198" t="str">
            <v>MJ 100</v>
          </cell>
          <cell r="C198" t="str">
            <v>MJ 100 WHI- 3in X 150ft- 18 rls/cs-H</v>
          </cell>
        </row>
        <row r="199">
          <cell r="A199">
            <v>205156</v>
          </cell>
          <cell r="B199" t="str">
            <v>PC 628</v>
          </cell>
          <cell r="C199" t="str">
            <v>PC 628 GRY- 72mm X 55m- 16 rls/cs-H</v>
          </cell>
        </row>
        <row r="200">
          <cell r="A200">
            <v>205239</v>
          </cell>
          <cell r="B200" t="str">
            <v>PC 628</v>
          </cell>
          <cell r="C200" t="str">
            <v>PC 628 BLK- 72mm X 55m- 16 rls/cs-H/A</v>
          </cell>
        </row>
        <row r="201">
          <cell r="A201">
            <v>205330</v>
          </cell>
          <cell r="B201" t="str">
            <v>DC 181</v>
          </cell>
          <cell r="C201" t="str">
            <v>DC 181 BPT-48mm x 110m - 24rls/cs-H/A</v>
          </cell>
        </row>
        <row r="202">
          <cell r="A202">
            <v>205868</v>
          </cell>
          <cell r="B202" t="str">
            <v>DT 100</v>
          </cell>
          <cell r="C202" t="str">
            <v>DT 100 CLR- 24mm X 50M- 36 rls/cs-X</v>
          </cell>
        </row>
        <row r="203">
          <cell r="A203">
            <v>205888</v>
          </cell>
          <cell r="B203" t="str">
            <v>PC 628</v>
          </cell>
          <cell r="C203" t="str">
            <v>PC 628 WHI- 48mm X 55m- 24 rls/cs-H/A</v>
          </cell>
        </row>
        <row r="204">
          <cell r="A204">
            <v>206011</v>
          </cell>
          <cell r="B204" t="str">
            <v>PP 810</v>
          </cell>
          <cell r="C204" t="str">
            <v>PP 810 CLR- 48mm X 50m- 36 rls/cs-H/A</v>
          </cell>
        </row>
        <row r="205">
          <cell r="A205">
            <v>206362</v>
          </cell>
          <cell r="B205" t="str">
            <v>PP 815</v>
          </cell>
          <cell r="C205" t="str">
            <v>PP 815 CLR- 48MM X 50M- 36 RLS/CS-H</v>
          </cell>
        </row>
        <row r="206">
          <cell r="A206">
            <v>206682</v>
          </cell>
          <cell r="B206" t="str">
            <v>AF 990</v>
          </cell>
          <cell r="C206" t="str">
            <v>AF 990 WHI- 3in X 50yd- 16 rls/cs-H/A</v>
          </cell>
        </row>
        <row r="207">
          <cell r="A207">
            <v>206692</v>
          </cell>
          <cell r="B207" t="str">
            <v>AF 075</v>
          </cell>
          <cell r="C207" t="str">
            <v>AF 075 SIL- 2in X 60yd- 24 rls/cs-H</v>
          </cell>
        </row>
        <row r="208">
          <cell r="A208">
            <v>206743</v>
          </cell>
          <cell r="B208" t="str">
            <v>PP 810</v>
          </cell>
          <cell r="C208" t="str">
            <v>PP 810 CLR- 48mm X 100m- 36 rls/cs-H/A</v>
          </cell>
        </row>
        <row r="209">
          <cell r="A209">
            <v>207089</v>
          </cell>
          <cell r="B209" t="str">
            <v>PC 595</v>
          </cell>
          <cell r="C209" t="str">
            <v>PC 595 SIL- 48mm X 55m- 24 rls/cs-S</v>
          </cell>
        </row>
        <row r="210">
          <cell r="A210">
            <v>207113</v>
          </cell>
          <cell r="B210" t="str">
            <v>DC 181</v>
          </cell>
          <cell r="C210" t="str">
            <v>DC 181 MPT-72mm x 110m - 16 rls/cs-H</v>
          </cell>
        </row>
        <row r="211">
          <cell r="A211">
            <v>207141</v>
          </cell>
          <cell r="B211" t="str">
            <v>HP 100</v>
          </cell>
          <cell r="C211" t="str">
            <v>HP 100 CLR- 48mm X 50m- 36 rls/cs-S</v>
          </cell>
        </row>
        <row r="212">
          <cell r="A212">
            <v>207142</v>
          </cell>
          <cell r="B212" t="str">
            <v>HP 100</v>
          </cell>
          <cell r="C212" t="str">
            <v>HP 100 CLR- 48mm X 100m- 36 rls/cs-S</v>
          </cell>
        </row>
        <row r="213">
          <cell r="A213">
            <v>207144</v>
          </cell>
          <cell r="B213" t="str">
            <v>HP 200</v>
          </cell>
          <cell r="C213" t="str">
            <v>HP 200 CLR- 48MM X 50M- 36 RLS/CS-H/A</v>
          </cell>
        </row>
        <row r="214">
          <cell r="A214">
            <v>207149</v>
          </cell>
          <cell r="B214" t="str">
            <v>HP 200</v>
          </cell>
          <cell r="C214" t="str">
            <v>HP 200 CLR- 48mm X 100m- 36 rls/cs-S</v>
          </cell>
        </row>
        <row r="215">
          <cell r="A215">
            <v>207181</v>
          </cell>
          <cell r="B215" t="str">
            <v>HP 100</v>
          </cell>
          <cell r="C215" t="str">
            <v>HP 100 TAN- 48mm X 100m- 36 rls/cs-S</v>
          </cell>
        </row>
        <row r="216">
          <cell r="A216">
            <v>207183</v>
          </cell>
          <cell r="B216" t="str">
            <v>PC 628</v>
          </cell>
          <cell r="C216" t="str">
            <v>PC 628 RED- 48mm X 55m- 24 rls/cs-H</v>
          </cell>
        </row>
        <row r="217">
          <cell r="A217">
            <v>207194</v>
          </cell>
          <cell r="B217" t="str">
            <v>HP 100</v>
          </cell>
          <cell r="C217" t="str">
            <v>HP 100 CLR- 72mm X 100m- 24 rls/cs-S</v>
          </cell>
        </row>
        <row r="218">
          <cell r="A218">
            <v>207233</v>
          </cell>
          <cell r="B218" t="str">
            <v>HP 200</v>
          </cell>
          <cell r="C218" t="str">
            <v>HP 200 CLR- 72MM X 100M- 24 RLS/CS-S</v>
          </cell>
        </row>
        <row r="219">
          <cell r="A219">
            <v>207245</v>
          </cell>
          <cell r="B219" t="str">
            <v>PC 628</v>
          </cell>
          <cell r="C219" t="str">
            <v>PC 628 YEL- 48mm X 55m- 24 rls/cs-H</v>
          </cell>
        </row>
        <row r="220">
          <cell r="A220">
            <v>207423</v>
          </cell>
          <cell r="B220" t="str">
            <v>PC 609</v>
          </cell>
          <cell r="C220" t="str">
            <v>PC 609 SIL- 48mm X 55m- 24 rls/cs-S</v>
          </cell>
        </row>
        <row r="221">
          <cell r="A221">
            <v>207426</v>
          </cell>
          <cell r="B221" t="str">
            <v>PC 609</v>
          </cell>
          <cell r="C221" t="str">
            <v>PC 609 BLK- 48mm X 55m- 24 rls/cs-H</v>
          </cell>
        </row>
        <row r="222">
          <cell r="A222">
            <v>207781</v>
          </cell>
          <cell r="B222" t="str">
            <v>PE 555</v>
          </cell>
          <cell r="C222" t="str">
            <v>PE 555 RED- 48MM X 55M- 24 RLS/CS-H/A</v>
          </cell>
        </row>
        <row r="223">
          <cell r="A223">
            <v>207823</v>
          </cell>
          <cell r="B223" t="str">
            <v>PC 609</v>
          </cell>
          <cell r="C223" t="str">
            <v>PC 609 SPT- 48mm X 55m- 24 rls/cs-H</v>
          </cell>
        </row>
        <row r="224">
          <cell r="A224">
            <v>207846</v>
          </cell>
          <cell r="B224" t="str">
            <v>HP 400</v>
          </cell>
          <cell r="C224" t="str">
            <v>HP 400 CLR- 48mm X 100m- 36 rls/cs-H/A</v>
          </cell>
        </row>
        <row r="225">
          <cell r="A225">
            <v>207848</v>
          </cell>
          <cell r="B225" t="str">
            <v>PC 600</v>
          </cell>
          <cell r="C225" t="str">
            <v>PC 600 BRG- 72mm X 55m- 16 rls/cs-H</v>
          </cell>
        </row>
        <row r="226">
          <cell r="A226">
            <v>207853</v>
          </cell>
          <cell r="B226" t="str">
            <v>HP 400</v>
          </cell>
          <cell r="C226" t="str">
            <v>HP 400 CLR- 48mm X 50m- 36 rls/cs-H/A</v>
          </cell>
        </row>
        <row r="227">
          <cell r="A227">
            <v>207871</v>
          </cell>
          <cell r="B227" t="str">
            <v>HP 300</v>
          </cell>
          <cell r="C227" t="str">
            <v>HP 300 CLR- 48mm X 100m- 36 rls/cs-H/A</v>
          </cell>
        </row>
        <row r="228">
          <cell r="A228">
            <v>207887</v>
          </cell>
          <cell r="B228" t="str">
            <v>PC 628</v>
          </cell>
          <cell r="C228" t="str">
            <v>PC 628 BLU- 72mm X 55m- 16 rls/cs-H</v>
          </cell>
        </row>
        <row r="229">
          <cell r="A229">
            <v>208144</v>
          </cell>
          <cell r="B229" t="str">
            <v>SF 683</v>
          </cell>
          <cell r="C229" t="str">
            <v>SF 683 SPT- 48mm X 55m- 24 rls/cs-H</v>
          </cell>
        </row>
        <row r="230">
          <cell r="A230">
            <v>208269</v>
          </cell>
          <cell r="B230" t="str">
            <v>PC 621</v>
          </cell>
          <cell r="C230" t="str">
            <v>PC 621 SPT- 48MM X 55M- 24 RLS/CS-H/A</v>
          </cell>
        </row>
        <row r="231">
          <cell r="A231">
            <v>208397</v>
          </cell>
          <cell r="B231" t="str">
            <v>VP 410</v>
          </cell>
          <cell r="C231" t="str">
            <v>VP 410 YEL- 100mm X 33m- 12 rls/cs-H</v>
          </cell>
        </row>
        <row r="232">
          <cell r="A232">
            <v>208453</v>
          </cell>
          <cell r="B232" t="str">
            <v>HP 100</v>
          </cell>
          <cell r="C232" t="str">
            <v>HP 100 CLR- 48mm X 914m- 6 rls/cs-S</v>
          </cell>
        </row>
        <row r="233">
          <cell r="A233">
            <v>208479</v>
          </cell>
          <cell r="B233" t="str">
            <v>PC 600</v>
          </cell>
          <cell r="C233" t="str">
            <v>PC 600 SIL- 48mm X 55m- 24 rls/cs-S</v>
          </cell>
        </row>
        <row r="234">
          <cell r="A234">
            <v>208492</v>
          </cell>
          <cell r="B234" t="str">
            <v>HP 200</v>
          </cell>
          <cell r="C234" t="str">
            <v>HP 200 CLR- 48mm X 914m- 6 rls/cs-S</v>
          </cell>
        </row>
        <row r="235">
          <cell r="A235">
            <v>208574</v>
          </cell>
          <cell r="B235" t="str">
            <v>SF 683</v>
          </cell>
          <cell r="C235" t="str">
            <v>SF 683 SPT- 72mm X 55m- 16 rls/cs-H</v>
          </cell>
        </row>
        <row r="236">
          <cell r="A236">
            <v>208614</v>
          </cell>
          <cell r="B236" t="str">
            <v>HP 100</v>
          </cell>
          <cell r="C236" t="str">
            <v>HP 100 CLR- 48mm X 132m- 36 rls/cs-T</v>
          </cell>
        </row>
        <row r="237">
          <cell r="A237">
            <v>208834</v>
          </cell>
          <cell r="B237" t="str">
            <v>PC 600</v>
          </cell>
          <cell r="C237" t="str">
            <v>PC 600 SIL- 36MM X 55M- 32 RLS/CS-H</v>
          </cell>
        </row>
        <row r="238">
          <cell r="A238">
            <v>208861</v>
          </cell>
          <cell r="B238" t="str">
            <v>PC 600</v>
          </cell>
          <cell r="C238" t="str">
            <v>PC 600 SIL- 48mm X 55m- 24 rls/cs-H/A</v>
          </cell>
        </row>
        <row r="239">
          <cell r="A239">
            <v>209088</v>
          </cell>
          <cell r="B239" t="str">
            <v>PC 600</v>
          </cell>
          <cell r="C239" t="str">
            <v>PC 600 SIL- 48MM X 914CM - 24 RLS/CS-H</v>
          </cell>
        </row>
        <row r="240">
          <cell r="A240">
            <v>209325</v>
          </cell>
          <cell r="B240" t="str">
            <v>CP 066</v>
          </cell>
          <cell r="C240" t="str">
            <v>CP 066 NAT- 57in X 1500yd- Log rl-NS</v>
          </cell>
        </row>
        <row r="241">
          <cell r="A241">
            <v>209438</v>
          </cell>
          <cell r="B241" t="str">
            <v>PC 600</v>
          </cell>
          <cell r="C241" t="str">
            <v>PC 600 SIL- 72mm X 55m- 16 rls/cs-S</v>
          </cell>
        </row>
        <row r="242">
          <cell r="A242">
            <v>216478</v>
          </cell>
          <cell r="B242" t="str">
            <v>AF 100</v>
          </cell>
          <cell r="C242" t="str">
            <v>AF 100 SIL- 72MM X 55M- 16 RLS/CS-H/A</v>
          </cell>
        </row>
        <row r="243">
          <cell r="A243">
            <v>216495</v>
          </cell>
          <cell r="B243" t="str">
            <v>AF 990</v>
          </cell>
          <cell r="C243" t="str">
            <v>AF 990 WHI- 2-1/2in X 46M- 16 rls/cs-X</v>
          </cell>
        </row>
        <row r="244">
          <cell r="A244">
            <v>218626</v>
          </cell>
          <cell r="B244" t="str">
            <v>PC 957</v>
          </cell>
          <cell r="C244" t="str">
            <v>PC 957 BPT- 48mm x 55m- 24 rls/cs-NS</v>
          </cell>
        </row>
        <row r="245">
          <cell r="A245">
            <v>219698</v>
          </cell>
          <cell r="B245" t="str">
            <v>AF 973</v>
          </cell>
          <cell r="C245" t="str">
            <v>AF 973 SIL- 48mm X 46m- 24 rls/cs -H/A</v>
          </cell>
        </row>
        <row r="246">
          <cell r="A246">
            <v>230962</v>
          </cell>
          <cell r="B246" t="str">
            <v>AP 201</v>
          </cell>
          <cell r="C246" t="str">
            <v>AP 201 CLR- 48mm X 100m- 36 rls/cs-H/A</v>
          </cell>
        </row>
        <row r="247">
          <cell r="A247">
            <v>230970</v>
          </cell>
          <cell r="B247" t="str">
            <v>AP 015</v>
          </cell>
          <cell r="C247" t="str">
            <v>AP 015 CLR- 96MM X 66M -  18 rls/cs - H</v>
          </cell>
        </row>
        <row r="248">
          <cell r="A248">
            <v>231024</v>
          </cell>
          <cell r="B248" t="str">
            <v>AP 201</v>
          </cell>
          <cell r="C248" t="str">
            <v>AP 201 CLR- 48MM X 50M- 36 RLS/CS-H</v>
          </cell>
        </row>
        <row r="249">
          <cell r="A249">
            <v>232031</v>
          </cell>
          <cell r="B249" t="str">
            <v>AF 914</v>
          </cell>
          <cell r="C249" t="str">
            <v>AF 914 SIL- 48mm X 46m- 24 rls/cs- H/A</v>
          </cell>
        </row>
        <row r="250">
          <cell r="A250">
            <v>232032</v>
          </cell>
          <cell r="B250" t="str">
            <v>AF 975</v>
          </cell>
          <cell r="C250" t="str">
            <v>AF 975 SIL- 48mm X 46m- 24 rls/cs- H/A</v>
          </cell>
        </row>
        <row r="251">
          <cell r="A251">
            <v>232033</v>
          </cell>
          <cell r="B251" t="str">
            <v>AF 984</v>
          </cell>
          <cell r="C251" t="str">
            <v>AF 984 SIL- 48mm X 46m- 24 rls/cs- H</v>
          </cell>
        </row>
        <row r="252">
          <cell r="A252">
            <v>232034</v>
          </cell>
          <cell r="B252" t="str">
            <v>AF 914</v>
          </cell>
          <cell r="C252" t="str">
            <v>AF 914 SIL- 72mm X 46m- 16 rls/cs- H</v>
          </cell>
        </row>
        <row r="253">
          <cell r="A253">
            <v>232035</v>
          </cell>
          <cell r="B253" t="str">
            <v>AF 975</v>
          </cell>
          <cell r="C253" t="str">
            <v>AF 975 SIL- 72mm X 46m- 16 rls/cs- H/A</v>
          </cell>
        </row>
        <row r="254">
          <cell r="A254">
            <v>232036</v>
          </cell>
          <cell r="B254" t="str">
            <v>AF 984</v>
          </cell>
          <cell r="C254" t="str">
            <v>AF 984 SIL- 72mm X 46m- 16 rls/cs- H/A</v>
          </cell>
        </row>
        <row r="255">
          <cell r="A255">
            <v>232038</v>
          </cell>
          <cell r="B255" t="str">
            <v>AF 975</v>
          </cell>
          <cell r="C255" t="str">
            <v>AF 975 SIL- 96MM X 46M- 12 RLS/CS- NS</v>
          </cell>
        </row>
        <row r="256">
          <cell r="A256">
            <v>232039</v>
          </cell>
          <cell r="B256" t="str">
            <v>AF 984</v>
          </cell>
          <cell r="C256" t="str">
            <v>AF 984 SIL- 96mm X 46m- 12 rls/cs- H</v>
          </cell>
        </row>
        <row r="257">
          <cell r="A257">
            <v>232043</v>
          </cell>
          <cell r="B257" t="str">
            <v>AF 975</v>
          </cell>
          <cell r="C257" t="str">
            <v>AF 975 SIL- 60mm X 46m- 20 rls/cs- H</v>
          </cell>
        </row>
        <row r="258">
          <cell r="A258">
            <v>232085</v>
          </cell>
          <cell r="B258" t="str">
            <v>AF 975</v>
          </cell>
          <cell r="C258" t="str">
            <v>AF 975 SIL- 60mm X 46m- 20 rls/cs- H</v>
          </cell>
        </row>
        <row r="259">
          <cell r="A259">
            <v>232187</v>
          </cell>
          <cell r="B259" t="str">
            <v>AF 984</v>
          </cell>
          <cell r="C259" t="str">
            <v>AF 984 SIL- 96mm X 46m- 12 rls/cs- H</v>
          </cell>
        </row>
        <row r="260">
          <cell r="A260">
            <v>232188</v>
          </cell>
          <cell r="B260" t="str">
            <v>AF 984</v>
          </cell>
          <cell r="C260" t="str">
            <v>AF 984 SIL- 72mm X 46m- 16 rls/cs- H</v>
          </cell>
        </row>
        <row r="261">
          <cell r="A261">
            <v>900617</v>
          </cell>
          <cell r="B261" t="str">
            <v>SD 932</v>
          </cell>
          <cell r="C261" t="str">
            <v>SD 932, PISTOL GRIP TAPE DISP. ECONOMY-S</v>
          </cell>
        </row>
        <row r="262">
          <cell r="A262">
            <v>902002</v>
          </cell>
          <cell r="B262" t="str">
            <v>SD 936</v>
          </cell>
          <cell r="C262" t="str">
            <v>SD 936, 2" PISTOL GRIP SILENT DISP-H/A/T</v>
          </cell>
        </row>
        <row r="263">
          <cell r="A263">
            <v>903000</v>
          </cell>
          <cell r="B263" t="str">
            <v>SD 934</v>
          </cell>
          <cell r="C263" t="str">
            <v>SD 934, PISTOL GRIP TAPE DISPNSR PREM.-S</v>
          </cell>
        </row>
        <row r="264">
          <cell r="A264">
            <v>909535</v>
          </cell>
          <cell r="B264" t="str">
            <v>SD 935</v>
          </cell>
          <cell r="C264" t="str">
            <v>SD 935, PISTOL GRIP DISPNSR-3 IN. ROLL-S</v>
          </cell>
        </row>
        <row r="265">
          <cell r="A265">
            <v>909904</v>
          </cell>
          <cell r="B265" t="str">
            <v>SD 950</v>
          </cell>
          <cell r="C265" t="str">
            <v>SD 950, ADHESIVE TRANSFER,PISTOL GRIP-S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Burleson" refreshedDate="45061.459257060182" createdVersion="5" refreshedVersion="8" minRefreshableVersion="3" recordCount="1586" xr:uid="{00000000-000A-0000-FFFF-FFFF2B000000}">
  <cacheSource type="worksheet">
    <worksheetSource ref="A2:P1048576" sheet="Data"/>
  </cacheSource>
  <cacheFields count="20">
    <cacheField name="Sales Employee #" numFmtId="0">
      <sharedItems containsBlank="1"/>
    </cacheField>
    <cacheField name="Sales Employee Desc" numFmtId="0">
      <sharedItems containsBlank="1"/>
    </cacheField>
    <cacheField name="Sold-to party #" numFmtId="0">
      <sharedItems containsBlank="1"/>
    </cacheField>
    <cacheField name="Sold-to party desc" numFmtId="0">
      <sharedItems containsBlank="1"/>
    </cacheField>
    <cacheField name="Ship-To Party #" numFmtId="0">
      <sharedItems containsBlank="1"/>
    </cacheField>
    <cacheField name="Ship-To Party Name" numFmtId="0">
      <sharedItems containsBlank="1"/>
    </cacheField>
    <cacheField name="Product Type" numFmtId="0">
      <sharedItems containsBlank="1" count="114">
        <s v="AP 180"/>
        <s v="AP 201"/>
        <s v="HP 200"/>
        <s v="HP 100"/>
        <s v="HP 235"/>
        <s v="HP 400"/>
        <s v="HP 300"/>
        <s v="SD 934"/>
        <s v="GS 490"/>
        <s v="VP 410"/>
        <s v="SD 935"/>
        <s v="CP 105"/>
        <s v="CP 106"/>
        <s v="FP 096"/>
        <s v="DT 200"/>
        <s v="CP 083"/>
        <s v="GS 521"/>
        <s v="FP 115"/>
        <s v="SD 932"/>
        <s v="HP 500"/>
        <s v="FP 097"/>
        <s v="AP 101"/>
        <s v="P- 628"/>
        <s v="DP 380"/>
        <s v="CP 107"/>
        <s v="CP 500"/>
        <s v="TAPE HEAD PARTS"/>
        <s v="CP 225"/>
        <s v="AF 975"/>
        <s v="HP 132"/>
        <s v="WP 100"/>
        <s v="DISPENSERS"/>
        <s v="FE-3"/>
        <s v="GS 501"/>
        <s v="HP 232"/>
        <s v="CP 66L"/>
        <s v="DP 050"/>
        <s v="DF 065"/>
        <s v="HP 240"/>
        <s v="HM 016"/>
        <s v="CP 631"/>
        <s v="PC 006"/>
        <s v="HP 140"/>
        <s v="WP 300"/>
        <s v="DP 401"/>
        <s v="GG 200"/>
        <s v="HP 800"/>
        <s v="PC 007"/>
        <s v="AF 099"/>
        <s v="CP 027"/>
        <s v="CP 066"/>
        <s v="SF 686"/>
        <s v="CP 450"/>
        <s v="FE-2"/>
        <s v="WP 150"/>
        <s v="CT 109"/>
        <s v="AP 015"/>
        <s v="PP 808"/>
        <s v="PC 009C"/>
        <s v="HP 242"/>
        <s v="CP 101"/>
        <s v="PC 600S"/>
        <s v="PC 609"/>
        <s v="PE 444"/>
        <s v="WP 200"/>
        <s v="AP 401"/>
        <s v="M-1"/>
        <m/>
        <s v="GS 531" u="1"/>
        <s v="DF 545" u="1"/>
        <s v="CP 102" u="1"/>
        <s v="DF 642" u="1"/>
        <s v="COL 00" u="1"/>
        <s v="SD 937" u="1"/>
        <s v="VF 719" u="1"/>
        <s v="EV 057B" u="1"/>
        <s v="PC 618S" u="1"/>
        <s v="TAPE HEADS" u="1"/>
        <s v="CF 740" u="1"/>
        <s v="JLAR" u="1"/>
        <s v="AP 301" u="1"/>
        <s v="CP 027P" u="1"/>
        <s v="SD 930" u="1"/>
        <s v="VP 415" u="1"/>
        <s v="PC 590" u="1"/>
        <s v="PC 009" u="1"/>
        <s v="SD 936" u="1"/>
        <s v="AF 075" u="1"/>
        <s v="FP 202" u="1"/>
        <s v="PS 748" u="1"/>
        <s v="SS 501" u="1"/>
        <s v="AF 973" u="1"/>
        <s v="GP 100" u="1"/>
        <s v="DF 164" u="1"/>
        <s v="PP 803" u="1"/>
        <s v="HP 050" u="1"/>
        <s v="TG 356" u="1"/>
        <s v="CP 011" u="1"/>
        <s v="PC 599" u="1"/>
        <s v="SD 955" u="1"/>
        <s v="HM 018" u="1"/>
        <s v="PC 460" u="1"/>
        <s v="DF 132" u="1"/>
        <s v="PC 745" u="1"/>
        <s v="HP 150" u="1"/>
        <s v="DP 391" u="1"/>
        <s v="GS 500" u="1"/>
        <s v="PC 600C" u="1"/>
        <s v="PE 333" u="1"/>
        <s v="PC 624" u="1"/>
        <s v="E-1" u="1"/>
        <s v="HM 014" u="1"/>
        <s v="PC 618C" u="1"/>
        <s v="CP 650" u="1"/>
      </sharedItems>
    </cacheField>
    <cacheField name="Material #" numFmtId="0">
      <sharedItems containsBlank="1"/>
    </cacheField>
    <cacheField name="Material desc" numFmtId="0">
      <sharedItems containsBlank="1"/>
    </cacheField>
    <cacheField name="Net Sales 2011" numFmtId="0">
      <sharedItems containsString="0" containsBlank="1" containsNumber="1" minValue="0" maxValue="653466.53"/>
    </cacheField>
    <cacheField name="Net Sales 2012" numFmtId="0">
      <sharedItems containsString="0" containsBlank="1" containsNumber="1" minValue="-700.44" maxValue="678066.05"/>
    </cacheField>
    <cacheField name="YD 2011" numFmtId="0">
      <sharedItems containsString="0" containsBlank="1" containsNumber="1" minValue="0" maxValue="1473371.9990000001"/>
    </cacheField>
    <cacheField name="YD 2012" numFmtId="0">
      <sharedItems containsString="0" containsBlank="1" containsNumber="1" minValue="-1653.28" maxValue="1470853.415"/>
    </cacheField>
    <cacheField name="Sold to # &amp; Name" numFmtId="0">
      <sharedItems containsBlank="1" count="15">
        <s v="27368 ASSOCIATED PKG/CA STOCKTON"/>
        <s v="34939 ASSOCIATED PKG/UT SALT LAKE CITY"/>
        <s v="708536 ASSOCIATED PKG/KY LOUISVILLE"/>
        <s v="3838 ASSOCIATED PKG/NC STATESVILLE"/>
        <s v="6517 ASSOCIATED PKG/TN GALLATIN"/>
        <s v="24667 ASSOCIATED PKG/CA SANTA FE SPRINGS"/>
        <s v="7834 ASSOCIATED PKG/FL TAMPA"/>
        <s v="7839 ASSOCIATED PKG/GA DOUGLASVILLE"/>
        <s v="16650 ASSOCIATED PKG/TX MESQUITE"/>
        <s v="7841 ASSOCIATED PKG/TN MEMPHIS"/>
        <m/>
        <s v="43623 ASSOCIATED PKG/OH NEWARK" u="1"/>
        <s v=" " u="1"/>
        <s v="43623 ASSOCIATED PKG/OH NEWARK/DO NOT USE" u="1"/>
        <s v="706024 ASSOCIATED PKG/ID BOISE" u="1"/>
      </sharedItems>
    </cacheField>
    <cacheField name="Ship-To Party # &amp; Name" numFmtId="0">
      <sharedItems containsBlank="1" count="1121">
        <s v="27368 ASSOCIATED PKG/CA STOCKTON"/>
        <s v="32408 YOSEMITE FOODS INC"/>
        <s v="78111 CLOVER STORNETTA FARMS"/>
        <s v="91982 GLAXO SMITH &amp; KLINE"/>
        <s v="705105 NULAID FOODS INC"/>
        <s v="707236 VICTOR PACKING INC"/>
        <s v="707575 PLANTERS"/>
        <s v="707637 LYONS MAGNUS"/>
        <s v="707759 CENTRAL VALLEY CHEESE"/>
        <s v="717536 STARWEST BOTANICALS INC"/>
        <s v="735670 NATURES BAKERY"/>
        <s v="739521 WINESHIPPING.COM"/>
        <s v="739709 NDS INC"/>
        <s v="740115 CARO NUT"/>
        <s v="741582 ASSOCIATED PKG FOR GC4"/>
        <s v="742821 VALLEY PROTEIN LLC"/>
        <s v="744364 CEPHEID - EAST BAY LOGISTICS"/>
        <s v="745867 TORANI - SL"/>
        <s v="745969 ASSOCIATED PKG FOR CEPHEID"/>
        <s v="746128 KIM HONG NOODLE"/>
        <s v="746162 CALIFORNIA NUGGETS INC"/>
        <s v="746565 STOCKTON COLD STORAGE LLC"/>
        <s v="747444 PFLUG PACKAGING"/>
        <s v="747614 PFLUG PACKAGING - LATHROP WHSE"/>
        <s v="747661 OMEGA WALNUT INC"/>
        <s v="750931 DIESTEL TURKEY RANCH"/>
        <s v="751036 MICHAEL DAVID WINERY"/>
        <s v="751476 BAUGHER RANCH ORGANICS"/>
        <s v="751841 CARRIERE FAMILY FARMS"/>
        <s v="34939 ASSOCIATED PKG/UT SALT LAKE CITY"/>
        <s v="46908 MOUNTAINLAND SUPPLY CO"/>
        <s v="81127 RIMPORTS (USA) LLC"/>
        <s v="710894 SNAPLOCK MFG"/>
        <s v="719056 RIMPORTS USA LLC"/>
        <s v="733431 GENERIC ONE TIME SHIP-TO B2B DIST P"/>
        <s v="734435 BRIDGEWATER/ARAMSCO"/>
        <s v="735147 DOTERRA"/>
        <s v="739372 HEMASOURCE"/>
        <s v="739896 HEMASOURCE EAST"/>
        <s v="741089 DOTERRA"/>
        <s v="742485 HEMASOURCE TEXAS"/>
        <s v="742700 ASAP WAREHOUSE"/>
        <s v="746513 HEMASOURCE OHIO"/>
        <s v="746520 ROCKY MOUNTAIN PIES"/>
        <s v="746969 ASAP WAREHOUSE FOR ROCKY MTN PIES"/>
        <s v="750164 ROCKY MOUNTAIN PIES"/>
        <s v="750780 SNAPLCOK INC"/>
        <s v="16512 RAYLOC"/>
        <s v="26869 BASIC GRAIN PRODUCTS"/>
        <s v="27868 QUALITY BAKERY CO"/>
        <s v="28565 SPACEKRAFT"/>
        <s v="33313 WHITE CASTLE"/>
        <s v="33769 ROLLPAK CORP/BERRY GLOBAL"/>
        <s v="34535 QCD"/>
        <s v="34558 EXPRESS PACKAGING"/>
        <s v="37873 DOMTAR PAPER CO LLC"/>
        <s v="44567 ALBANESE CONFECTIONERY GRP"/>
        <s v="45362 ROCKY SHOES AND BOOTS"/>
        <s v="45598 HEAVEN HILL DISTILLERIES"/>
        <s v="75545 ID IMAGES"/>
        <s v="81193 THINK PACKAGING"/>
        <s v="701287 AUNT MILLIE'S - COLDWATER BAKE"/>
        <s v="706717 AMERIQUAL PACKAGING"/>
        <s v="708536 ASSOCIATED PKG/KY LOUISVILLE"/>
        <s v="708538 MID STATE WAREHOUSE FOR RICH PRODUC"/>
        <s v="708637 KENCO LOGISTIC SERVICES"/>
        <s v="708654 ORBIS CORPORATION"/>
        <s v="708660 EPW"/>
        <s v="708734 PARKER HANNIFIN CORP HVAC DIV"/>
        <s v="708795 KEHE DISTRIBUTORS"/>
        <s v="710113 AMCOR FLEXIBLE SHELBYVILLE"/>
        <s v="710544 MAPLEHURST BAKERY"/>
        <s v="711137 GLOBAL HARVEST FOODS"/>
        <s v="713453 AAK USA LLC"/>
        <s v="714666 PARKER HANNIFIN CORP HVAC DIV"/>
        <s v="716771 GENPAK"/>
        <s v="717853 MAPLEHURST BAKERIES"/>
        <s v="717862 PARKER COMMERCIAL STORAGE &amp; DI"/>
        <s v="718089 INTERNATIONAL PAPER"/>
        <s v="719150 T MARZETTI COMPANY"/>
        <s v="719905 PROXIMO DISTILLERS"/>
        <s v="720956 MAPLEHURST BAKERIES"/>
        <s v="721175 AMERICAN AIR FILTER"/>
        <s v="724093 WINKLER INC"/>
        <s v="724344 RAGE CORPORATION"/>
        <s v="729312 NIFCO"/>
        <s v="732105 FRY KRISP FOOD PRODUCTS"/>
        <s v="734369 AMERICAN MITSUBA"/>
        <s v="736313 ASSOCIATED PKG FOR WHITE CASTLE"/>
        <s v="738291 ASSOCIATED PKG FOR BERRY GLOBAL/ROL"/>
        <s v="738552 AUNT MILLIE'S"/>
        <s v="738771 MID STATE WAREHOUSE FOR EXPRESS PKG"/>
        <s v="739391 THE ROYAL GROUP"/>
        <s v="740267 PARKER HANNIFIN CORP HVAC DIV"/>
        <s v="740438 MID STATE FOR T MARZETTI"/>
        <s v="740747 IMEX GLOBAL SOLUTIONS LLC"/>
        <s v="741924 NEXUS VALVE"/>
        <s v="742808 ALBANESE CONFECTIONERY DISTR"/>
        <s v="743933 ATCORR PACKAGING PRODUCTS"/>
        <s v="744750 LYONS MAGNUS"/>
        <s v="745777 MCI FULFILLMENT SERVICES"/>
        <s v="746094 AF SHELBYVILLE KY"/>
        <s v="746252 CAITO FOODS FOR HUNGRYROOT"/>
        <s v="746780 ASSOCIATED FOR AAK"/>
        <s v="746841 ASSOCIATED FOR MAPLEHURST"/>
        <s v="746902 INDIANA BEVERAGE INC"/>
        <s v="746910 RAGE PLASTICS"/>
        <s v="746950 NEXGEN MOLD &amp; TOOL INC"/>
        <s v="747290 AAF ATLANTA PLANT"/>
        <s v="747482 THE KINGSWOOD COMPANY"/>
        <s v="747719 NORMA GROUP CRAIG ASSEMBLY"/>
        <s v="748161 CATALINA CRUNCH"/>
        <s v="749571 NORMA MICHIGAN INC"/>
        <s v="749972 LACROSSE FOOTWEAR INC"/>
        <s v="750389 HUNGRYROOT INC"/>
        <s v="3838 ASSOCIATED PKG/NC STATESVILLE"/>
        <s v="10941 MOUNTAIN STATE BEVERAGE"/>
        <s v="20424 PROGRESS PRINTING CO INC"/>
        <s v="27825 ROBERTSON MARKETING GROUP"/>
        <s v="33406 ALFA SUPPLY, INC."/>
        <s v="38117 POSITEC TOOL CORPORATION"/>
        <s v="43903 BIMBO BAKEHOUSE LLC"/>
        <s v="75226 ATLAS COLD STORAGE"/>
        <s v="84691 CAMRETT LOGISTICS"/>
        <s v="703143 WM T BURNETT"/>
        <s v="704061 WRBP-MARION"/>
        <s v="707919 WHOLESALE BOUTIQUE"/>
        <s v="714105 DHL ROCK HILL"/>
        <s v="717314 PHOENIX PACKAGING OPERATIONS"/>
        <s v="720725 EASTERN STATES STEEL"/>
        <s v="721758 RICH PRODUCTS"/>
        <s v="722360 SARSTEDT INC"/>
        <s v="727933 PIONEER ECLIPSE CORP"/>
        <s v="728841 ELIZABETH ARDEN"/>
        <s v="732361 TEAM IMAGE MARKETING"/>
        <s v="733232 CARGILL MEAT"/>
        <s v="739404 READERLINK DISTRIBUTION DNU"/>
        <s v="739415 DEHAVEN TRANSPORTATION"/>
        <s v="740591 EBI LLC"/>
        <s v="741315 RESOURCE MHR NC LLC"/>
        <s v="741556 LSC COMMUNICATIONS"/>
        <s v="743503 ADVANCE AUTO SUPPLIES"/>
        <s v="743609 MAINETTI"/>
        <s v="744442 PACKAGING CENTER"/>
        <s v="744567 READERLINK DISTRIBUTION DNU"/>
        <s v="745047 DAYE NORTH AMERICA INC"/>
        <s v="746603 SML LOGISTICS FOR HUNGRYROOT"/>
        <s v="748035 RICH PRODUCTS"/>
        <s v="749470 ELIZABETH ARDEN ASSEMBLY"/>
        <s v="750058 TCG LEGACY GRAPHICS INC"/>
        <s v="751082 BIMBO BAKEHOUSE"/>
        <s v="751421 DIRECT SPORTS, INC."/>
        <s v="751481 AXJO AMERICA INC"/>
        <s v="751584 PRODUCTIV INC"/>
        <s v="751821 SOFTEX PAPER INC"/>
        <s v="6517 ASSOCIATED PKG/TN GALLATIN"/>
        <s v="8238 VALLEN DISTRIBUTION INC"/>
        <s v="9644 PANOLAM INDUSTRIES INTERNATIONAL IN"/>
        <s v="26204 WAMPLERS FARM SAUSAGE CO"/>
        <s v="27108 TRANZONIC COMPANIES"/>
        <s v="27717 FEDERAL MOGUL"/>
        <s v="27880 MIAMI CORP"/>
        <s v="38633 GENESCO IMPORT GROUP/ DOCKERS"/>
        <s v="39112 BOSTIK INC"/>
        <s v="43629 DALEN PRODUCTS INC"/>
        <s v="46217 JOHNS MANVILLE"/>
        <s v="80579 SPECIALTY CONVERTING"/>
        <s v="81112 FLEETGUARD INC"/>
        <s v="84047 THE ROBINETTE COMPANY"/>
        <s v="84995 CARGILL MEAT SOLUTIONS CORP"/>
        <s v="85219 A-Z OFFICE RESOURCE INC"/>
        <s v="700619 KENTUCKY MOVING &amp; STORAGE"/>
        <s v="701357 DREW FOAM OF TENNESSEE"/>
        <s v="704009 DREW FOAM OF TENNESSEE"/>
        <s v="704898 METALMAX LLC"/>
        <s v="706027 PEYTONS MID-SOUTH"/>
        <s v="706241 METALMAX LLC"/>
        <s v="709845 COOPER CONTAINER"/>
        <s v="711526 JM SMUCKERS COMPANY"/>
        <s v="712280 VYTRON CORPORATION"/>
        <s v="713838 GAP INC TENNESSEE DC"/>
        <s v="714320 GAP INC SOUTHERN DC"/>
        <s v="714654 GAP INC"/>
        <s v="716952 HYDRO DESIGN USA"/>
        <s v="717435 MITCHELL PRINTING/TNT"/>
        <s v="717594 ASSOCIATED PKG FOR JM SMUCKERS"/>
        <s v="717735 GAP-OLD NAVY"/>
        <s v="718292 CDH BUSINESS PRODUCTS LLC"/>
        <s v="718535 GAP INC SOUTHERN CROSS DOCK"/>
        <s v="718553 CONSTRUCTION VENTURES CORP"/>
        <s v="719171 LATHAM POOL PRODUCTS"/>
        <s v="720467 WORLD OUTDOOR RESOURCES"/>
        <s v="722376 VALLEN DISTRIBUTION"/>
        <s v="728685 RICH PRODUCTS"/>
        <s v="729357 FAMOUS FOOTWEAR"/>
        <s v="729690 LPI INC"/>
        <s v="730690 KATZ AMERICAS"/>
        <s v="730762 ASSOCIATED PKG FOR FAMOUS FOOTWEAR"/>
        <s v="731394 RICH PRODUCTS PLANT 2"/>
        <s v="731626 ASSOCIATED PGK FOR RICH PRODUCTS"/>
        <s v="733432 B2B GENERIC SHIP-TO DISTRIBUTOR POR"/>
        <s v="733468 CROWN LABORATORIES INC"/>
        <s v="734583 CHEF MINUTE MEALS"/>
        <s v="737854 ALADDIN TEMP-RITE"/>
        <s v="740306 OVERMAN INTERNATIONAL"/>
        <s v="740351 UST INC"/>
        <s v="740610 ASSOCIATED PKG FOR BERRY GLOBAL"/>
        <s v="741349 ESQUIRE WIRE"/>
        <s v="742055 G&amp;A SCREEN PRINTING"/>
        <s v="742532 LUGNUT4X4"/>
        <s v="742895 SUNKOTE PLASTIC COATINGS"/>
        <s v="743226 RELIANCE WORLDWIDE CORPORATION"/>
        <s v="745053 PROAMPAC"/>
        <s v="745518 ASSOCIATED PKG FOR ICONEX"/>
        <s v="745651 PORTOBELLO AMERICA"/>
        <s v="745693 ASSOCIATED PKG FOR LPI"/>
        <s v="745806 ICONEX LLC"/>
        <s v="746542 JCF HOUSEMENTS"/>
        <s v="746691 GREEN VALLEY POULTRY FARM"/>
        <s v="746695 DUTT &amp; WAGNER"/>
        <s v="746714 DUTT &amp; WAGNER OF NC INC"/>
        <s v="746719 FLEETLINE PRODUCTS"/>
        <s v="747014 NASHVILLE RECORD PRESSING"/>
        <s v="747214 HIGHLY MARELLI USA INC"/>
        <s v="747350 ASSOCIATED FOR JOHNS MANVILLE"/>
        <s v="747420 ARTAZN"/>
        <s v="747474 SAMUELS METAL PROCESSING"/>
        <s v="747799 GENESCO FAYETTEVILLE"/>
        <s v="749826 THE ROBINETTE COMPANY"/>
        <s v="749909 CARDINAL CG - ABINGDON"/>
        <s v="751561 EBM-PAPST INC"/>
        <s v="751675 WHITMAN PUBLISHING"/>
        <s v="751790 CORECHEM"/>
        <s v="24667 ASSOCIATED PKG/CA SANTA FE SPRINGS"/>
        <s v="35302 HONEYVILLE GRAIN INC"/>
        <s v="45197 PHARMAVITE"/>
        <s v="704928 FRESH LEAF FARMS LLC"/>
        <s v="708617 ASSOCIATED PACKAGING - CA SANTA FE"/>
        <s v="708643 GMP LABORATORIES OF AMERICA INC"/>
        <s v="718340 AMERICAN WOODMARK"/>
        <s v="723310 ESSENTIALS"/>
        <s v="732142 ONEILL RBW LOGISTICS"/>
        <s v="733192 MS INTERNATIONAL"/>
        <s v="733377 ESSENDANT"/>
        <s v="734762 THE COMPLETE LOGISTICS CO"/>
        <s v="737603 PASSION GROWERS WEST LLC"/>
        <s v="740541 GOODWIN CO"/>
        <s v="740848 MPIO/DONGBU C/O STARKIST"/>
        <s v="740967 WILL CALL AT SHURTAPE PHOENIX DC"/>
        <s v="741114 MS INTERNATIONAL"/>
        <s v="741251 MS INTERNATIONAL INC"/>
        <s v="741406 MS INTERNATIONAL"/>
        <s v="743010 MS INTERNATIONAL INC"/>
        <s v="743062 NELLSON LLC- ONTARIO PLANT"/>
        <s v="746941 GAP INC"/>
        <s v="747078 MS INTERNATIONAL"/>
        <s v="747829 ST MARY'S FOOD BANK ALLIANCE"/>
        <s v="747895 NSL 00047 @LVO LONGVIEW OMNI"/>
        <s v="749831 PASSION GROWERS CALEXICO"/>
        <s v="750665 MS INTERNATIONAL"/>
        <s v="751402 C D CONTAINER"/>
        <s v="7834 ASSOCIATED PKG/FL TAMPA"/>
        <s v="15492 M &amp; B PRODUCTS INC"/>
        <s v="25338 VENTURA FOODS"/>
        <s v="33670 HILEX POLY COMPANY/DNU"/>
        <s v="44684 GENESIS DIRECT"/>
        <s v="45817 DUPUY STORAGE"/>
        <s v="708553 LANTMANNEN BAKERY"/>
        <s v="711125 COH EPROC"/>
        <s v="711402 KENNESAW FRUIT &amp; JUICE"/>
        <s v="713105 PALMETTO CANNING CO"/>
        <s v="716630 WINCUP PLASTICS DBA CARDINAL S"/>
        <s v="716751 PASSION GROWERS"/>
        <s v="721619 IGT GLOBAL SOLUTIONS CORP"/>
        <s v="724391 BADIA SPICE"/>
        <s v="728865 SIEMENS ENERGY"/>
        <s v="730232 CLEAR LAKE ENTERPRISES INC"/>
        <s v="730862 UNCLE JOHNS PRIDE"/>
        <s v="732720 HONEYCOMB COMPANY OF AMERICA"/>
        <s v="733173 VITAMIN SHOPPE"/>
        <s v="734282 COLONIAL PRESS"/>
        <s v="735533 TURANO FLORIDA BUN LLC"/>
        <s v="739411 BASE CULTURE"/>
        <s v="739633 SUPPORT SERVICE OPS SUPPLIES"/>
        <s v="740447 HILEX POLY COMPANY"/>
        <s v="741354 MALLARD MANUFACTURING"/>
        <s v="741842 SAFARILAND LLC"/>
        <s v="742271 ADVANTUS CORPORATION"/>
        <s v="742832 24 SEVEN ENTERPRISES INC"/>
        <s v="742841 PALMETTO CANNING"/>
        <s v="743045 MOTHER KOMBUCHA"/>
        <s v="743172 ATLAS EXPORT"/>
        <s v="743686 SOLAR CITY INC DBA THE LEVEREDGE"/>
        <s v="743687 SOUTHERN WINE AND SPIRITS"/>
        <s v="744456 HANCOCK FARM &amp; SEED COMPANY"/>
        <s v="744968 ASSOCIATED PKG FOR SAFARILAND LLC"/>
        <s v="745701 FORMULATED SOLUTIONS"/>
        <s v="746057 COCA-COLA BEVERAGES FLORIDA"/>
        <s v="746140 ASSOCIATED FOR BADIA"/>
        <s v="747366 ROB BLANKENSHIP"/>
        <s v="750236 CHEMICAL DYNAMICS"/>
        <s v="751855 COMMERCIAL WAREHOUSING"/>
        <s v="7839 ASSOCIATED PKG/GA DOUGLASVILLE"/>
        <s v="12662 LIFOAM"/>
        <s v="23361 BRILL CSM BAKERY SOLUTION"/>
        <s v="25219 RAINBOW GOLD PRODUCTS INC."/>
        <s v="44691 AUTOCHLOR SYSTEM"/>
        <s v="76267 THOMASTON MILLS"/>
        <s v="76969 PACTIV CORPORATION"/>
        <s v="79379 TENAX MFG AL LLC"/>
        <s v="89656 INTERFACEFLOR LLC"/>
        <s v="92229 INTERFACEFLOR LLC"/>
        <s v="703436 INTERNATIONAL PAPER"/>
        <s v="708579 HUHTAMAKI ANDALUSIA PLANT A7"/>
        <s v="713244 ASSOCIATED PKG FOR GOLDEN STATE"/>
        <s v="717868 ALMA PAK INC"/>
        <s v="723353 EMMAUS FOODS"/>
        <s v="730395 MAGNUM PRODUCTS"/>
        <s v="734068 PHARMAVITE"/>
        <s v="736069 SUWANEE SPORTS ACADEMY"/>
        <s v="736673 CHEMSTAR CORP"/>
        <s v="737086 WALMART PHARMACY DISTRIBUTION"/>
        <s v="740305 TOP FLIGHT"/>
        <s v="740889 FEEDING THE VALLEY FOOD BANK"/>
        <s v="741086 RAINBOW GOLD PRODUCTS"/>
        <s v="742571 CARLEX GLASS COMPANY"/>
        <s v="743554 DHM RIVER STREET WHSE 1"/>
        <s v="746862 FILTERBUY"/>
        <s v="746903 ASSOCIATED PKG FOR FILTER BUY"/>
        <s v="747621 FILTERBUY ORLANDO"/>
        <s v="748147 LIFOAM"/>
        <s v="750684 FILTERBUY PITTSBURG"/>
        <s v="14140 ALLSTATES WAREHOUSE AND DIST (WFC)"/>
        <s v="16650 ASSOCIATED PKG/TX MESQUITE"/>
        <s v="17302 ATKINSON CANDY"/>
        <s v="33511 EBAA IRON"/>
        <s v="34135 CTI FOODS-BEAN PLANT"/>
        <s v="78143 CTI FOODS/ SOUP"/>
        <s v="704147 BERRY GLOBAL FILMS"/>
        <s v="706088 CARLISLE COATINGS"/>
        <s v="707406 ASSOCIATED PACKAGING - OK OKC"/>
        <s v="708669 ASSOCIATED PACKAGING - TX MESQUITE"/>
        <s v="711257 REGIONAL FOOD BANK"/>
        <s v="712872 CENTURY  FITNESS"/>
        <s v="714327 ASSOCIATED PKG FOR STANDARD MEAT"/>
        <s v="719128 DANCO"/>
        <s v="721955 MARCO INDUSTRIES"/>
        <s v="724897 DAISY BRAND"/>
        <s v="728225 REDBARN PET PRODUCTS"/>
        <s v="729126 CARGILL MEAT"/>
        <s v="732217 ASSOCIATED PKG FOR CARGILL MEAT"/>
        <s v="733904 CHEWY.COM (DFW)"/>
        <s v="733910 CHEWY.COM (MCO)"/>
        <s v="733912 CHEWY.COM (PHX)"/>
        <s v="733913 CHEWY.COM (CFC)"/>
        <s v="733914 CHEWY.COM (AVP)"/>
        <s v="734029 ASSOCIATED PKG FOR CHEWY.COM (DFW)"/>
        <s v="734030 ASSOCIATED PKG FOR CHEWY.COM (CFC)"/>
        <s v="734031 ASSOCIATED PKG FOR CHEWY.COM (MCO)"/>
        <s v="734044 LEHIGH VALLEY LOGISTICS (AVP)"/>
        <s v="736426 SADLERS BAR-B-QUE"/>
        <s v="736563 NORTH DALLAS HONEY COMPANY"/>
        <s v="736941 CHEWY INC (DAY)"/>
        <s v="737160 QUALITY TOOLS &amp; SERVICES"/>
        <s v="737261 ARTE SANO"/>
        <s v="737625 BURRIS LOGISTICS"/>
        <s v="737753 DE DIETRICH PROCESS SYSTEM"/>
        <s v="737987 ASSOCIATED PKG FOR SADLERS BAR-B-QU"/>
        <s v="741018 CHEWY INC (CLT)"/>
        <s v="741095 GOLDEN STATE FOODS"/>
        <s v="741296 CADECO INDUSTRIES"/>
        <s v="741519 ASSOCIATED PKG FOR FARMER BROS COFF"/>
        <s v="743029 GARVEY PUBLIC WAREHOUSE FOR CHEWY M"/>
        <s v="743791 POLY-TECH PLASTICS MOLDING INC"/>
        <s v="744544 CHEWY.COM - MCI1"/>
        <s v="745030 UPS STORE - FOR CHEWY.COM - MCO"/>
        <s v="745657 CHEWY PHARMACY LLC AVP4"/>
        <s v="745804 AVERITT EXPRESS WHSE"/>
        <s v="746204 SATELLITE WAREHOUSE 314US"/>
        <s v="746277 SOUTHERN WAREHOUSING AND DIST"/>
        <s v="746858 CRESTONE BAKING CHICAGO"/>
        <s v="747007 EAST JORDAN FOUNDRY LLC"/>
        <s v="747281 THE CONTAINER STORE"/>
        <s v="747287 TRI C  BUSINESS FORMS INC"/>
        <s v="747449 SOUTHERN WAREHOUSING AND DIST"/>
        <s v="747499 DEL REAL FOODS"/>
        <s v="747568 CHEWY.COM (RNO)"/>
        <s v="749715 FIESTA TORTILLAS"/>
        <s v="750170 THE CONTAINER STORE"/>
        <s v="750822 CHEWY - BNA"/>
        <s v="750934 CARDINAL HEALTH"/>
        <s v="750942 SETECH SCS LLC /PATRICK IND"/>
        <s v="751666 SHAWNEE MILLING"/>
        <s v="751830 CHEWY.COM - HOU"/>
        <s v="7841 ASSOCIATED PKG/TN MEMPHIS"/>
        <s v="27654 UNITED SOLUTIONS"/>
        <s v="45277 CARLISLE SYNTEC"/>
        <s v="46249 NORTHDOWN INDUSTRIES (MTI)"/>
        <s v="76432 ELMER CANDY CORP"/>
        <s v="79333 NEEDLE SPECIALTY PRODUCTS"/>
        <s v="90392 PRINTPACK INC"/>
        <s v="700140 PLATTE CHEMICAL"/>
        <s v="708773 ASSOCIATED PKG FOR PICTSWEET"/>
        <s v="717793 CALBEE NORTH AMERICA"/>
        <s v="717860 SYNOVOS"/>
        <s v="718680 ASSOCIATED PKG FOR PFS WEB"/>
        <s v="719039 AXEL AMERICAS LLC"/>
        <s v="719067 DRUMHELLER PACKAGING"/>
        <s v="721581 RICH PRODUCTS"/>
        <s v="733143 ASSOCIATED PKG FOR HOMEGOODS"/>
        <s v="736340 HELENA INDUSTRIES"/>
        <s v="738223 ALL AMERICAN LABEL"/>
        <s v="741565 TBDN"/>
        <s v="741630 HEARTLAND CATFISH"/>
        <s v="742049 HOLLOWELL INDUSTIRES"/>
        <s v="744002 ADP DISTRIBUTORS"/>
        <s v="745328 ASAP WAREHOUSE FOR PICTSWEET"/>
        <s v="746667 MAHAR TOOL SUPPLY"/>
        <s v="751470 AWC INC"/>
        <s v="751546 PFS WEB"/>
        <s v="751735 ASSOCIATED FOR EVERSANA"/>
        <s v="751748 COMMUNITY COFFEE CO"/>
        <m/>
        <s v="708917 SUPER SAGLESS HARDWARE" u="1"/>
        <s v="727770 ALABAMA BUSINESS FORMS" u="1"/>
        <s v="34968 QUIKRETE-CHILHOWIE" u="1"/>
        <s v="733314 SONOCO PLASTICS" u="1"/>
        <s v="733392 SONOCO PLASTICS" u="1"/>
        <s v="733393 SONOCO PLASTICS" u="1"/>
        <s v="733394 SONOCO PLASTICS" u="1"/>
        <s v="740522 24 SEVEN ENTERPRISES" u="1"/>
        <s v="701630 ROBERT BOSCH TOOL CORP" u="1"/>
        <s v="721177 GAP PHOENIX" u="1"/>
        <s v="742335 EXPRESS PACKAGING" u="1"/>
        <s v="743159 DEKALB MOLDED PLASTICS" u="1"/>
        <s v="720223 LEE QUIGLEY COMPANY" u="1"/>
        <s v="738024 SAFARILAND LLC" u="1"/>
        <s v="749896 MICROPOROUS LLC" u="1"/>
        <s v="741136 TENNESSEE DISTILLING LLC" u="1"/>
        <s v="746504 ZWI" u="1"/>
        <s v="731227 WHITE CASTLE" u="1"/>
        <s v="730202 GENPAK" u="1"/>
        <s v="32218 TRANE INDUSTRIES" u="1"/>
        <s v="46450 AMCOR PACKAGING" u="1"/>
        <s v="46450 BEMIS PACKAGING" u="1"/>
        <s v="705762 DELICATO FAMILY VINEYARDS" u="1"/>
        <s v="45745 UNITED STATES COLD STORAGE" u="1"/>
        <s v="718413 HP HOOD LLC" u="1"/>
        <s v="734707 NORDIC ICE" u="1"/>
        <s v="734040 IVC INTERNATIONAL VITAMIN CORPORATI" u="1"/>
        <s v="749397 COLLIN STREET BAKERY" u="1"/>
        <s v="81172 STARKIST MLC" u="1"/>
        <s v="737469 REEVES FLORAL PRODUCTS" u="1"/>
        <s v="728212 ACME UNITED" u="1"/>
        <s v="44202 TENAX MFG AL LLC" u="1"/>
        <s v="734065 ALL STATES WAREHOUSING &amp; DISTRIBUTI" u="1"/>
        <s v="730397 EDGE ADHESIVES" u="1"/>
        <s v="742336 1 800 PACKOUTS OF CHARLOTTE" u="1"/>
        <s v="745180 GAP INC" u="1"/>
        <s v="89520 INTERFACEFLOR LLC KYLE PLANT 2" u="1"/>
        <s v="711477 ALFA SUPPLY INC" u="1"/>
        <s v="734546 NUTRIVO LLC" u="1"/>
        <s v="14140 ALLSTATES WAREHOUSE AND DIST" u="1"/>
        <s v="721452 TROPICALE FOODS" u="1"/>
        <s v="721021 KEHE DISTRIBUTORS" u="1"/>
        <s v="703040 WESTERN CORRUGATED DESIGN" u="1"/>
        <s v="741612 POSITEC TOOL CORPORATION" u="1"/>
        <s v="706579 IMPACT FULFILLMENT" u="1"/>
        <s v="743640 DANT CLAYTON CORPORATION" u="1"/>
        <s v="734034 ESSENTIAL PACKAGING FOR CHEWY.COM (" u="1"/>
        <s v="731075 INTERACTIVE COMMUNICATIONS/ARC" u="1"/>
        <s v="732692 SOUTHERN SOURCE" u="1"/>
        <s v="740251 BTC WHOLESALE DISTRIBUTORS INC" u="1"/>
        <s v="90364 INTERNATIONAL PAPER COLUMBUS" u="1"/>
        <s v="10975 PRESTO PRODUCTS" u="1"/>
        <s v="747424 ASSOCIATED PKG FOR LASCO FITTINGS" u="1"/>
        <s v="731846 KORONA CANDLES INC" u="1"/>
        <s v="744503 MOUNTAINLAND SUPPLY CO" u="1"/>
        <s v="714468 ASSOCIATED PKG FOR VALUE ADDED RES" u="1"/>
        <s v="731985 MODESTO MILLING" u="1"/>
        <s v="34142 CELLULOSE MATERIAL SOLUTIONS" u="1"/>
        <s v="707601 JASCO PRODUCTS" u="1"/>
        <s v="745423 MAGIC TRANSPORT" u="1"/>
        <s v="742594 EGG WHITES INTERNATIONAL" u="1"/>
        <s v="84050 VIRGINIA POULTRY GROWERS COOPE" u="1"/>
        <s v="745821 COCA COLA" u="1"/>
        <s v="728484 ST FASTENING SYSTEMS" u="1"/>
        <s v="720062 YOSEMITE MEAT CO" u="1"/>
        <s v="734517 MURPHY DOOR" u="1"/>
        <s v="30705 LEVITON MANUFACTURING CO" u="1"/>
        <s v="703771 SIMPSON STRONG TIE CO" u="1"/>
        <s v="741923 WB PACKAGING CONSULTING LLC" u="1"/>
        <s v="90306 EXPRESS PACKAGING" u="1"/>
        <s v="26637 THE TRANZONIC COMPANIES" u="1"/>
        <s v="76280 NATIONAL PACKAGING CO INC" u="1"/>
        <s v="34924 BOWMAN FRUIT SALES" u="1"/>
        <s v="746321 NIFCO AMERICA CORPORATION" u="1"/>
        <s v="718585 PREMIER PACKAGING/ASSEMBLY" u="1"/>
        <s v="727758 PREMIO FOODS INC" u="1"/>
        <s v="741017 STOCKMANS SUPPLY LLC" u="1"/>
        <s v="741802 LASCO FITTINGS INC" u="1"/>
        <s v="727692 REMWOOD PRODUCTS" u="1"/>
        <s v="743952 QUAD R" u="1"/>
        <s v="749735 SEALING EQUIPMENT PRODUCTS CO" u="1"/>
        <s v="75542 THE THERMOS COMPANY" u="1"/>
        <s v="728878 MISTY MOUNTAIN WATER PLT" u="1"/>
        <s v="78636 INTERNATIONAL PAPER" u="1"/>
        <s v="740649 WINE.COM" u="1"/>
        <s v="7239 NEILL CARTAGE &amp; WAREHOUSE" u="1"/>
        <s v="744578 KING &amp; PRINCE - REDMOND WA" u="1"/>
        <s v="743228 DEMETECH CORP ML ANEXO" u="1"/>
        <s v="701624 ADP DISTRIBUTORS" u="1"/>
        <s v="704505 FRESH LEAF FARMS" u="1"/>
        <s v="738112 PALM TECHNOLOGY" u="1"/>
        <s v="739182 URBAN MINING PBC INC" u="1"/>
        <s v="741672 MID STATE WAREHOUSES INC" u="1"/>
        <s v="23361 CSM BAKERY PRODUCTS" u="1"/>
        <s v="740082 DOTERRA/ DNU" u="1"/>
        <s v="750405 LINEAGE LOGISTICS" u="1"/>
        <s v="750235 ASSOCIATED PKG FOR THE CONTAINER ST" u="1"/>
        <s v="729948 CARDINAL ABSORBENT COTTON" u="1"/>
        <s v="720515 MANITOWOC FOODSERVICE" u="1"/>
        <s v="710977 GOURMET CUISINE INC" u="1"/>
        <s v="721260 U B KLEM FURNITURE CO" u="1"/>
        <s v="736781 IFA DISTRIBUTION CENTER" u="1"/>
        <s v="741872 DRUM WORKSHOP INC" u="1"/>
        <s v="713531 HEMASOURCE TENNESSEE" u="1"/>
        <s v="750302 CENTRAL TEXAS FOOD BANK" u="1"/>
        <s v="739360 INTERNATIONAL PAPER" u="1"/>
        <s v="730648 PELTZ SHOES" u="1"/>
        <s v="746092 NASHVILLE WIRE" u="1"/>
        <s v="737731 OLE SMOKY DISTILLERY LLC" u="1"/>
        <s v="30486 BURLEY CLAY PRODUCTS" u="1"/>
        <s v="737197 FOUNDATION BUILDING MATERIALS" u="1"/>
        <s v="724144 HUHTAMAKI" u="1"/>
        <s v="729120 THE KINGSWOOD COMPANY" u="1"/>
        <s v="733842 WHIRLPOOL CORPORATION" u="1"/>
        <s v="714375 WINCUP INC" u="1"/>
        <s v="738698 TEMPUR PRODUCTION USA LLC" u="1"/>
        <s v="707985 JARRETT INC" u="1"/>
        <s v="733768 MS INTERNATIONAL- DNU" u="1"/>
        <s v="730231 PERFORMANCE CO" u="1"/>
        <s v="735870 UNITED PARCEL SERVICE INC" u="1"/>
        <s v="742992 ACCUTRAN INDUSTRIES" u="1"/>
        <s v="714362 ADVANCE AUTO" u="1"/>
        <s v="718989 ASSOCIATED PACKAGING INC" u="1"/>
        <s v="730099 TAG INC" u="1"/>
        <s v="710650 CRISPIN CIDER CO" u="1"/>
        <s v="719032 ADVANCE PIERRE FOODS" u="1"/>
        <s v="80228 CB FLEET" u="1"/>
        <s v="35519 GUNTER'S HONEY" u="1"/>
        <s v="743150 CRAIG SCHWARTZ" u="1"/>
        <s v="749832 CANDLE WARMERS" u="1"/>
        <s v="722553 EJ WELCH" u="1"/>
        <s v="43903 WHOLESOME HARVEST BAKING INC" u="1"/>
        <s v="733949 HAMPTON TEXTILE PRINTING INC" u="1"/>
        <s v="732762 LECLERC FOODS TENNESSEE" u="1"/>
        <s v="707761 AMERICAN AIR FILTER" u="1"/>
        <s v="733447 MODERE" u="1"/>
        <s v="716854 FEDERAL MOGUL" u="1"/>
        <s v="90562 MID STATE WAREHOUSE INC" u="1"/>
        <s v="90562 MID-STATE WAREHOUSE INC" u="1"/>
        <s v="739404 READERLINK DISTRIBUTION" u="1"/>
        <s v="84995 FIVE STAR CUSTOM FOODS" u="1"/>
        <s v="740452 KARRAN SINK" u="1"/>
        <s v="731138 RICH PRODUCTS" u="1"/>
        <s v="750100 ROYAL ADHESIVES &amp; SEALANTS" u="1"/>
        <s v="728833 NIPPON STEEL &amp; SUMKIN MATERIAL" u="1"/>
        <s v="26433 OCEANX LLC" u="1"/>
        <s v="734383 APC POSTAL LOGISTICS" u="1"/>
        <s v="743138 AAK USA KY" u="1"/>
        <s v="700667 TEMPERATSURE INC" u="1"/>
        <s v="738049 WINN MEAT" u="1"/>
        <s v="78267 MAGNETIC TICKET" u="1"/>
        <s v="729546 ASSOCIATED PKG FOR TROPICALE" u="1"/>
        <s v="75614 POLYONE CORP" u="1"/>
        <s v="84076 CROW WORKS" u="1"/>
        <s v="723335 TRANSGROUP WORLDWIDE LOGISTICS" u="1"/>
        <s v="739752 AUNT MILLIES" u="1"/>
        <s v="705219 WINCUP PLASTICS" u="1"/>
        <s v="739356 LEVITON MFG CO INC" u="1"/>
        <s v="742740 MS INTERNATIONAL INC" u="1"/>
        <s v="738531 NELLSON NUTRACEUTICAL" u="1"/>
        <s v="708734 CLARCOR AIR" u="1"/>
        <s v="744380 ELEMENT KOMBUCHA" u="1"/>
        <s v="728225 RED BARN PET PRODUCTS" u="1"/>
        <s v="10994 CAPTIVE PLASTICS LLC" u="1"/>
        <s v=" " u="1"/>
        <s v="745379 UNITED ARMOUR PRODUCTS" u="1"/>
        <s v="707406 ASSOCIATED PACKAGING INC--OKC" u="1"/>
        <s v="719041 JJ WHITE PRODUCTS" u="1"/>
        <s v="721782 LEGION FURNITURE" u="1"/>
        <s v="720614 TEXAS FOOD SOLUTIONS" u="1"/>
        <s v="750100 HB FULLER" u="1"/>
        <s v="77803 RAINBOW GOLD PRODUCTS" u="1"/>
        <s v="708008 MERCHANTS GROCERY COMPANY" u="1"/>
        <s v="745526 DELCO FOODS" u="1"/>
        <s v="740807 ICONEX" u="1"/>
        <s v="739744 DELFIELD CO" u="1"/>
        <s v="748057 MALOUF" u="1"/>
        <s v="18653 KIK VIRGINIA INC" u="1"/>
        <s v="729511 MARY ANNS BAKING COMP" u="1"/>
        <s v="740243 CHEWY.COM CLT" u="1"/>
        <s v="714320 GAP INC" u="1"/>
        <s v="714221 BEALLS TERRACE DC WEST" u="1"/>
        <s v="730860 BUCKEYE FRESH" u="1"/>
        <s v="719339 EXPRESS PACKAGING" u="1"/>
        <s v="75704 MISSION FOODS" u="1"/>
        <s v="77003 OMEGA MOTION" u="1"/>
        <s v="741475 AERUS LLC" u="1"/>
        <s v="727775 FRIO DISTRIBUTORS" u="1"/>
        <s v="78084 PEAVEY ELECTRONICS CORP" u="1"/>
        <s v="719838 CCL LABELS" u="1"/>
        <s v="728723 SHAH DISTRIBUTORS" u="1"/>
        <s v="734172 MRS FIELDS GIFTS" u="1"/>
        <s v="706458 DIXIE PULP &amp; PAPER WAREHOUSE" u="1"/>
        <s v="33769 BERRY GLOBAL INC/ROLLPAK CORP" u="1"/>
        <s v="732947 BASSETT FURNITURE" u="1"/>
        <s v="742027 ASSOCIATED PKG FOR NDS" u="1"/>
        <s v="750274 PERISHABLE SHIPPING SOLUTIONS LLC" u="1"/>
        <s v="737366 GREAT LAKES COLD STORAGE" u="1"/>
        <s v="734096 IMPACT INNOVATIONS" u="1"/>
        <s v="706725 NATIONAL DISTRIBUTING CO" u="1"/>
        <s v="44177 WHITE CASTLE" u="1"/>
        <s v="717731 ASSOCIATED PKG FOR ADVANCE AUTO" u="1"/>
        <s v="731049 HOLOGIC" u="1"/>
        <s v="717260 GAP" u="1"/>
        <s v="735293 AMERICAN CRAFTS" u="1"/>
        <s v="746331 QUALITY GOLD" u="1"/>
        <s v="741790 UNITED PARCEL SERVICE" u="1"/>
        <s v="705762 G4C MATERIAL OPERATIONS" u="1"/>
        <s v="705762 GRC MATERIAL OPERATIONS" u="1"/>
        <s v="746248 AMERIQUAL" u="1"/>
        <s v="745150 VICTOR PACKING INC" u="1"/>
        <s v="732565 SUPERIOR VALUT CO" u="1"/>
        <s v="728064 ADVANCE AUTO" u="1"/>
        <s v="741921 LM WIRELESS/BOHM TECHNOLGIES" u="1"/>
        <s v="739933 ASSOCIATED PKG FOR KRAFT" u="1"/>
        <s v="728841 ELIZABETH ARDEN ASSEMBLY" u="1"/>
        <s v="739961 SINOMAX USA" u="1"/>
        <s v="740067 SUNSOF CORP" u="1"/>
        <s v="737669 CHEWY.COM PHX - SHURSEAL PARTS/TP H" u="1"/>
        <s v="737684 CHEWY.COM AVP - SHURSEAL PARTS/TP H" u="1"/>
        <s v="729835 COATS &amp; CLARK" u="1"/>
        <s v="720267 PICTSWEET FOR SHURSEAL ONLY" u="1"/>
        <s v="706181 TAB INDEX INC." u="1"/>
        <s v="17548 SPEAR USA (TN)" u="1"/>
        <s v="724278 PCA NAMPA PACKAGING" u="1"/>
        <s v="713334 POLYAIR CORP" u="1"/>
        <s v="739845 AMIGOS FOODS" u="1"/>
        <s v="711526 SMUCKERS" u="1"/>
        <s v="45241 MECTRA LABS INC" u="1"/>
        <s v="722965 FRESH LEAF FARMS LLC" u="1"/>
        <s v="750184 RIVERBEND SPORTS COMPLEX" u="1"/>
        <s v="743527 HOMEGOODS" u="1"/>
        <s v="739914 Q TRADE TEAS &amp; HERBS" u="1"/>
        <s v="705187 DAISY BRAND" u="1"/>
        <s v="741358 TOWER SEALANTS" u="1"/>
        <s v="713754 ENLINX" u="1"/>
        <s v="733299 EDSAL SANDUSKY" u="1"/>
        <s v="718760 ASAP FREIGHT INC" u="1"/>
        <s v="718383 VIJON" u="1"/>
        <s v="744161 AXEL ROYAL LLC SCHERTZ" u="1"/>
        <s v="22080 QUALITY BAKERY" u="1"/>
        <s v="722169 ASAP LOGISTICS-PICTSWEET" u="1"/>
        <s v="741553 FIVE STAR GOURMET" u="1"/>
        <s v="92062 REGIS" u="1"/>
        <s v="730265 ASSOCIATED PKG FOR TROPICALE" u="1"/>
        <s v="745518 ASSOCIATED PACKAGING FOR ICONEX" u="1"/>
        <s v="746234 REDWOOD MATERIALS" u="1"/>
        <s v="716821 TRI-DIM LAS VEGAS MFG" u="1"/>
        <s v="745017 KEHE DISTRIBUTION" u="1"/>
        <s v="731950 STUDIES WEEKLY" u="1"/>
        <s v="704147 BERRY PLASTICS CORP/AEP" u="1"/>
        <s v="742687 ASSOCIATED PACKAGING FOR CHEWY.COM" u="1"/>
        <s v="739931 CHEWY PHARMACY LLC SDF1" u="1"/>
        <s v="731137 SOUTHEASTERN WIRE FABRICATOR" u="1"/>
        <s v="735794 THE LEVEREDGE" u="1"/>
        <s v="731464 LASCO" u="1"/>
        <s v="740334 ASSOCIATED PKG FOR HONEYVILLE" u="1"/>
        <s v="737869 ASSOCIATED PKG FOR KATZ AMERICAS" u="1"/>
        <s v="748218 DL &amp; B ENTERPRISES" u="1"/>
        <s v="734643 BORDEAUX" u="1"/>
        <s v="738275 JMW INDUSTRIES" u="1"/>
        <s v="45174 TRI-DIM FILTER CORP" u="1"/>
        <s v="728791 MOBILE SOLVENT &amp; SUPPLY" u="1"/>
        <s v="709134 PICTSWEET" u="1"/>
        <s v="731791 R &amp; S LOGISTICS" u="1"/>
        <s v="722553 GILFORD FLOORING LLC" u="1"/>
        <s v="708554 COLOR IMAGE" u="1"/>
        <s v="743364 ATLAS COFFEE CLUB" u="1"/>
        <s v="724310 SAM TUCKER LLC" u="1"/>
        <s v="742729 WATERLOGIC COMMERICAL PRODUCTS" u="1"/>
        <s v="738328 HUISH OUTDOORS LLC" u="1"/>
        <s v="708945 MEGA SUPPLY" u="1"/>
        <s v="736692 ASAP FREIGHT FOR HEMASOURCE" u="1"/>
        <s v="742488 DERBY INDUSTRIES" u="1"/>
        <s v="737606 FLOORTEX" u="1"/>
        <s v="701623 MATRIX DRILLING PRODUCTS INC" u="1"/>
        <s v="700523 IF LAGRANGE OFFICE" u="1"/>
        <s v="730704 JM SMUCKERS COMPANY" u="1"/>
        <s v="735691 BMP USA" u="1"/>
        <s v="735595 PROTEIN RESEARCH" u="1"/>
        <s v="33882 COASTAL WIRE COMPANY" u="1"/>
        <s v="719282 ASSOCIATED PKG FOR ATRIUM" u="1"/>
        <s v="722602 PRO MARINE INC" u="1"/>
        <s v="748509 AUNT MILLIES" u="1"/>
        <s v="733915 CHEWY.COM (EFC)" u="1"/>
        <s v="739391 CAROLINA CONTAINER COMPANY" u="1"/>
        <s v="736767 C &amp; F FOODS" u="1"/>
        <s v="742304 MSI - SEA JET WAREHOUSE" u="1"/>
        <s v="705529 BRENTWOOD ORIGINALS" u="1"/>
        <s v="46336 TECUMSEH PRODUCTS CO" u="1"/>
        <s v="736140 ICONEX" u="1"/>
        <s v="748195 ARCHWAY MARKETING" u="1"/>
        <s v="748197 LUX BAKERY INC" u="1"/>
        <s v="730371 DHL" u="1"/>
        <s v="703726 ROCK TENN MERCHANDISING DISPLAY" u="1"/>
        <s v="716824 ASSOCIATED PKG FOR S &amp; S FOODS INC" u="1"/>
        <s v="734102 AMERICAN LIFE BAKING GROUP" u="1"/>
        <s v="724377 TAYLOR COMMUNICATIONS" u="1"/>
        <s v="728236 EMPIRE FOODS" u="1"/>
        <s v="730395 ALABAMA COMPOUNDS LLC" u="1"/>
        <s v="734065 ALL STATES WAREHOUSING &amp; DIST (WFC)" u="1"/>
        <s v="740050 SKF POLYSEAL" u="1"/>
        <s v="46553 FRUIT FILLINGS INC" u="1"/>
        <s v="742668 FLANDERS FILTERS" u="1"/>
        <s v="737731 OLE SMOKEY DISTILLERY LLC" u="1"/>
        <s v="26445 RIVIANA FOODS INC" u="1"/>
        <s v="737481 BERRY GLOBAL" u="1"/>
        <s v="742829 MISSION RESTAURANTS SUPPLY" u="1"/>
        <s v="736439 KING AND PRINCE SEAFOOD" u="1"/>
        <s v="737258 WESTROCK MERCHANDISING DISPLAY" u="1"/>
        <s v="739436 BERRY GLOBAL" u="1"/>
        <s v="743745 PGH SERVICES LLC" u="1"/>
        <s v="730762 ASSOCIATED PACKAGING FOR FAMOUS FOO" u="1"/>
        <s v="743394 TC'S PALLET LIQUIDATION" u="1"/>
        <s v="44202 TENAX MFG AL LLC DO NOT USE" u="1"/>
        <s v="12094 STILL TRANSFER COMPANY" u="1"/>
        <s v="79021 JOHN MANVILLE DO NOT USE" u="1"/>
        <s v="731018 CRESTONE GROUP LLC" u="1"/>
        <s v="733990 MADBROOK DONUT COMPANY" u="1"/>
        <s v="729372 24 SEVEN ENTERPRISES" u="1"/>
        <s v="708770 ASSOCIATED PKG FOR CLARCOR" u="1"/>
        <s v="736598 KEHE DISTRIBUTORS" u="1"/>
        <s v="707968 COCA COLA/CHARLOTTE SPC" u="1"/>
        <s v="718138 REPUBLIC NATIONAL" u="1"/>
        <s v="728482 TAYLOR COMMUNICATIONS" u="1"/>
        <s v="704438 THERMOS LLC" u="1"/>
        <s v="92322 PINNACLE FILMS INC" u="1"/>
        <s v="741018 CHEWY INC" u="1"/>
        <s v="734643 NASHVILLE WIRE PRODUCTS" u="1"/>
        <s v="740206 YELLOWBIRD FOODS" u="1"/>
        <s v="722517 GULF ISLAND SHRIMP SEATANT PLA" u="1"/>
        <s v="79547 INDY BAKERY STOREROOM" u="1"/>
        <s v="33210 T MARZETTI COMPANY" u="1"/>
        <s v="46133 NSI INDUSTRIES INC" u="1"/>
        <s v="750475 BLUE RIDGE KNIVES" u="1"/>
        <s v="742308 SOUTH CENTRAL POLYMERS" u="1"/>
        <s v="723881 WALLE CORPORATION" u="1"/>
        <s v="744567 READERLINK DISTRIBUTION" u="1"/>
        <s v="740080 SPECIALIZED BICYCLE COMPONENTS" u="1"/>
        <s v="740351 LANDMARK CERAMICS" u="1"/>
        <s v="84626 HEMASOURCE" u="1"/>
        <s v="39312 MANUEL'S FINE FOOD" u="1"/>
        <s v="32452 ALABAMA COMPOUNDS LLC" u="1"/>
        <s v="733287 MCCONNELLS FINE ICE CREAMS" u="1"/>
        <s v="748402 APFFELS COFFEE" u="1"/>
        <s v="90343 FISKARS BRANDS" u="1"/>
        <s v="719705 LANSHIRE MANUFACTURING FACILITY - A" u="1"/>
        <s v="733507 CHEWY.COM LLC" u="1"/>
        <s v="721176 AMERICAN AIR FILTER" u="1"/>
        <s v="734921 THE COMPLETE LOGISTICS FOR CHEWY (P" u="1"/>
        <s v="32452 MAGNUM PRODUCTS" u="1"/>
        <s v="734279 XLEAR" u="1"/>
        <s v="701783 WM T BURNETT" u="1"/>
        <s v="744963 THERMACELL REPELLENTS INC" u="1"/>
        <s v="75269 EDSAL SANDUSKY" u="1"/>
        <s v="742272 CHEWY (AVP2)" u="1"/>
        <s v="732601 PLAZE GEORGIA" u="1"/>
        <s v="738534 HRP DISTRIBUTION INC" u="1"/>
        <s v="728331 ASSOCIATED PKG FOR PREMIO FOOD" u="1"/>
        <s v="722329 QUALITY PACKAGING" u="1"/>
        <s v="733432 B2B DISTRIBUTOR PORTAL GENERIC SHIP" u="1"/>
        <s v="716808 SPS" u="1"/>
        <s v="750530 PROXIMO DISTILLERS, LLC" u="1"/>
        <s v="734034 ESSENTIAL PACKAGING FOR CHEWY.COM" u="1"/>
        <s v="33179 FOLSOM OF FLORIDA" u="1"/>
        <s v="727821 EVERKRISP VEGETABLES INC" u="1"/>
        <s v="742253 COUNTRY FRESH FOODS" u="1"/>
        <s v="724072 T MARZETTI - QUALITY BAKERY/DNU" u="1"/>
        <s v="731358 RBW LOGISTICS" u="1"/>
        <s v="748377 ASSOCIATED FOR BISTRO" u="1"/>
        <s v="737044 FSC VERIZON IN" u="1"/>
        <s v="75696 ACCO" u="1"/>
        <s v="740108 PORTOBELLO AMERICA" u="1"/>
        <s v="735625 NIBCO" u="1"/>
        <s v="748199 ASSOCIATED FOR AUNT MILLIES" u="1"/>
        <s v="704061 ROYAL BUILDING PRODUCTS" u="1"/>
        <s v="729723 ASHEVILLE KOMBUCHA MAMAS LLC" u="1"/>
        <s v="86562 MELITTA NORTH AMERICA" u="1"/>
        <s v="737277 PILCHER MCCALLISTER (MOTO ARMOR)" u="1"/>
        <s v="736828 ICONEX" u="1"/>
        <s v="86071 GOLDEN STATE FOODS CORP" u="1"/>
        <s v="700884 COCA COLA USA" u="1"/>
        <s v="723423 PANASONIC ENERGY CORP/LITHIUM BATTE" u="1"/>
        <s v="701107 LETICA CORPORATION - 2TN" u="1"/>
        <s v="736089 AQUATHERM" u="1"/>
        <s v="742357 OLE SMOKEY DISTILLERY LLC" u="1"/>
        <s v="744173 HITOUCH BUSINESS SERVICES" u="1"/>
        <s v="713838 GAP, IN" u="1"/>
        <s v="716715 CHEWY.COM" u="1"/>
        <s v="14337 UNITED SOLUTIONS" u="1"/>
        <s v="701642 PASCOR ATLANTIC" u="1"/>
        <s v="724072 T MARZETTI - QUALITY BAKERY" u="1"/>
        <s v="35865 LQM - OLE' MEXICAN FOODS" u="1"/>
        <s v="739930 CHEWY PHARMACY LLCSDF4" u="1"/>
        <s v="749322 ERC WIPING PRODUCT" u="1"/>
        <s v="720515 KOLPAK REFRIGERATION" u="1"/>
        <s v="734899 SCHLESSMAN FEED COMPANY" u="1"/>
        <s v="742815 KEHE MCCOOK" u="1"/>
        <s v="706578 HARTLEY PRESS" u="1"/>
        <s v="718997 ASSOCIATED PKG FOR ADVANCE PIERRE F" u="1"/>
        <s v="728059 LIFE INDUSTRIES CORPORATION" u="1"/>
        <s v="705793 HIGHLAND PACKAGING SOLUTIONS" u="1"/>
        <s v="749412 ROBERT FERRY NUT COMPANY" u="1"/>
        <s v="750165 TPI CORPORATION" u="1"/>
        <s v="740777 ANTHEM SOUTH" u="1"/>
        <s v="89549 PREMIER BEVERAGE" u="1"/>
        <s v="78156 TRI-DIM FILTER CORP" u="1"/>
        <s v="739877 KENTUCKY MOVING AND STORAGE" u="1"/>
        <s v="84206 SEAL AFTERMARKET PRODUCTS LLC" u="1"/>
        <s v="731352 FXI TUPELO" u="1"/>
        <s v="735165 ALLSTATES WAREHOUSE" u="1"/>
        <s v="733166 ALLTECH" u="1"/>
        <s v="78722 PAUL HOGE CREATIONS INC" u="1"/>
        <s v="734044 LEHIGH VALLEY LOGISTICS" u="1"/>
        <s v="32327 CONCEPT PACKAGING" u="1"/>
        <s v="704588 CORNERSTONE BAKING" u="1"/>
        <s v="740247 TELLUS PRODUCTS" u="1"/>
        <s v="733207 AT &amp; T MDC" u="1"/>
        <s v="714666 CLARCOR AIR FILTRATION PRODUCT" u="1"/>
        <s v="11018 ADVANCE AUTO PARTS" u="1"/>
        <s v="46554 SUN VALLEY RAISINS INC" u="1"/>
        <s v="729447 PFIZER INC" u="1"/>
        <s v="706272 COOPER FARMS PROCESSING" u="1"/>
        <s v="79021 JOHN MANVILLE" u="1"/>
        <s v="26392 LAKEWAY CONTAINERS INC" u="1"/>
        <s v="742821 CENCAL FOODS INC" u="1"/>
        <s v="734689 PLOW AND HEARTH" u="1"/>
        <s v="742721 SEA BISCUIT GROUP INC" u="1"/>
        <s v="728947 TAYLOR COMMUNICATIONS" u="1"/>
        <s v="9724 STONECROP TECHNOLOGIES LLC" u="1"/>
        <s v="749392 AUTOMATED DESIGNS" u="1"/>
        <s v="745571 WILKESBORO FOOD SRVC PROC" u="1"/>
        <s v="737477 ORIGINAL FOOTWEAR" u="1"/>
        <s v="736275 METALMAX ROOFING AND SIDING" u="1"/>
        <s v="747928 PACE BUTLER CORP" u="1"/>
        <s v="736562 CHASE CORPORATION" u="1"/>
        <s v="729539 GORDON FOOD SERVICE" u="1"/>
        <s v="15990 WAREHOUSE AND FULFILLMENT SPEC" u="1"/>
        <s v="728609 HARLAN BAKERIES" u="1"/>
        <s v="717592 WEGMANN AUTOMOTIVE" u="1"/>
        <s v="741503 DIRECT MAIL SOLUTIONS" u="1"/>
        <s v="732549 FANTASY COOKIE COMPANY" u="1"/>
        <s v="91982 GLAXCO SMITH &amp; KLINE" u="1"/>
        <s v="735446 PAWSTRUCK" u="1"/>
        <s v="701604 C &amp; F FOODS" u="1"/>
        <s v="736086 LEVITION MFG CO INC" u="1"/>
        <s v="724252 BLACK BEAR FOR READER LINK DIST" u="1"/>
        <s v="745731 SIGN INC" u="1"/>
        <s v="721740 T MARZETTI" u="1"/>
        <s v="716863 ORIGINAL FOOTWEAR COMPANY" u="1"/>
        <s v="75217 S&amp;B PACKAGING INC" u="1"/>
        <s v="738752 LABEL PRINTING SYSTEMS INC" u="1"/>
        <s v="732540 MARTY CAPOCCIA" u="1"/>
        <s v="739498 BROWNLEE LIGHTING" u="1"/>
        <s v="737851 AE SANTOS LC" u="1"/>
        <s v="746120 PARK 100 FOODS INC" u="1"/>
        <s v="735347 ADVANCE AUTO" u="1"/>
        <s v="736375 MID STATE WAREHOUSE" u="1"/>
        <s v="731841 COLDSTAR INTERNATIONAL" u="1"/>
        <s v="718369 SOUTHEASTERN ALUMINUM" u="1"/>
        <s v="743445 VECTOR INDUSTRIES INC" u="1"/>
        <s v="736595 MID STATE WHS FOR RICH PRODUCTS" u="1"/>
        <s v="744135 SON BEVERAGE COMPANY" u="1"/>
        <s v="717500 MITEK" u="1"/>
        <s v="731434 BE GREEN PACKAGING" u="1"/>
        <s v="721488 W S BADCOCK LAGRANGE DIST" u="1"/>
        <s v="749922 INDUSTRIAL AXLE COMPANY LLC" u="1"/>
        <s v="721850 CALIBER PACKAGING" u="1"/>
        <s v="736930 CONCOURSE TEAM EXPRESS LLC" u="1"/>
        <s v="734004 ASSOCAITED PKG FOR PRECISION CONT" u="1"/>
        <s v="734004 ASSOCIATED PKG FOR PRECISION CONT" u="1"/>
        <s v="733768 MS INTERNATIONAL" u="1"/>
        <s v="714442 THE DELFIELD COMPANY LLC" u="1"/>
        <s v="718490 INTERNATIONAL PAPER" u="1"/>
        <s v="740835 MASTERSONS FOOD &amp; DRINK INC" u="1"/>
        <s v="744073 BABYNOV" u="1"/>
        <s v="734449 IT RENEW INC" u="1"/>
        <s v="731235 C A L RANCH" u="1"/>
        <s v="743324 SILVER CREEK LEATHER" u="1"/>
        <s v="730380 TRUE FRESH" u="1"/>
        <s v="704610 HOERNER BOXES INC" u="1"/>
        <s v="749864 STILES IMPRESSIONS LLC" u="1"/>
        <s v="742307 ASSOCIATED PKG FOR FIVE STAR" u="1"/>
        <s v="713018 STERLING MFG &amp; REWORKS" u="1"/>
        <s v="741010 COOPER TIRE AND RUBBER COMPANY" u="1"/>
        <s v="724310 ELUXURY LLC" u="1"/>
        <s v="737447 FISHER AUTO PARTS INC" u="1"/>
        <s v="33839 SPORTS ACADEMY BIRMINGHAM" u="1"/>
        <s v="729632 MONTAPLAST OF NORTH AMERICA INC" u="1"/>
        <s v="742305 GULF COAST DISTILLERS" u="1"/>
        <s v="730300 MISSION FOODS" u="1"/>
        <s v="733911 CHEWY.COM (WFC)" u="1"/>
        <s v="724119 K LINE INDUSTRIES" u="1"/>
        <s v="748155 BISTRO MD, LLC" u="1"/>
        <s v="745838 GREATER BATON ROUGE FOOD BANK" u="1"/>
        <s v="750226 PATIENTS CHOICE LABORATORIES" u="1"/>
        <s v="746033 KEHE DIRTIBUTORS LLC" u="1"/>
        <s v="731625 ESSENTIAL PACKAGING" u="1"/>
        <s v="704154 WELLS FARGO" u="1"/>
        <s v="733675 ESSENTIAL PACKAGING" u="1"/>
        <s v="39260 DXL 3PL" u="1"/>
        <s v="731323 R &amp; S LOGISTICS FOR KATZ AMERICA" u="1"/>
        <s v="711554 SOUTHEASTERN ALUMINUM" u="1"/>
        <s v="734232 CIGAR DISTRIBUTORS" u="1"/>
        <s v="745063 HUFFY CORPORATION" u="1"/>
        <s v="33670 HILEX POLY COMPANY" u="1"/>
        <s v="742833 USA GUNDAM STORE" u="1"/>
        <s v="14526 COLOR IMAGE" u="1"/>
        <s v="736246 QUALITY PACKAGING" u="1"/>
        <s v="733143 ASSOCIATED PKG FOR TJ MAX" u="1"/>
        <s v="744806 IMEX GLOBAL SOLUTIONS" u="1"/>
        <s v="19874 WE PACK LOGISTICS" u="1"/>
        <s v="732764 AMERIQUAL PACKAGING" u="1"/>
        <s v="731558 HERITAGE RENEWABLE TECHNOLOGIES" u="1"/>
        <s v="740402 ICONEX LLC" u="1"/>
        <s v="735844 COSTEX CORPORTATION" u="1"/>
        <s v="710564 PENSKE LOGISTICS" u="1"/>
        <s v="731290 JIM HAYES" u="1"/>
        <s v="730604 ADVANCE AUTO" u="1"/>
        <s v="745395 SINOMAX - PHOENIX" u="1"/>
        <s v="743310 REDI SHADE" u="1"/>
        <s v="741596 MATRIX DRILLING WEST" u="1"/>
        <s v="723225 RMC-OWEN FARM" u="1"/>
        <s v="714657 STARWEST BOTANICALS INC" u="1"/>
        <s v="732204 STONECROP TECHNOLOGIES LLC" u="1"/>
        <s v="722109 KECO" u="1"/>
        <s v="46593 PEAVEY CORP" u="1"/>
        <s v="749298 MAPLEHURST BAKERIES" u="1"/>
        <s v="737197 SPECIALTY PRODUCTS &amp; INSULATION" u="1"/>
        <s v="708775 ASSOCIATED PKG FOR IMPACT" u="1"/>
        <s v="745267 MS INTERNATIONAL" u="1"/>
        <s v="740082 DOTERRA" u="1"/>
        <s v="739521 24 SEVEN ENTERPRISES" u="1"/>
        <s v="735420 S &amp; S PACKAGING" u="1"/>
        <s v="745165 PROXIMO DISTILLERS" u="1"/>
        <s v="749394 GOLD RIVER ORCHARDS" u="1"/>
        <s v="745411 OLE SMOKY DISTILLERY" u="1"/>
        <s v="707575 KRAFT FOODS INC-CORNNUTS" u="1"/>
        <s v="80388 PICTSWEET FROZEN FOODS" u="1"/>
        <s v="728628 INTERACTIVE COMMUNICATIONS" u="1"/>
        <s v="736066 POLYFORM" u="1"/>
        <s v="741568 SINOMAX EAST" u="1"/>
        <s v="719548 CSM BAKERY PRODUCTS NA" u="1"/>
        <s v="76523 PARIS FOODS CORP" u="1"/>
        <s v="11024 SPEAR USA (TN)" u="1"/>
        <s v="718760 ASAP LOGISTICS" u="1"/>
        <s v="38643 COLOR IMAGE" u="1"/>
        <s v="734816 ASAP FREIGHT INC FOR REGIS" u="1"/>
        <s v="706285 CHATTANOOGA BOX" u="1"/>
        <s v="723462 CADECO INDUSTRIES" u="1"/>
        <s v="745179 BUCKHEAD MEATS OF DALLAS" u="1"/>
        <s v="735237 ASHEVILLE KOMBUCHA MAMAS" u="1"/>
        <s v="724379 CLARK AND SONS ORBITAL" u="1"/>
        <s v="717678 BRAIFORM" u="1"/>
        <s v="723462 CRANE WORLDWIDE LOGISTICS" u="1"/>
        <s v="743843 BRAUMS ICE CREAM" u="1"/>
        <s v="704416 MACHINE TOOL AND SUPPLY" u="1"/>
        <s v="36402 MANUELS FINE FOODS WOODS CROSS" u="1"/>
        <s v="740267 CLARCOR AIR FILTRATION PRODUCTS" u="1"/>
        <s v="733143 ASSOCIATED PKG MEMPHIS FOR TJ MAX" u="1"/>
        <s v="79685 LINEAGE LOGISTICS" u="1"/>
        <s v="39260 VALUE ADDED RESOURCES" u="1"/>
        <s v="735795 CUSTOM ENGINEERED WHEELS" u="1"/>
        <s v="731097 BE GREEN PACKAGING C/O AL ROBERTSON" u="1"/>
        <s v="746582 PORTOBELLO AMERICA INC" u="1"/>
        <s v="750413 FILTERBUY UTAH" u="1"/>
        <s v="741262 KURT SWENSEN" u="1"/>
        <s v="708617 ASSOCIATED PACKAGING INC" u="1"/>
        <s v="708669 ASSOCIATED PACKAGING INC" u="1"/>
        <s v="741317 PACTIV CORP" u="1"/>
        <s v="712921 INTERNATIONAL PAPER" u="1"/>
        <s v="734109 THE CHANGE COMPANIES" u="1"/>
        <s v="19394 ADVANCE AUTO PARTS" u="1"/>
        <s v="733315 NIBCO GOSHEN PLANT" u="1"/>
        <s v="710103 CHEAHA CONSTRUCTION LLC" u="1"/>
        <s v="734029 ASSOCIATED PKG FOR CHEWY.COM" u="1"/>
        <s v="734030 ASSOCIATED PKG FOR CHEWY.COM" u="1"/>
        <s v="734031 ASSOCIATED PKG FOR CHEWY.COM" u="1"/>
        <s v="732321 THYSENKRUPP ELEVATOR" u="1"/>
        <s v="723028 GOLDEN STATE FOODS" u="1"/>
        <s v="736084 GREAT KITCHENS" u="1"/>
        <s v="722856 CARO NUT COMPANY" u="1"/>
        <s v="728480 PELTZ SHOES" u="1"/>
        <s v="6178 REGISTRY STEAK AND SEAFOOD" u="1"/>
        <s v="76277 INNOVATIVE MOLDING INC" u="1"/>
        <s v="736392 MATERIAL HANDLING &amp; RECYCLING" u="1"/>
        <s v="727981 ASSOCIATED PKG FOR COVERCRAFT" u="1"/>
        <s v="731696 OLD TIME POTTERY DISTRIBUTION" u="1"/>
        <s v="718138 RNDC DEERFIELD BEACH" u="1"/>
        <s v="75669 CEPHEID" u="1"/>
        <s v="733452 SHEPHERD SPECIALTY PAPERS" u="1"/>
        <s v="716792 ADAMA US" u="1"/>
        <s v="743647 CHEWY.COM (MDT)" u="1"/>
        <s v="733291 DAVITA LABS" u="1"/>
        <s v="741408 ASSOCIATED PKG FOR WINESHIPPING.COM" u="1"/>
        <s v="745412 BRIGHTSTAR" u="1"/>
        <s v="733846 ASSOCIATED PKG FOR TRUE FRESH" u="1"/>
        <s v="721850 QPAC INC" u="1"/>
        <s v="36179 FABRICO ATLANTA" u="1"/>
        <s v="700507 INDY BAKERY STOREROOM" u="1"/>
        <s v="750572 ATKINSON CANDY" u="1"/>
        <s v="720159 SUNSOF CORP" u="1"/>
        <s v="737350 MS INTERNATIONAL INC" u="1"/>
        <s v="718312 LATHAM POOL PRODUCTS" u="1"/>
        <s v="734113 PASSPORT FOODS" u="1"/>
        <s v="731422 ARBORWEAR" u="1"/>
        <s v="722976 EDGE ADHESIVES - OH" u="1"/>
        <s v="719584 SUNSHINE BOUQUET COMPANY" u="1"/>
        <s v="17548 SPEAR USA (TN)/ DNU" u="1"/>
        <s v="742533 MIDWESTERN PET FOOD" u="1"/>
        <s v="734689 PLOW AND HARTH" u="1"/>
        <s v="729644 BONDED LOGIC INC" u="1"/>
        <s v="734297 METALMAX LLC" u="1"/>
        <s v="13438 C &amp; F FOODS" u="1"/>
        <s v="701550 ORBIS CORPORATION" u="1"/>
        <s v="710892 NUSKIN" u="1"/>
        <s v="35554 BASSETT FURNITURE" u="1"/>
        <s v="719942 BRAIFORM" u="1"/>
        <s v="717670 CONAGRA FOODS LAMB WESTON" u="1"/>
        <s v="44237 GOLDEN STATE FOODS CORP" u="1"/>
        <s v="46450 BEMIS" u="1"/>
        <s v="38209 CHATTANOOGA BOX" u="1"/>
        <s v="702981 QUEST PHARMACEUTICALS" u="1"/>
        <s v="711504 DOUBLE ENVELOPE CORP" u="1"/>
        <s v="35865 LQM" u="1"/>
        <s v="17166 DOUBLE ENVELOPE CORP" u="1"/>
        <s v="731407 TRI-COUNTY INDUSTRIES" u="1"/>
        <s v="717794 ADVANTAGE UTAH" u="1"/>
        <s v="730658 UTOPIA" u="1"/>
        <s v="732643 COVENANT COMMUNICATIONS" u="1"/>
        <s v="706619 KRAFT GLOBAL INC" u="1"/>
        <s v="733431 B2B DISTRIBUTOR PORTAL ONE TIME SHI" u="1"/>
        <s v="723484 DUNFORD BAKERS" u="1"/>
        <s v="729030 CULINARY BRANDS INC" u="1"/>
        <s v="719159 ASSOCIATED PACKAGING INC" u="1"/>
        <s v="741058 ADP DISTRIBUTORS" u="1"/>
        <s v="740156 LECLERC FOODS" u="1"/>
        <s v="742367 TAYLOR COMMUNICATIONS" u="1"/>
        <s v="713176 ASSOCIATED PKG FOR CLARCOR AGMT # 2" u="1"/>
        <s v="733485 PERO FAMILY FARMS" u="1"/>
        <s v="748582 EMPIRE NUT" u="1"/>
        <s v="80993 OPTIMUM TECHNOLOGIES INC" u="1"/>
        <s v="733222 ASSOCIATED PKG FOR PHARMAVITE" u="1"/>
        <s v="739593 FARMER BROTHERS COFFEE" u="1"/>
        <s v="16672 TAP PACKAGING AND DESIGN" u="1"/>
        <s v="717940 CEPHEID RK LOGISTICS GROUP" u="1"/>
        <s v="719432 HICKMAN BAG AND LABEL" u="1"/>
        <s v="732219 CARDINAL HEALTH" u="1"/>
        <s v="737289 HBC LEBANON" u="1"/>
        <s v="737907 MCGRAPHICS INC" u="1"/>
        <s v="731113 CLARCOR AIR FILTRATION PRODUCT" u="1"/>
        <s v="83797 PFIZER INC" u="1"/>
        <s v="739530 STRONG SPIRITS INC" u="1"/>
        <s v="730798 COVENANT COMMUNICATIONS" u="1"/>
        <s v="720025 COLONIAL PARTNERS PRINTING" u="1"/>
        <s v="84003 AMERICAN AIR FILTER" u="1"/>
        <s v="723421 FEDERATED CO MAN WAREHOUSE" u="1"/>
        <s v="722075 SHARPYS FOOD SERVICE" u="1"/>
        <s v="711033 R J  REYNOLDS TOBACCOVILLE MFG" u="1"/>
        <s v="700942 KUHN NORTH AMERICA" u="1"/>
        <s v="744981 WE PACK" u="1"/>
        <s v="732125 RELIANCE WORLDWIDE CORPORATION" u="1"/>
        <s v="737804 CORNELL UNIVERSITY" u="1"/>
        <s v="728135 LONESTAR PLASTICS INC PRATTVILLE PL" u="1"/>
        <s v="728128 FW WAREHOUSING" u="1"/>
        <s v="732764 AMERIQUAL PACKA/DO NOT USE" u="1"/>
        <s v="739308 INTEGRATED DISTRIBUTION SERVICE" u="1"/>
        <s v="78238 DARBY DENTAL SUPPLY LLC" u="1"/>
        <s v="748129 ZF ACTIVE SAFETY US INC" u="1"/>
        <s v="731131 BUDGE INDUSTRIES LLC" u="1"/>
        <s v="735341 SOUTHERN SOURCE" u="1"/>
        <s v="713161 ASSOCIATED PKG FOR CLARCOR AGMT #23" u="1"/>
        <s v="749301 HORIZON DISTRIBUTION WAREHOUSE" u="1"/>
        <s v="735855 THE ODEE COMPANY" u="1"/>
        <s v="749578 VALLEN DISTRIBUTION" u="1"/>
        <s v="21359 POPKOFFS" u="1"/>
        <s v="717939 JOHNS MANVILLE" u="1"/>
        <s v="78706 GTECH PRINTING CORP" u="1"/>
        <s v="740897 CHEWY # DFW3" u="1"/>
        <s v="721515 ENLINX LOCATION 3" u="1"/>
        <s v="742894 SUNWEST FRUIT COMPANY" u="1"/>
        <s v="36735 JAGUAR IMPORTS" u="1"/>
        <s v="717259 DURAFLAME EAST LLC" u="1"/>
        <s v="737269 CARRINGTON BUILDING PRODUCTS" u="1"/>
        <s v="742422 BLACK FOREST DECOR" u="1"/>
        <s v="750591 LA TORTILLERIA LLC" u="1"/>
        <s v="730183 WHITE CASTLE" u="1"/>
        <s v="14413 PROPRODUCTS INC" u="1"/>
        <s v="741173 CHEWY.COM (MCI2)" u="1"/>
        <s v="732962 KIMMIE CANDY COMPANY" u="1"/>
        <s v="702397 IMPACT FULFILLMENT" u="1"/>
        <s v="730323 CHATTANOOGA SHOOTING SUPPLIES" u="1"/>
        <s v="741409 SOUTHEASTERN WHOLESALE" u="1"/>
        <s v="26237 BLACK BEAR CORP" u="1"/>
        <s v="749909 AGC FLATGLASS NORTH AMERICA" u="1"/>
        <s v="708774 ASSOCIATED PKG FOR RJR" u="1"/>
        <s v="742850 ISOTEC INTERNATIONAL INC" u="1"/>
        <s v="718535 GAP INC SCD" u="1"/>
      </sharedItems>
    </cacheField>
    <cacheField name="Mat # &amp; Name" numFmtId="0">
      <sharedItems containsBlank="1" count="8000">
        <s v="AP 180 TAN-48mm x 100m-36 rls/cs-H (231027)"/>
        <s v="AP 180 CLR-48mm x 100m-36 rls/cs-H/A (231044)"/>
        <s v="AP 201 TAN-48mm x 100m-36 rls/cs-H (231031)"/>
        <s v="HP 200 CLR-48mm x 100m-36 rls/cs-S (207149)"/>
        <s v="HP 200 CLR-48mm x 1371m-6 rls/cs-S (208511)"/>
        <s v="HP 200 CLR-72mm x 914m-4 rls/cs-S (208496)"/>
        <s v="HP 200 CLR-48mm x 914m-6 rls/cs-S (208492)"/>
        <s v="HP 100 CLR-48mm x 1828m-6 rls/cs-S (200655)"/>
        <s v="HP 100 CLR-48mm x 1371m-6 rls/cs- S (208470)"/>
        <s v="AP 201 GRN 48mm x 914m-6 rls/cs-H/A (105307)"/>
        <s v="AP 201 YEL 48mm x 914m-6 rls/cs-H/A (105310)"/>
        <s v="HP 200 YEL-48mm x 914m-6 rls/cs-H (106042)"/>
        <s v="HP 200 GRN-48mm x 914m-6 rls/cs-H/A (129199)"/>
        <s v="HP 200 ORG-48mm x 914m-6 rls/cs-H (136221)"/>
        <s v="HP 200 BLU-48mm x 914m-6 rls/cs-H (162592)"/>
        <s v="HP 200 WHI-48mm x 914m-6 rls/cs-H (207381)"/>
        <s v="HP 200 RED-48mm x 914m-6 rls/cs-H (218104)"/>
        <s v="HP 235 CLR-48mm x 100m-36 rls/cs-H (188923)"/>
        <s v="HP 100 CLR-53mm x 1500m-6 rls/cs-S (195553)"/>
        <s v="HP 400 CLR-72mm x 100m-24 rls/cs-H/A (207845)"/>
        <s v="HP 400 CLR-72mm x 914m-4 rls/cs-H/A (208558)"/>
        <s v="HP 300 CLR-48mm x 1371m-6 rls/cs-H/A (100503)"/>
        <s v="HP 100 CLR-48mm x 100m-36 rls/cs-S (207142)"/>
        <s v="HP 235 CLR-72mm x 914m-4 rls/cs-H (150721)"/>
        <s v="HP 100 CLR-48mm x 914m-6 rls/cs-S (208453)"/>
        <s v="AP 201 CLR-48mm x 100m-36 rls/cs-H/A (230962)"/>
        <s v="SD 934  PISTOL GRIP TAPE DISPNSR PREM.-S (903000)"/>
        <s v="AP 201 CLR-48mm x 914m-6 rls/cs-H/A (230964)"/>
        <s v="HP 200 CLR-72mm x 100m-24 rls/cs-S (207233)"/>
        <s v="GS 490 CLR-18mm x 55m-48 rls/cs-H/A (101229)"/>
        <s v="HP 200 CLR-48mm x 1828m-6 rls/cs-S (100404)"/>
        <s v="VP 410 WHI- 50mm X 33m- 24 rls/cs-H (202793)"/>
        <s v="VP 410 BLK- 50MM X 33M- 24 RLS/CS-H/T (202810)"/>
        <s v="SD 935  PISTOL GRIP DISPNSR-3 IN. ROLL-S (909535)"/>
        <s v="HP 100 CLR-72mm x 1500m-4 rls/cs-H/T (104315)"/>
        <s v="CP 105 NAT-18mm x 55m-48 rls/cs-S (206932)"/>
        <s v="CP 106 NAT-12mm x 55m-72 rls/cs-H/A (101330)"/>
        <s v="AP 201 CLR-72mm x 100m-24 rls/cs-H/A (230963)"/>
        <s v="FP 096 KFT-72mm x 55m-16 rls/cs-H (201793)"/>
        <s v="HP 200 CLR-48mm x 1500m-6 rls/cs-H (101428)"/>
        <s v="FP 096 KFT-48mm x 55m-24 rls/cs-S (201806)"/>
        <s v="DT 200 GLA-48mm x 50m-24 rls/cs-H (232165)"/>
        <s v="HP 300 CLR-48mm x 50m-36 rls/cs-H (207888)"/>
        <s v="CP 083 NAT-48mm x 55m-24 rls/cs-S (101536)"/>
        <s v="HP 200 CLR-53mm x 1371m-6 rls/cs-H (201324)"/>
        <s v="GS 521 CLR-18mm x 55m-48 rls/cs-H (101374)"/>
        <s v="FP 115 BRN-48mm x 55m-24 rls/cs-H (104675)"/>
        <s v="SD 932  PISTOL GRIP TAPE DISP. ECONOMY-S (900617)"/>
        <s v="HP 500 CLR-48mm x 914m-6 rls/cs-H (208561)"/>
        <s v="CP 105 NAT-24mm x 55m- 36 rls/cs-S (140431)"/>
        <s v="HP 100 CLR-72mm x 100m-24 rls/cs-S (207194)"/>
        <s v="HP 200 BLU-72mm x 914m-4 rls/cs-H (123897)"/>
        <s v="FP 115 BRN-72mm x 55m-16 rls/cs-H (104663)"/>
        <s v="FP 097 KFT-48mm x 50m-24 rls/cs-H (100055)"/>
        <s v="HP 500 CLR-48mm x 50m-36 rls/cs-H/A (207831)"/>
        <s v="AP 101 CLR-48mm x 100m-36 rls/cs-S (230982)"/>
        <s v="CP 105 NAT-72mm x 55m-16 rls/cs-H (113699)"/>
        <s v="P- 628 BLK-48mm x 50m-24 RLS/CS-S (138775)"/>
        <s v="AP 180 CLR-72mm x 100m-24 rls/cs-H/A (231045)"/>
        <s v="CP 106 NAT-24mm x 55m-36 rls/cs-S (101006)"/>
        <s v="CP 106 NAT-48mm x 55m-24 rls/cs-S (101008)"/>
        <s v="FP 097 KFT-48mm x 55m-24 rls/cs-H/A (101072)"/>
        <s v="HP 500 CLR-72mm x 914m-4 rls/cs-S (208571)"/>
        <s v="HP 200 WHI-48mm x 100m-36 rls/cs-H (120887)"/>
        <s v="DP 380 GLA-48mm x 50m-24 rls/cs-H (232259)"/>
        <s v="CP 107 NAT-48mm x 55m-24 rls/cs-H/A (100466)"/>
        <s v="CP 500 NAT-24mm x 55m-36 rls/cs-H (188481)"/>
        <s v="HP 300 CLR-72mm x 914m-4 rls/cs-H (208660)"/>
        <s v="50385 2&quot; RH/LH Hub (901801)"/>
        <s v="HP 100 CLR-72mm x 914m-4 rls/cs-S (208465)"/>
        <s v="GS 490 CLR-48mm x 55m-24 rls/cs-H/A (101230)"/>
        <s v="CP 225 GLD-48mm x 55m-24 rls/cs-H/T (105322)"/>
        <s v="HP 200 CLR-72mm x 1371m-4 rls/cs-S (208529)"/>
        <s v="AP 201 RED 48mm x 100m-36 rls/cs-H/A (105302)"/>
        <s v="AF 975 SIL-48mm x 46m-24 rls/cs-S (232032)"/>
        <s v="HP 200 TAN-48mm x 100m-36 rls/cs-H/A (207223)"/>
        <s v="HP 200 TAN-48mm x 914m-6 rls/cs-H (208494)"/>
        <s v="AP 201 CLR-72mm x 914m-4 rls/cs-H (230966)"/>
        <s v="HP 132 CLR-72mm x 100m-24 rls/cs-H (116083)"/>
        <s v="HP 300 CLR-72mm x 100m-24 RLS/CS-H (207870)"/>
        <s v="WP 100 NAT-70mm x 153m(500ft)-6 rls/cs-H (101688)"/>
        <s v="FP 097 KFT-72mm x 55m-16 rls/cs-H/A (101073)"/>
        <s v="WP 100 NAT-70mmx138m(450ft)-10rls/cs-H/A (101685)"/>
        <s v="HP 100 CLR-48mm x 50m-36 rls/cs-S (207141)"/>
        <s v="03042 SPARE CLEAR WIPER FOR FE-3 (903238)"/>
        <s v="FE-3 Folded-Edge Tape Dispenser - H (903251)"/>
        <s v="HP 200 TAN-72mm x 914m-4 rls/cs-H (208498)"/>
        <s v="DP 380 GLA-19mm x 50m-48 rls/cs-H (232262)"/>
        <s v="HP 132 CLR-48mm x 914m-6 rls/cs-S (176748)"/>
        <s v="AP 180 CLR-72mm x 1371m-4 rls/cs-H (231051)"/>
        <s v="GS 490 CLR-72mm x 55m-12 rls/cs-H (101295)"/>
        <s v="GS 501 CLR-72mm x 55m-12 rls/cs-H (101290)"/>
        <s v="HP 200 TAN-72mm x 100m-24 rls/cs-H/A (207239)"/>
        <s v="FP 115 BRN-24mm x 55m-36 rls/cs-H (104667)"/>
        <s v="HP 232 CLR-48mm x 914m-6 rls/cs-H/A (100962)"/>
        <s v="GS 501 CLR-48mm x 55m-24 rls/cs-H/A (101289)"/>
        <s v="CP 66L NAT-48mm x 165m- 6 rls/cs-C (205586)"/>
        <s v="CP 66L NAT-4in x 240yd-3 rls/cs-H (209420)"/>
        <s v="CP 083 NAT-18mm x 55m-48 rls/cs-S (100486)"/>
        <s v="DP 050 CLR-48mm x 50m-24 rls/cs-H (203796)"/>
        <s v="DP 050 CLR-24mm x 50m-36 rls/cs-H (204559)"/>
        <s v="FP 097 KFT-36mm x 55m-24 rls/cs-H (100020)"/>
        <s v="HP 235 CLR-48mm x 914m-6 rls/cs-H (178027)"/>
        <s v="DF 065 NAT-1/2in x 36yd-72 rls/cs-H/A (100761)"/>
        <s v="HP 240 WR STOP-48mm x 914m-6 rls/cs-H (183220)"/>
        <s v="HP 100 TAN-48mm x 100m-36 rls/cs-S (207181)"/>
        <s v="GS 490 CLR-12mm x 55m-72 rls/cs-H/A (101228)"/>
        <s v="HM 016 CLR-72mm x 100m-24 rls/cs-S (104618)"/>
        <s v="HP 300 CLR-48mm x 100m-36 rls/cs-H/A (207871)"/>
        <s v="CP 631 BLK-18mm x 55m-48 rls/cs-H (171918)"/>
        <s v="HP 200 WHI-72mm x 914m-4 rls/cs-H (125905)"/>
        <s v="HP 200 WHI-72mm x 100m-24 rls/cs-NS (208825)"/>
        <s v="PC 006 SIL-48mm x 55m-24 rls/cs-H/A (105449)"/>
        <s v="HP 100 CLR-48mm x 1500m-6 rls/cs-H/A (104314)"/>
        <s v="CP 105 NAT-48mm x 55m-24 rls/cs-S (120407)"/>
        <s v="PC 006 SIL-48mm x 55m-24 rls/cs-X (120954)"/>
        <s v="HP 140 CK PULL EDGE 53mmX1500m-6r/cs-X (104985)"/>
        <s v="HP 500 CLR-72mm x 50m-24 rls/cs-H/A (207775)"/>
        <s v="WP 300 NAT-76mmx138m(450ft)-10rls/cs-H/A (101727)"/>
        <s v="DP 401 GLA-48mm x 50m-24 rls/cs-H (104249)"/>
        <s v="CP 225 GLD-18mm x 55m-64 rls/cs-H/T (105319)"/>
        <s v="GS 521 CLR-48mm x 55m-24 rls/cs-H (101377)"/>
        <s v="GS 490 CLR-24mm x 55m-36 rls/cs-H/A (101219)"/>
        <s v="GG 200 NAT-48mm x 33m-24 rls/cs-H (204459)"/>
        <s v="HP 800 CLR-48mm x 50m-36 rls/cs-H (125419)"/>
        <s v="HP 400 CLR-72mm x 50m-24 rls/cs-H (207852)"/>
        <s v="PC 007 SIL-48mm x 55m-24 rls/cs-S (152300)"/>
        <s v="AF 099 SIL-72mm x 55m-16 rls/cs-H/A (232623)"/>
        <s v="CP 027 BLU-48mm x 55m-24 rls/cs-S (202880)"/>
        <s v="CP 066 NAT-48mm x 55m-24 rls/cs-S (132716)"/>
        <s v="SF 686 SPT- 3IN X 100FT- 16 RLS/CS-H/A (111163)"/>
        <s v="SF 686 SPT- 2IN X 100FT- 24 RLS/CS-H/A (183431)"/>
        <s v="AP 101 CLR-48mm x 914m-6 rls/cs-S (230960)"/>
        <s v="AP 201 BLU 48mm x 914m-6 rls/cs-H/A (105301)"/>
        <s v="AP 201 RED 48mm x 914m-6 rls/cs-H/A (105304)"/>
        <s v="HP 400 CLR-48mm x 50m-36 rls/cs-H (207853)"/>
        <s v="CP 083 NAT-24mm x 55m-36 rls/cs-S (100530)"/>
        <s v="CP 450 NAT-24mm x 55m-36 rls/cs-H (182140)"/>
        <s v="GG 200 NAT-24mm x 33m-36 rls/cs-H (204458)"/>
        <s v="HP 232 CLR-72mm x 914m-4 rls/cs-H/A (100053)"/>
        <s v="AP 180 CLR-48mm x 914m-6 rls/cs-H/A (231046)"/>
        <s v="HP 300 CLR-53mm x 914m-6 rls/cs-H (182564)"/>
        <s v="CP 631 GRN-18mm x 55m-48 rls/cs-H (132981)"/>
        <s v="CP 631 RED-18mm x 55m-48 rls/cs-H (178949)"/>
        <s v="HP 100 CLR-72mm x 1371m-4 rls/cs-H/T (208761)"/>
        <s v="HP 300 CLR-48mm x 914m-6 rls/cs-H (208532)"/>
        <s v="CP 106 NAT-36mm x 55m-24 rls/cs-S (101007)"/>
        <s v="HP 240 TK SECURITY-72mmx100m-24rls/cs-H (101853)"/>
        <s v="FE-2 Folded-Edge Tape Dispenser - H (903250)"/>
        <s v="WP 150 RKSAF 70MMx183M(600FT)-10rl/cs-NS (105030)"/>
        <s v="CP 066 NAT-24mm x 55m-36 rls/cs-H/A (120077)"/>
        <s v="CP 066 NAT-24mm x 55m-36 rls/cs-X (172840)"/>
        <s v="HP 200 CLR-36mm x 914m-8 rls/cs-H (100501)"/>
        <s v="CT 109 NAT- 12MM X 66M- 144 RLS/CS-H (111951)"/>
        <s v="HP 235 CLR-72mm x 1371m-4 rls/cs-H (104338)"/>
        <s v="50663 KNIFE GUARD ASSY RH (901623)"/>
        <s v="50664 KNIFE GUARD ASSY LH (901624)"/>
        <s v="50560 3&quot; RH CLUTCH ROLLER (901884)"/>
        <s v="50386 3&quot; RH/LH HUB (901890)"/>
        <s v="51194 51005 CUTTING CAM ASSY. 2&quot; RH (901948)"/>
        <s v="50410 2&quot; HUB SHAFT (902377)"/>
        <s v="50411 3&quot; HUB SHAFT (902378)"/>
        <s v="HP 235 CLR-72mm x 100m-24 rls/cs-H (101162)"/>
        <s v="AP 101 CLR-72mm x 100m-24 rls/cs-H/A (230959)"/>
        <s v="HP 235 CLR-48mm x 1371m-6 rls/cs-S (164654)"/>
        <s v="AP 180 CLR-48mm x 1371m-6 rls/cs-H (231047)"/>
        <s v="WP 100 NAT-72mmx138m(450ft)-10rls/cs-H/A (101686)"/>
        <s v="HP 240 WR STOP-48mm x 100m-36 rls/cs-H (124152)"/>
        <s v="10469 KNIFE-T (901788)"/>
        <s v="AP 015 CLR-96mm x 66m-18 rls/cs-H (230970)"/>
        <s v="CP 105 NAT-12mm x 55m-72 rls/cs-H (117481)"/>
        <s v="HP 200 CLR-48mm x 200m-36 rls/cs-H (208429)"/>
        <s v="HP 500 CLR-48mm x 100m-36 rls/cs-H (200667)"/>
        <s v="PP 808 RED- 9MM X 165M- 96 RLS/CS-H/A (202420)"/>
        <s v="50558 2&quot; RH CLUTCH ROLLER (901764)"/>
        <s v="50371 50208 ROLLER ASSY. 77MM (901879)"/>
        <s v="50412 2&quot; CLUTCH ROLLER SHAFT (901930)"/>
        <s v="50694 KNIFE GAURD ASSY FULL BLADE 2' LH (902264)"/>
        <s v="51081 UA CYLINDER ASSY. RH LH (902333)"/>
        <s v="AP 201 RED 72mm x 100m-24 rls/cs-H/A (105303)"/>
        <s v="WP 150 WB NXG 70mmx138m(450FT)-10rl/cs (105100)"/>
        <s v="WP 150 WB TR 70mmx138m(450FT)-10rl/cs-NS (105173)"/>
        <s v="WP 150 RED SIMP-72mmx138m(450FT)-10rl/cs (105389)"/>
        <s v="WP 150 BLU NEXHART 72mm x 138M - NS (105424)"/>
        <s v="5651 PA-1C TAPE MONIT RECE C/W TOW LIGHT (901598)"/>
        <s v="WP 150 BLU WISDOM 72mm x 138M - NS (105437)"/>
        <s v="WP 150 GRN GREENIES-72mmx138m-10rl/cs-NS (105679)"/>
        <s v="PC 009 BLK-48mm x 55m-24 rls/cs-S (105462)"/>
        <s v="HP 242 WR SECURITY-72mm x 914m-4rl/cs-NS (152654)"/>
        <s v="HP 500 TAN-72mm x 50m-24 rls/cs-H/A (207892)"/>
        <s v="DT 200 GLA-36mm x 50m-24 rls/cs-H (232167)"/>
        <s v="WP 150 BLU HEART-72mmx138m(450FT)-10r/cs (105391)"/>
        <s v="HP 235 BLU CONTAIN-72mmx914m-4 rls/cs-NS (105660)"/>
        <s v="CP 101 NAT-18mm x 55m-48 rls/cs-H/T (202005)"/>
        <s v="DT 200 GLA-12mm x 50m-72 rls/cs-H (232170)"/>
        <s v="BESTPACK STD MOUNTING PLATES - REAR (901625)"/>
        <s v="BEST PACK FRONT MOUNTING PLATE (902016)"/>
        <s v="AP 101 CLR-48mm x 1371m-6 rls/cs-H (231059)"/>
        <s v="CP 106 NAT-18mm x 55m-48 rls/cs-S (101052)"/>
        <s v="CP 631 GRN-24mm x 55m-36 rls/cs-H (158828)"/>
        <s v="HP 235 CR BISTOP-72mmx914m-4 rls/cs-NS (152664)"/>
        <s v="HP 400 CLR-48mm x 914m-6 rls/cs-H/A (208547)"/>
        <s v="HP 800 CLR-72mm x 50m-24 rls/cs-H (116925)"/>
        <s v="PC 600 SIL-72mm  *DO NOT USE* (209438)"/>
        <s v="PC 609 SIL-48mm x 55m-24 rls/cs-H/A (207423)"/>
        <s v="PE 444 RED- 48mm X 55m- 24 rls/cs-H/A (198050)"/>
        <s v="WP 200 NAT-72mmx138m(450ft)-10rls/cs-H/A (101707)"/>
        <s v="VP 410 GRN- 50mm X 33m- 24 rls/cs-H (202851)"/>
        <s v="CP 066 NAT-12mm x 55m-72 rls/cs- H (104640)"/>
        <s v="AP 401 CLR-48mm x 100m-36 rls/cs-H/A (230973)"/>
        <s v="FP 097 KFT-24mm x 55m-36 rls/cs-H (101071)"/>
        <s v="GS 501 CLR-24mm x 55m-36 rls/cs-H/A (101287)"/>
        <s v="HP 232 CLR-48mm x 1371m-6 rls/cs-H/T (100052)"/>
        <s v="Phoenix M-1 Manual WAT Dispenser (900086)"/>
        <s v="HP 800 CLR-48mm x 914m-6 rls/cs-NS (208836)"/>
        <s v="DF 065 NAT-18mm x 33m-48 rls/cs-H/A (100763)"/>
        <s v="AP 401 CLR-72mm x 100m-24 rls/cs-H (230976)"/>
        <s v="CP 631 RED-48mm x 55m-24 rls/cs-H (114685)"/>
        <s v="HP 500 TAN-48mm x 50m-36 rls/cs-H (207891)"/>
        <s v="CP 631 BLK-48mm x 55m-24 rls/cs-H/T (109856)"/>
        <s v="VP 410 GRN-75mm x 33m-18 rls/cs-H (100742)"/>
        <m/>
        <s v="HP 200 CLR-72mm x 100m-24 rls/cs-S 13628.73" u="1"/>
        <s v="HP 200 CLR-72mm x 100m-24 rls/cs-S 109.06" u="1"/>
        <s v="HP 200 CLR-72mm x 100m-24 rls/cs-S 4390.84" u="1"/>
        <s v="HP 132 CLR-48mm x 1371m-6 rls/cs-H 2779.56" u="1"/>
        <s v="HP 200 CLR-48mm x 914m-6 rls/cs-S 14091.34" u="1"/>
        <s v="CP 66L NAT-48mm *DO NOT USE* 3493.67" u="1"/>
        <s v="CP 66L NAT-72mm x 55m-16 rls/cs-NS 7858.23" u="1"/>
        <s v="HP 200 CLR-48mm x 914m-6 rls/cs-S 4328.12" u="1"/>
        <s v="HP 500 CLR-72mm x 914m-4 rls/cs-S 211239.67" u="1"/>
        <s v="FP 097 KFT-72mm x 55m-16 rls/cs-H 1544.39" u="1"/>
        <s v="HP 100 CLR-48mm x 100m-36 rls/cs-S 10585.08" u="1"/>
        <s v="AP 180 CLR-72mm x 100m-24 rls/cs-H/A 11290.74" u="1"/>
        <s v="AP 180 CLR-48mm x 914m-6 rls/cs-H/A 15513.39" u="1"/>
        <s v="HP 100 CLR-48mm x 914m-6 rls/cs-S 6118.68" u="1"/>
        <s v="HP 100 CLR-48mm x 914m-6 rls/cs-S 5105.3" u="1"/>
        <s v="GS 490 CLR-18mm x 55m-48 rls/cs-H/A 17810.5" u="1"/>
        <s v="50385 2&quot; RH/LH Hub " u="1"/>
        <s v="HP 100 CLR-48mm x 1371m-6 rls/cs- S 17314.53" u="1"/>
        <s v="CP 106 NAT-48mm x 55m-24 rls/cs-S 209.09" u="1"/>
        <s v="CP 083 NAT-48mm x 55m-24 rls/cs-S 723.01" u="1"/>
        <s v="HP 300 CLR-72mm x 914m-4 rls/cs-H 1510.05" u="1"/>
        <s v="CP 450 NAT-72mm x 55m-16 rls/cs-NS 13160.81" u="1"/>
        <s v="HP 200 CLR-48mm x 914m-6 rls/cs-S 3199.05" u="1"/>
        <s v="HP 200 CLR-48mm x 914m-6 rls/cs-S 9383" u="1"/>
        <s v="DP 050 CLR-48mm x 50m-24 rls/cs-H 375.65" u="1"/>
        <s v="FP 097 KFT-4in x 60yd-12 rls/cs-H 143.51" u="1"/>
        <s v="CP 106 NAT-12mm x 55m-72 rls/cs-H/A 165.37" u="1"/>
        <s v="GS 490 WHI-18mm x 330m-16 rls/cs-C " u="1"/>
        <s v="CP 66L NAT-18mm x 55m-48 rls/cs-H 342.14" u="1"/>
        <s v="HP 200 CLR-48mm x 1371m-6 rls/cs-H/A 9045.43" u="1"/>
        <s v="CF 740 NAT-48mm x 55m-24 rls/cs-H 486.6" u="1"/>
        <s v="HP 100 CLR-48mm x 1828m-6 rls/cs-S 3926.1" u="1"/>
        <s v="HP 100 CLR-53mm x 1500m-6 rls/cs-S 3682.32" u="1"/>
        <s v="HP 100 CLR-72mm x 914m-4 rls/cs-S 2521.53" u="1"/>
        <s v="CP 106 NAT-48mm x 55m-24 rls/cs-S 159.67" u="1"/>
        <s v="HP 100 CLR-48mm x 914m-6 rls/cs-S 616.81" u="1"/>
        <s v="HP 200 TAN-72mm x 100m-24 rls/cs-H/A 2343.92" u="1"/>
        <s v="HP 200 CLR-48mm x 100m-36 rls/cs-S 1860.41" u="1"/>
        <s v="GS 490 CLR-48mm x 55m-24 rls/cs-H/A 1188" u="1"/>
        <s v="HP 200 CLR-72mm x 1371m-4 rls/cs-S " u="1"/>
        <s v="FP 115 BRN-72mm x 55m-16 rls/cs-H 1024.52" u="1"/>
        <s v="HP 200 BLU-48mm x 914m-6 rls/cs-H 4445.73" u="1"/>
        <s v="CP 106 NAT-48mm x 55m-24 rls/cs-S 864.87" u="1"/>
        <s v="AP 201 CLR-72mm x 100m-24 rls/cs-H/A 1096.74" u="1"/>
        <s v="HP 200 CLR-48mm x 914m-6 rls/cs-S 5360.26" u="1"/>
        <s v="GG 200 NAT-24mm x 33m-36 rls/cs-H 0" u="1"/>
        <s v="DP 380 GLA-24mm x 50m-36 rls/cs-H 427.68" u="1"/>
        <s v="HP 200 CLR-48mm x 914m-6 rls/cs-S 31905.99" u="1"/>
        <s v="DP 050 CLR-48mm x 50m-24 rls/cs-H 378" u="1"/>
        <s v="HP 500 TAN-48mm x 50m-36 rls/cs-H 481.86" u="1"/>
        <s v="CP 66L NAT-4in x 240yd-3 rls/cs-H 114321.76" u="1"/>
        <s v="AF 075 SIL-1in x 60yd-36 rls/cs-H 2345.11" u="1"/>
        <s v="HP 100 CLR-48mm x 1371m-6 rls/cs-H/A/T " u="1"/>
        <s v="HP 100 CLR-48mm x 914m-6 rls/cs-S 6389.53" u="1"/>
        <s v="HP 100 CLR-48mm x 100m-36 rls/cs-S 2485.89" u="1"/>
        <s v="HP 200 CLR-48mm x 914m-6 rls/cs-S 27576.79" u="1"/>
        <s v="HP 200 CLR-48mm x 1500m-6 rls/cs-H 40169.84" u="1"/>
        <s v="CP 66L NAT-4in x 240yd-3 rls/cs-H 8831.11" u="1"/>
        <s v="FP 097 KFT-72mm x 55m-16 rls/cs-H/A 2903.5" u="1"/>
        <s v="HP 200 CLR-48mm x 914m-6 rls/cs-S 19137.27" u="1"/>
        <s v="HP 500 CLR-72mm x 50m-24 rls/cs-H/A 16080.77" u="1"/>
        <s v="DP 050 CLR-48mm x 50m-24 rls/cs-H 7620.3" u="1"/>
        <s v="SD 935  PISTOL GRIP DISPNSR-3 IN. ROLL-S 316.8" u="1"/>
        <s v="HP 200 TAN-72mm x 914m-4 rls/cs-H 17570.68" u="1"/>
        <s v="HP 100 CLR-72mm x 1500m-4 rls/cs-H/T 40355.91" u="1"/>
        <s v="SD 932  PISTOL GRIP TAPE DISP. ECONOMY-S 30.89" u="1"/>
        <s v="SD 934, PISTOL GRIP TAPE DISPNSR PREM.-S 33" u="1"/>
        <s v="HP 200 CLR-72mm x 914m-4 rls/cs-S 15634.08" u="1"/>
        <s v="HP 200 CLR-72mm x 100m-24 rls/cs-S 7926.34" u="1"/>
        <s v="CP 106 NAT-18mm x 55m-48 rls/cs-S 206.23" u="1"/>
        <s v="HP 200 CLR-48mm x 100m-36 rls/cs-S 1950.22" u="1"/>
        <s v="HP 200 CLR-48mm x 100m-36 rls/cs-S 4619" u="1"/>
        <s v="HP 200 CLR-48mm x 100m-36 rls/cs-S 18155" u="1"/>
        <s v="CP 105 NAT-18mm x 55m-48 rls/cs-S 35172.37" u="1"/>
        <s v="HP 200 CLR-48mm x 914m-6 rls/cs-S 11376.76" u="1"/>
        <s v="HP 100 CLR-48mm x 1371m-6 rls/cs- S 6051.68" u="1"/>
        <s v="WP 150 RKSAF 70MMx183M(600FT)-10rl/cs-NS 2649.24" u="1"/>
        <s v="FP 115 BRN-72mm x 55m-16 rls/cs-H 567.86" u="1"/>
        <s v="HM 018 CLR-72mm  *DO NOT USE* 1938.82" u="1"/>
        <s v="HP 500 CLR-48mm x 914m-6 rls/cs-H 9729.72" u="1"/>
        <s v="HP 100 CLR-48mm x 914m-6 rls/cs-S 17727.15" u="1"/>
        <s v="HP 200 CLR-48mm x 914m-6 rls/cs-S 8766.72" u="1"/>
        <s v="AP 180 CLR-48mm x 914m-6 rls/cs-H/A 32617.75" u="1"/>
        <s v="SD 934  PISTOL GRIP TAPE DISPNSR PREM.-S 95.83" u="1"/>
        <s v="HP 200 CLR-48mm x 100m-36 rls/cs-S 3250.36" u="1"/>
        <s v="HP 200 CLR-72mm x 100m-24 rls/cs-S 4390.85" u="1"/>
        <s v="HP 200 CLR-48mm x 914m-6 rls/cs-S 5959.01" u="1"/>
        <s v="CP 631 BLK-18mm x 55m-48 rls/cs-H " u="1"/>
        <s v="HM 016 CLR-72mm x 100m-24 rls/cs-H 2090.88" u="1"/>
        <s v="WP 150 BLU APOQ 72mm x 138M - NS 3662.01" u="1"/>
        <s v="WP 150 BLU HEART-72mmx138m(450FT)-10r/cs 12228.48" u="1"/>
        <s v="FE 53 Folded-Edge Tape Dispenser " u="1"/>
        <s v="FP 115 BRN-48mm x 55m-24 rls/cs-H 2419.72" u="1"/>
        <s v="AP 201 CLR-48mm x 100m-36 rls/cs-H/A 1111.97" u="1"/>
        <s v="HP 200 CLR-48mm x 1371m-6 rls/cs-S 1881.8" u="1"/>
        <s v="HP 200 CLR-48mm x 100m-36 rls/cs-S 1360.02" u="1"/>
        <s v="HP 200 CLR-72mm x 100m-24 rls/cs-S 1125.99" u="1"/>
        <s v="CP 083 NAT-48mm x 55m-24 rls/cs-S 309.36" u="1"/>
        <s v="HP 200 CLR-48mm x 100m-36 rls/cs-S 99.79" u="1"/>
        <s v="HP 200 CLR-72mm x 914m-4 rls/cs-S 3763.6" u="1"/>
        <s v="GS 501 WHI-48mm x 55m-24 rls/cs-H/A 964.66" u="1"/>
        <s v="HP 200 CLR-48mm x 914m-6 rls/cs-S 14911.79" u="1"/>
        <s v="HP 100 TAN-48mm x 100m-36 rls/cs-S 5896.27" u="1"/>
        <s v="HP 500 CLR-72mm x 914m-4 rls/cs-S 754858.05" u="1"/>
        <s v="GG 200 NAT-48mm x 33m-24 rls/cs-H 1513.04" u="1"/>
        <s v="HP 100 CLR-48mm x 100m-36 rls/cs-S 4939.7" u="1"/>
        <s v="HP 235 CLR-72mm x 100m-24 rls/cs-H 2157.88" u="1"/>
        <s v="CP 66L NAT-4in x 240yd-3 rls/cs-H 105813.54" u="1"/>
        <s v="HP 500 CLR-72mm x 914m-4 rls/cs-S 650094.98" u="1"/>
        <s v="FE-2 Folded-Edge Tape Dispenser - H 445.5" u="1"/>
        <s v="HP 200 TAN-48mm x 914m-6 rls/cs-H 399.88" u="1"/>
        <s v="WP 100 NAT-70mmx138m(450ft)-10rls/cs-H/A 2054.24" u="1"/>
        <s v="HP 100 CLR-72mm x 914m-4 rls/cs-S 2963.35" u="1"/>
        <s v="HP 200 CLR-72mm x 914m-4 rls/cs-S 2121.77" u="1"/>
        <s v="HP 235 CLR-72mm x 100m-24 rls/cs-H 3492.72" u="1"/>
        <s v="HP 200 CLR-48mm x 914m-6 rls/cs-S 12921.65" u="1"/>
        <s v="PC 624 BLK-48mm x 55m-24 rls/cs-NS " u="1"/>
        <s v="HM 014 CLR-48mm x 100m-36 rls/cs-S 6415.19" u="1"/>
        <s v="HP 200 CLR-48mm x 100m-36 rls/cs-S 4029.1" u="1"/>
        <s v="SD 932, PISTOL GRIP TAPE DISP. ECONOMY-S 29" u="1"/>
        <s v="HP 200 CLR-48mm x 914m-6 rls/cs-S 14381.46" u="1"/>
        <s v="HP 235 CLR-72mm x 1371m-4 rls/cs-H 225213.34" u="1"/>
        <s v="FP 097 KFT-48mm x 50m-24 rls/cs-H 660.77" u="1"/>
        <s v="HP 232 CLR-48mm x 914m-6 rls/cs-H/A 7804.25" u="1"/>
        <s v="PS 748 NAT-18mm x 55m-96 rls/cs-H 551.23" u="1"/>
        <s v="HM 018 CLR-72mm x 914m-4 rls/cs-H/A 2081.38" u="1"/>
        <s v="HP 200 CLR-72mm x 914m-4 rls/cs-S 14752.1" u="1"/>
        <s v="HP 400 CLR-72mm x 100m-24 rls/cs-H/A 10252.91" u="1"/>
        <s v="HM 018 CLR-48mm  *DO NOT USE* 141.85" u="1"/>
        <s v="HP 100 CLR-53mm x 1500m-6 rls/cs-S 57332.06" u="1"/>
        <s v="HP 100 CLR-53mm x 1500m-6 rls/cs-S 21452.42" u="1"/>
        <s v="HP 500 TAN-72mm x 50m-24 rls/cs-H/A 2637.36" u="1"/>
        <s v="WP 100 NAT-70mmx138m(450ft)-10rls/cs-H/A 248" u="1"/>
        <s v="HP 200 CLR-72mm x 1371m-4 rls/cs-S 11484.63" u="1"/>
        <s v="HP 200 CLR-48mm x 1500m-6 rls/cs-H 110181.04" u="1"/>
        <s v="EV 057 BLK-3/4in x 60ft-100 rls/cs-H/A 59.4" u="1"/>
        <s v="HP 200 CLR-72mm x 914m-4 rls/cs-S 11167.2" u="1"/>
        <s v="CP 450 NAT-72mm x 55m-16 rls/cs-NS 6072.57" u="1"/>
        <s v="HP 200 TAN-72mm x 100m-24 rls/cs-H/A 2176.4" u="1"/>
        <s v="HP 100 CLR-48mm x 914m-6 rls/cs-S 10674.9" u="1"/>
        <s v="HP 100 CLR-53mm x 1500m-6 rls/cs-S 6928.42" u="1"/>
        <s v="HP 200 CLR-48mm x 914m-6 rls/cs-S 12411.26" u="1"/>
        <s v="HP 500 CLR-72mm x 914m-4 rls/cs-S 153708.19" u="1"/>
        <s v="AP 015 CLR-96mm x 66m-18 rls/cs-H 960.15" u="1"/>
        <s v="CP 106 NAT-48mm x 55m-24 rls/cs-S 2222.03" u="1"/>
        <s v="HP 200 CLR-72mm x 914m-4 rls/cs-S 940.9" u="1"/>
        <s v="GS 531 WHI-36mm x 55m-24 rls/cs-H 12773.38" u="1"/>
        <s v="DP 380 GLA-48mm x 50m-24 rls/cs-H 4041.57" u="1"/>
        <s v="HP 200 CLR-48mm x 914m-6 rls/cs-S -248.95" u="1"/>
        <s v="HP 200 CLR-48mm x 1500m-6 rls/cs-H 7056.72" u="1"/>
        <s v="HP 200 CLR-48mm x 914m-6 rls/cs-S 8530.79" u="1"/>
        <s v="HP 500 CLR-72mm x 914m-4 rls/cs-S 31006.8" u="1"/>
        <s v="PC 007 SIL-48mm x 55m-24 rls/cs-S 1278.76" u="1"/>
        <s v="HP 100 CLR-53mm x 1500m-6 rls/cs-S 25853.62" u="1"/>
        <s v="HP 500 TAN-72mm x 50m-24 rls/cs-H 760.32" u="1"/>
        <s v="HP 200 CLR-48mm x 100m-36 rls/cs-S 3250.37" u="1"/>
        <s v="HP 400 CLR-72mm x 914m-4 rls/cs-H/A 1561.03" u="1"/>
        <s v="DT 200 GLA-48mm x 50m-24 rls/cs-H 140050.94" u="1"/>
        <s v="SD 934, PISTOL GRIP TAPE DISPNSR PREM.-S 101.46" u="1"/>
        <s v="HM 018 CLR-48mm x 100m-36 rls/cs-S " u="1"/>
        <s v="AP 015 CLR-96mm x 66m-18 rls/cs-H 2138.4" u="1"/>
        <s v="HP 500 CLR-72mm x 50m-24 rls/cs-H/A 63510.48" u="1"/>
        <s v="HP 200 CLR-48mm x 914m-6 rls/cs-S 239.03" u="1"/>
        <s v="HP 200 CLR-48mm x 1500m-6 rls/cs-H 1235.28" u="1"/>
        <s v="HP 100 CLR-48mm x 100m-36 rls/cs-S 26950.96" u="1"/>
        <s v="HP 100 CLR-72mm x 100m-24 rls/cs-S 45989.83" u="1"/>
        <s v="HP 100 CLR-72mm x 100m-24 rls/cs-S 2340.36" u="1"/>
        <s v="HP 200 CLR-48mm x 100m-36 rls/cs-S 13185.38" u="1"/>
        <s v="CP 083 NAT-48mm x 55m-24 rls/cs-S 127.59" u="1"/>
        <s v="HP 100 CLR-53mm x 1500m-6 rls/cs-S 24326.44" u="1"/>
        <s v="HP 100 CLR-48mm x 100m-36 rls/cs-S 19053.14" u="1"/>
        <s v="WP 100 WB CWY 70mmx305(1000ft)-6rl/cs-NS " u="1"/>
        <s v="CP 101 NAT-24mm x 55m-36 rls/cs-H/T 302.22" u="1"/>
        <s v="HP 200 CLR-72mm x 914m-4 rls/cs-S 125.46" u="1"/>
        <s v="HM 014 CLR-48mm x 100m-36 rls/cs-S 474.01" u="1"/>
        <s v="HP 100 CLR-53mm x 1500m-6 rls/cs-S 991.98" u="1"/>
        <s v="HP 200 CLR-72mm x 914m-4 rls/cs-S 13164.94" u="1"/>
        <s v="HM 016 CLR-48mm x 914m-6 rls/cs-H/A 2232.36" u="1"/>
        <s v="HP 100 CLR-53mm x 1500m-6 rls/cs-S 11669.25" u="1"/>
        <s v="CP 631 GRN-24mm x 55m-36 rls/cs-H 70.57" u="1"/>
        <s v="SD 967/SD 937 CUTTING BLD for TAPE P605B 18.78" u="1"/>
        <s v="HP 100 CLR-53mm x 1500m-6 rls/cs-S 3282.44" u="1"/>
        <s v="HP 100 CLR-48mm x 100m-36 rls/cs-S 12274.43" u="1"/>
        <s v="HP 300 CLR-48mm x 100m-36 rls/cs-H/A 3134.55" u="1"/>
        <s v="HP 100 CLR-72mm x 100m-24 rls/cs-S 36210.23" u="1"/>
        <s v="HP 100  EZ 53mm x 100m CLR-36 rls/cs-H/A 6928" u="1"/>
        <s v="HP 300 CLR-48mm x 100m-36 rls/cs-H/A 1418.48" u="1"/>
        <s v="HP 200 CLR-72mm x 1371m-4 rls/cs-S 7062.43" u="1"/>
        <s v="FP 097 KFT-24mm x 55m-36 rls/cs-H 517.49" u="1"/>
        <s v="HP 200 CLR-48mm x 1371m-6 rls/cs-H/A 5946.53" u="1"/>
        <s v="HP 200 CLR-72mm x 914m-4 rls/cs-S 2963.34" u="1"/>
        <s v="HP 200 CLR-72mm x 100m-24 rls/cs-S 9276.37" u="1"/>
        <s v="AP 180 CLR-48mm x 100m-36 rls/cs-H/A 1254.52" u="1"/>
        <s v="HP 300 CLR-53mm x 914m-6 rls/cs-H 940.9" u="1"/>
        <s v="HP 200 CLR-48mm x 100m-36 rls/cs-S 15952.49" u="1"/>
        <s v="HM 018 CLR-72mm x 100m-24 rls/cs-H/A 1444.61" u="1"/>
        <s v="HM 018 CLR-72mm x 100m-24 rls/cs-H/A 18257.18" u="1"/>
        <s v="HP 200 CLR-48mm x 914m-6 rls/cs-S 8781.69" u="1"/>
        <s v="HP 232 CLR-72mm x 914m-4 rls/cs-H/A 11478.93" u="1"/>
        <s v="FP 097 KFT-18mm x 55m-48 rls/cs-H 63.68" u="1"/>
        <s v="HP 500 TAN-48mm x 50m-36 rls/cs-H 206.71" u="1"/>
        <s v="CP 450 NAT-72mm x 55m-16 rls/cs-NS 4952.05" u="1"/>
        <s v="HP 235 CLR-72mm x 100m-24 rls/cs-H 9323.42" u="1"/>
        <s v="CP 105 NAT-72mm x 55m-16 rls/cs-H 186.28" u="1"/>
        <s v="HP 235 CLR-72mm x 1371m-4 rls/cs-H 51131.99" u="1"/>
        <s v="PE 444 RED- 48mm X 55m- 24 rls/cs-H/A 7934.43" u="1"/>
        <s v="AP 180 CLR-72mm x 100m-24 rls/cs-H/A 376" u="1"/>
        <s v="HP 500 CLR-72mm x 914m-4 rls/cs-S 555641.85" u="1"/>
        <s v="HP 200 CLR-48mm x 1371m-6 rls/cs-S 6604.65" u="1"/>
        <s v="AP 201 CLR-72mm x 914m-4 rls/cs-H 614.59" u="1"/>
        <s v="HP 200 CLR-48mm x 1371m-6 rls/cs-S 6364.82" u="1"/>
        <s v="HP 200 CLR-48mm x 914m-6 rls/cs-S 7113.74" u="1"/>
        <s v="FP 097 KFT-48mm x 50m-24 rls/cs-H 3834.87" u="1"/>
        <s v="AP 180 CLR-72mm x 1371m-4 rls/cs-H 7024.65" u="1"/>
        <s v="HP 100 CLR-53mm x 1500m-6 rls/cs-S 3312.38" u="1"/>
        <s v="HP 100 CLR-72mm x 100m-24 rls/cs-S 28540.54" u="1"/>
        <s v="HP 100 CLR-72mm x 100m-24 rls/cs-S 34656.37" u="1"/>
        <s v="CP 101 NAT-72mm *DO NOT USE* -740.52" u="1"/>
        <s v="HP 500 CLR-72mm x 914m-4 rls/cs-S 5742" u="1"/>
        <s v="HM 016 CLR-72mm x 100m-24 rls/cs-H/A 565.49" u="1"/>
        <s v="HM 016 CLR-48mm  *DO NOT USE* 6682.5" u="1"/>
        <s v="HP 100 CLR-53mm x 1500m-6 rls/cs-S 54533.46" u="1"/>
        <s v="PC 600 BLK-48mm x 55m-24 rls/cs-S 5302.76" u="1"/>
        <s v="HP 200 CLR-72mm x 914m-4 rls/cs-S 12089.08" u="1"/>
        <s v="HP 100 CLR-48mm x 1371m-6 rls/cs- S 17070.86" u="1"/>
        <s v="HM 014 CLR-48mm x 100m-36 rls/cs-S 19930" u="1"/>
        <s v="FP 097 KFT-48mm x 50m-24 rls/cs-H 13589.31" u="1"/>
        <s v="HP 132 CLR-48mm x 914m-6 rls/cs-H/T 4499.97" u="1"/>
        <s v="AP 101 CLR-48mm x 914m-6 rls/cs-H 12522" u="1"/>
        <s v="CP 066 NAT-24mm x 55m-36 rls/cs-X 1561.03" u="1"/>
        <s v="GG 200 NAT-48mm x 33m-24 rls/cs-H 460.47" u="1"/>
        <s v="CP 631 GRN-24mm x 55m-36 rls/cs-H 430.53" u="1"/>
        <s v="CP 450 NAT-36mm x 55m-24 rls/cs-H 1953.07" u="1"/>
        <s v="HP 100 CLR-48mm x 1371m-6 rls/cs- S 1564.18" u="1"/>
        <s v="HP 200 CLR-48mm x 1371m-6 rls/cs-S 48402.68" u="1"/>
        <s v="SD 934, PISTOL GRIP TAPE DISPNSR PREM.-S 201.46" u="1"/>
        <s v="HP 232 CLR-48mm x 914m-6 rls/cs-H/A 338.34" u="1"/>
        <s v="GS 490 WHI-12mm x 55m-72 rls/cs-H/A 1003.64" u="1"/>
        <s v="GS 490 WHI-12mm x 55m-72 rls/cs-H/A 1443.42" u="1"/>
        <s v="HP 200 CLR-53mm x 1371m-6 rls/cs-H 24506.07" u="1"/>
        <s v="GS 490 WHI-48mm x 55m-24 rls/cs-H/A 7451.12" u="1"/>
        <s v="CP 106 NAT-48mm x 55m-24 rls/cs-S 554.32" u="1"/>
        <s v="HP 100 CLR-48mm x 100m-36 rls/cs-S 4656.01" u="1"/>
        <s v="HP 200 CLR-72mm x 914m-4 rls/cs-S 12389.78" u="1"/>
        <s v="HP 500 CLR-72mm x 914m-4 rls/cs-S 422479.42" u="1"/>
        <s v="SD 935  PISTOL GRIP DISPNSR-3 IN. ROLL-S 35.11" u="1"/>
        <s v="HP 232 CLR-48mm x 914m-6 rls/cs-H/A 1140.48" u="1"/>
        <s v="CP 101 NAT-24mm x 55m-36 rls/cs-H/T 302.23" u="1"/>
        <s v="HP 100 CLR-53mm x 1500m-6 rls/cs-S 9423.93" u="1"/>
        <s v="HP 100 CLR-72mm x 914m-4 rls/cs-S 1110.46" u="1"/>
        <s v="HP 200 CLR-72mm x 914m-4 rls/cs-S 13664.85" u="1"/>
        <s v="FP 115 BRN-72mm x 55m-16 rls/cs-H 1622.16" u="1"/>
        <s v="HP 200 CLR-48mm x 914m-6 rls/cs-S 7384.62" u="1"/>
        <s v="HP 200 CLR-72mm x 914m-4 rls/cs-S 11397.2" u="1"/>
        <s v="HP 100 CLR-53mm x 1500m-6 rls/cs-S 3282.45" u="1"/>
        <s v="HP 200 CLR-48mm x 1371m-6 rls/cs-H/A 4271.45" u="1"/>
        <s v="HP 100 CLR-53mm x 1500m-6 rls/cs-S 21226" u="1"/>
        <s v="HP 300 CLR-48mm x 1371m-6 rls/cs-H/A 32623.44" u="1"/>
        <s v="SD 934, PISTOL GRIP TAPE DISPNSR PREM.-S 8.06" u="1"/>
        <s v="SD 932, PISTOL GRIP TAPE DISP. ECONOMY-S 70.78" u="1"/>
        <s v="DP 380 GLA-48mm x 50m-24 rls/cs-H 11290.73" u="1"/>
        <s v="HP 200 CLR-72mm x 1371m-4 rls/cs-S 7382.23" u="1"/>
        <s v="HP 100 CLR-48mm x 1371m-6 rls/cs- S 49843.96" u="1"/>
        <s v="HP 200 CLR-48mm x 1371m-6 rls/cs-S 12907.4" u="1"/>
        <s v="GS 490 WHI-18mm x 55m-48 rls/cs-H/A 13514.67" u="1"/>
        <s v="AP 180 CLR-48mm x 100m-36 rls/cs-H/A 1756.34" u="1"/>
        <s v="HM 014 CLR-48mm x 100m-36 rls/cs-S 4875.54" u="1"/>
        <s v="HP 132 CLR-48mm x 914m-6 rls/cs-S 14427.07" u="1"/>
        <s v="HP 100 CLR-72mm x 1500m-4 rls/cs-H/T 48416.2" u="1"/>
        <s v="HP 200 CLR-48mm x 1500m-6 rls/cs-H 44778.09" u="1"/>
        <s v="GS 490 WHI-24mm x 55m-36 rls/cs-H/A 707.1" u="1"/>
        <s v="CP 66L NAT-4in x 240yd-3 rls/cs-H 20287.01" u="1"/>
        <s v="HP 100 CLR-72mm x 914m-4 rls/cs-S 5514" u="1"/>
        <s v="CP 106 NAT-48mm x 55m-24 rls/cs-S 6405.7" u="1"/>
        <s v="HP 200 TAN-72mm x 914m-4 rls/cs-H 6401.89" u="1"/>
        <s v="GS 501 WHI-24mm x 55m-36 rls/cs-H/A 1185.03" u="1"/>
        <s v="HP 300 CLR-72mm x 100m-24 RLS/CS-H 34302.79" u="1"/>
        <s v="HP 200 CLR-48mm x 914m-6 rls/cs-S 17477.84" u="1"/>
        <s v="HP 300 CLR-48mm x 914m-6 rls/cs-H 468" u="1"/>
        <s v="HP 235 CLR-72mm x 100m-24 rls/cs-H 1682.21" u="1"/>
        <s v="HP 200 CLR-72mm x 100m-24 rls/cs-S 10106" u="1"/>
        <s v="CP 106 NAT-24mm x 55m-36 rls/cs-S 335.02" u="1"/>
        <s v="HP 400 CLR-48mm x 50m-36 rls/cs-H 1523.6" u="1"/>
        <s v="CP 106 NAT-48mm x 55m-24 rls/cs-S 4014.51" u="1"/>
        <s v="HP 240 WR STOP-48mm x 914m-6 rls/cs-H " u="1"/>
        <s v="HP 100 CLR-53mm x 1500m-6 rls/cs-S 31947.7" u="1"/>
        <s v="HP 235 CLR-72mm x 100m-24 rls/cs-H 1522.54" u="1"/>
        <s v="HP 200 CLR-72mm x 914m-4 rls/cs-S 57506.8" u="1"/>
        <s v="HP 100 CLR-48mm x 1371m-6 rls/cs- S 106612.07" u="1"/>
        <s v="HP 500 TAN-48mm x 50m-36 rls/cs-H 615.16" u="1"/>
        <s v="P- 628 BLK-4in x 50m-12 rls/cs-H 1919.33" u="1"/>
        <s v="AP 101 CLR-48mm x 100m-36 rls/cs-S 1390" u="1"/>
        <s v="AP 101 CLR-48mm x 100m-36 rls/cs-S 642.94" u="1"/>
        <s v="HP 200 CLR-48mm x 914m-6 rls/cs-S 17187.04" u="1"/>
        <s v="HM 014 CLR-72mm x 100m-24 rls/cs-S 112.15" u="1"/>
        <s v="HP 100 CLR-72mm x 914m-4 rls/cs-S 2938.32" u="1"/>
        <s v="WP 150 WB TR 70mmx138m(450FT)-10rl/cs-NS 16599.33" u="1"/>
        <s v="HP 200 CLR-48mm x 1371m-6 rls/cs-S 8964.17" u="1"/>
        <s v="HP 100 CLR-48mm x 1371m-6 rls/cs- S 106612.09" u="1"/>
        <s v="CP 105 NAT-18mm x 55m-48 rls/cs-S 18749.47" u="1"/>
        <s v="SD 935, PISTOL GRIP DISPNSR-3 IN. ROLL-S 35.11" u="1"/>
        <s v="HP 200 CLR-48mm x 914m-6 rls/cs-S 9793.87" u="1"/>
        <s v="GS 501 CLR-24mm x 55m-36 rls/cs-H/A 276.57" u="1"/>
        <s v="HP 200 CLR-72mm x 1371m-4 rls/cs-S 15927.51" u="1"/>
        <s v="HP 200 ORG-48mm x 914m-6 rls/cs-H 352.84" u="1"/>
        <s v="HP 100 CLR-72mm x 914m-4 rls/cs-S 2518.56" u="1"/>
        <s v="HP 200 CLR-48mm x 914m-6 rls/cs-S 16615" u="1"/>
        <s v="DP 050 CLR-48mm x 50m-24 rls/cs-H 6084.48" u="1"/>
        <s v="HP 200 CLR-48mm x 100m-36 rls/cs-S 2309" u="1"/>
        <s v="AP 201 CLR-48mm x 914m-6 rls/cs-H/A 4410.45" u="1"/>
        <s v="HP 200 CLR-72mm x 100m-24 rls/cs-S 12702.09" u="1"/>
        <s v="VP 410 WHI- 50mm X 33m- 24 rls/cs-H 48.71" u="1"/>
        <s v="AP 201 CLR-48mm x 100m-36 rls/cs-H/A 174.64" u="1"/>
        <s v="HM 014 CLR-48mm x 100m-36 rls/cs-S 80.19" u="1"/>
        <s v="HP 200 CLR-48mm x 914m-6 rls/cs-S 30520.44" u="1"/>
        <s v="PC 007 SIL-48mm x 55m-24 rls/cs-S " u="1"/>
        <s v="HM 016 CLR-48mm x 914m-6 rls/cs-H/A 16888.02" u="1"/>
        <s v="HM 016 CLR-72mm x 100m-24 rls/cs-H/A 326.7" u="1"/>
        <s v="HP 500 CLR-72mm x 50m-24 rls/cs-H/A 63599.58" u="1"/>
        <s v="HP 100 CLR-48mm x 914m-6 rls/cs-S 6141.48" u="1"/>
        <s v="HM 018 CLR-72mm x 100m-24 rls/cs-H 3877.63" u="1"/>
        <s v="HP 200 CLR-72mm x 100m-24 rls/cs-S 2380.75" u="1"/>
        <s v="HP 200 CLR-72mm x 100m-24 rls/cs-S 7796.14" u="1"/>
        <s v="HP 100 CLR-72mm x 1371m-4 rls/cs-H/T 8553.6" u="1"/>
        <s v="HP 100 CLR-48mm x 1371m-6 rls/cs- S 83340" u="1"/>
        <s v="PC 590 SIL-48mm x 914cm-*DO NOT USE* 93.85" u="1"/>
        <s v="HM 014 CLR-48mm x 100m-36 rls/cs-S 418.07" u="1"/>
        <s v="CP 105 NAT-18mm x 55m-48 rls/cs-S 18019.59" u="1"/>
        <s v="FP 097 KFT-48mm x 55m-24 rls/cs-H/A 5991.31" u="1"/>
        <s v="AP 180 CLR-72mm x 100m-24 rls/cs-H/A 3764" u="1"/>
        <s v="HP 200 CLR-72mm x 100m-24 rls/cs-S 8211.44" u="1"/>
        <s v="HP 500 TAN-48mm x 50m-36 rls/cs-H 481.85" u="1"/>
        <s v="HP 500 CLR-72mm x 914m-4 rls/cs-S 281687.82" u="1"/>
        <s v="HP 100 CLR-48mm x 1371m-6 rls/cs- S 52005.89" u="1"/>
        <s v="CP 105 NAT-24mm x 55m- 36 rls/cs-S " u="1"/>
        <s v="HP 200 CLR-48mm x 1371m-6 rls/cs-H/A 4134.59" u="1"/>
        <s v="HP 200 TAN-72mm x 100m-24 rls/cs-H/A 76.51" u="1"/>
        <s v="HP 200 CLR-48mm x 914m-6 rls/cs-S 18295.2" u="1"/>
        <s v="HP 200 CLR-48mm x 914m-6 rls/cs-S 8365.89" u="1"/>
        <s v="HP 100 CLR-72mm x 100m-24 rls/cs-S 23265.79" u="1"/>
        <s v="HP 200 CLR-72mm x 914m-4 rls/cs-S 4555.98" u="1"/>
        <s v="HP 100 CLR-53mm x 1500m-6 rls/cs-S 12524.61" u="1"/>
        <s v="HP 100 CLR-72mm x 1371m-4 rls/cs-H/T 3284.58" u="1"/>
        <s v="FP 115 BRN-72mm x 55m-16 rls/cs-H 484.7" u="1"/>
        <s v="HP 100 CLR-53mm x 1500m-6 rls/cs-S 6088.02" u="1"/>
        <s v="HP 500 CLR-72mm x 50m-24 rls/cs-H/A 7056.72" u="1"/>
        <s v="HP 100 CLR-48mm x 1828m-6 rls/cs-S 35805.38" u="1"/>
        <s v="PE 444 RED- 48mm X 55m- 24 rls/cs-H/A 5360.27" u="1"/>
        <s v="GS 521 WHI-18mm x 55m-48 rls/cs-H 452.39" u="1"/>
        <s v="CP 106 NAT-72mm x 55m-16 rls/cs-S 7856.64" u="1"/>
        <s v="HM 014 CLR-48mm x 100m-36 rls/cs-S 249.13" u="1"/>
        <s v="SD 934  PISTOL GRIP TAPE DISPNSR PREM.-S 35.48" u="1"/>
        <s v="HP 100 CLR-48mm x 914m-6 rls/cs-S 7791.37" u="1"/>
        <s v="HP 200 CLR-48mm x 1371m-6 rls/cs-S 24759.11" u="1"/>
        <s v="FP 097 KFT-48mm x 50m-24 rls/cs-H 608" u="1"/>
        <s v="GS 490 WHI-18mm x 55m-48 rls/cs-H/A 840.16" u="1"/>
        <s v="PC 600 BLK-48mm x 55m-24 rls/cs-S 2181.16" u="1"/>
        <s v="HP 100 CLR-48mm x 914m-6 rls/cs-S 21756.54" u="1"/>
        <s v="HP 100 CLR-48mm x 1828m-6 rls/cs-S 4131.4" u="1"/>
        <s v="HM 014 CLR-48mm x 100m-36 rls/cs-S 14861.88" u="1"/>
        <s v="CP 106 NAT-72mm x 55m-16 rls/cs-S 17681.85" u="1"/>
        <s v="HP 100 CLR-53mm x 1500m-6 rls/cs-S 6688.92" u="1"/>
        <s v="HP 100 CLR-48mm x 1371m-6 rls/cs- S 1934.54" u="1"/>
        <s v="HP 200 CLR-72mm x 914m-4 rls/cs-S 1991.09" u="1"/>
        <s v="VP 410 WHI- 50mm X 33m- 24 rls/cs-H 99.79" u="1"/>
        <s v="HP 200 CLR-48mm x 100m-36 rls/cs-S 1250.96" u="1"/>
        <s v="HP 200 CLR-72mm x 100m-24 rls/cs-S 5196.31" u="1"/>
        <s v="AP 201 CLR-48mm x 100m-36 rls/cs-H/A 32.08" u="1"/>
        <s v="WP 150 BLU WISDOM 72mm x 138M - NS 4475.79" u="1"/>
        <s v="GS 490 CLR-18mm x 55m-48 rls/cs-H/A 1169.47" u="1"/>
        <s v="DF 545 BLU-48mm x 33m-24 rls/cs-H 687.14" u="1"/>
        <s v="HP 200 WHI-72mm x 100m-24 rls/cs-NS 6415.2" u="1"/>
        <s v="FP 097 KFT-4in x 60yd-12 rls/cs-H 351.9" u="1"/>
        <s v="HP 200 CLR-48mm x 1828m-6 rls/cs-S 4978.19" u="1"/>
        <s v="AP 201 CLR-48mm x 100m-36 rls/cs-H/A 1924.56" u="1"/>
        <s v="HP 500 TAN-48mm x 50m-36 rls/cs-H " u="1"/>
        <s v="HP 500 TAN-48mm x 50m-36 rls/cs-H 3613.89" u="1"/>
        <s v="DP 050 CLR-48mm x 50m-24 rls/cs-H 377.78" u="1"/>
        <s v="HP 500 CLR-72mm x 914m-4 rls/cs-S 668138.79" u="1"/>
        <s v="CP 105 NAT-18mm x 55m-48 rls/cs-S 26.61" u="1"/>
        <s v="03042 SPARE CLEAR WIPER FOR FE-3 " u="1"/>
        <s v="AF 075 SIL-1in x 60yd-36 rls/cs-H 522.48" u="1"/>
        <s v="CP 083 NAT-48mm x 55m-24 rls/cs-S 1124.32" u="1"/>
        <s v="HP 200 CLR-72mm x 914m-4 rls/cs-S 3590.61" u="1"/>
        <s v="HP 100 CLR-72mm x 100m-24 rls/cs-S 3169.1" u="1"/>
        <s v="HP 100 CLR-53mm x 1500m-6 rls/cs-S 50837.81" u="1"/>
        <s v="HP 100 CLR-48mm x 914m-6 rls/cs-S 112.15" u="1"/>
        <s v="HP 500 CLR-72mm x 914m-4 rls/cs-S 44008.27" u="1"/>
        <s v="AP 201 CLR-48mm x 100m-36 rls/cs-H/A 320.76" u="1"/>
        <s v="HP 100 CLR-72mm x 100m-24 rls/cs-S 5616.86" u="1"/>
        <s v="HP 100 CLR-53mm x 1500m-6 rls/cs-S 23838.89" u="1"/>
        <s v="HP 200 CLR-72mm x 1371m-4 rls/cs-S 11436.16" u="1"/>
        <s v="HP 200 CLR-48mm x 100m-36 rls/cs-S 3690.88" u="1"/>
        <s v="HM 018 CLR-48mm x 100m-36 rls/cs-H 2737.15" u="1"/>
        <s v="CP 101 NAT-24mm x 55m-36 rls/cs-H/T 642.23" u="1"/>
        <s v="HP 100 CLR-72mm x 914m-4 rls/cs-S 23824.62" u="1"/>
        <s v="SD 934, PISTOL GRIP TAPE DISPNSR PREM.-S 207" u="1"/>
        <s v="HP 200 CLR-72mm x 914m-4 rls/cs-S 2171.66" u="1"/>
        <s v="HP 400 CLR-48mm x 914m-6 rls/cs-H/A 3709.88" u="1"/>
        <s v="PC 600 SIL-48mm x 55m-24 rls/cs-S 704.25" u="1"/>
        <s v="HP 200 CLR-72mm x 914m-4 rls/cs-S 1302.39" u="1"/>
        <s v="AP 180 CLR-48mm x 914m-6 rls/cs-H/A 6540.66" u="1"/>
        <s v="HP 200 CLR-72mm x 914m-4 rls/cs-S 4977.72" u="1"/>
        <s v="HP 100 CLR-48mm x 1371m-6 rls/cs- S 24606.59" u="1"/>
        <s v="CP 450 NAT-24mm x 55m-36 rls/cs-H 296.17" u="1"/>
        <s v="HM 018 CLR-72mm x 100m-24 rls/cs-H/A 5730.9" u="1"/>
        <s v="HP 500 CLR-72mm x 50m-24 rls/cs-H/A 21170.16" u="1"/>
        <s v="HP 100 CLR-48mm x 914m-6 rls/cs-S 7116.6" u="1"/>
        <s v="GS 490 WHI-48mm x 55m-24 rls/cs-H/A 6082.56" u="1"/>
        <s v="HM 018 CLR-72mm x 100m-24 rls/cs-H/A 7422.62" u="1"/>
        <s v="HP 200 CLR-72mm x 914m-4 rls/cs-S 10659.68" u="1"/>
        <s v="HP 200 CLR-48mm x 100m-36 rls/cs-S 10050.49" u="1"/>
        <s v="AP 101 CLR-48mm x 914m-6 rls/cs-H 276.93" u="1"/>
        <s v="FE-2 Folded-Edge Tape Dispenser - H 222.75" u="1"/>
        <s v="HP 100 CLR-53mm x 1500m-6 rls/cs-S 10747.6" u="1"/>
        <s v="HP 200 CLR-72mm x 914m-4 rls/cs-S 424.23" u="1"/>
        <s v="HP 100 CLR-48mm x 1371m-6 rls/cs- S 14501.91" u="1"/>
        <s v="CP 106 NAT-48mm x 55m-24 rls/cs-S 3058.38" u="1"/>
        <s v="AP 201 CLR-48mm x 100m-36 rls/cs-H/A 10328.47" u="1"/>
        <s v="FP 097 KFT-72mm x 55m-16 rls/cs-H 2347.51" u="1"/>
        <s v="CP 027 BLU-48mm x 55m-24 rls/cs-S " u="1"/>
        <s v="FP 097 KFT-72mm x 55m-16 rls/cs-H/A 1096.12" u="1"/>
        <s v="AF 973 SIL-48mm x 46m-24 rls/cs-H 780.52" u="1"/>
        <s v="HP 100 CLR-53mm x 1500m-6 rls/cs-S 9113.86" u="1"/>
        <s v="HP 500 CLR-72mm x 914m-4 rls/cs-S 163259.74" u="1"/>
        <s v="PE 444 RED- 48mm X 55m- 24 rls/cs-H/A 5635.14" u="1"/>
        <s v="CP 66L NAT-48mm x 165m- 6 rls/cs-C 6704.77" u="1"/>
        <s v="AP 180 CLR-48mm x 100m-36 rls/cs-H/A 4348.06" u="1"/>
        <s v="FP 096 KFT-72mm x 55m-16 rls/cs-H 2187.82" u="1"/>
        <s v="HP 200 RED-48mm x 100m-36 rls/cs-H 79.83" u="1"/>
        <s v="HP 500 TAN-48mm x 50m-36 rls/cs-H 1686.48" u="1"/>
        <s v="HP 200 CLR-72mm x 914m-4 rls/cs-S 4720.77" u="1"/>
        <s v="GS 490 WHI-18mm x 55m-48 rls/cs-H/A 1869" u="1"/>
        <s v="HM 018 CLR-72mm  *DO NOT USE* 1967.33" u="1"/>
        <s v="CP 631 RED-18mm x 55m-48 rls/cs-H 631.08" u="1"/>
        <s v="HP 100 CLR-72mm x 914m-4 rls/cs-S 5979.91" u="1"/>
        <s v="HP 200 CLR-48mm x 914m-6 rls/cs-S 239.02" u="1"/>
        <s v="HP 300 CLR-53mm x 914m-6 rls/cs-H 1592.21" u="1"/>
        <s v="DF 642 NAT-48mm x 23m-24 rls/cs-H/A 536.97" u="1"/>
        <s v="AP 201 CLR-48mm x 914m-6 rls/cs-H/A 2575.48" u="1"/>
        <s v="HP 200 BLU-48mm x 914m-6 rls/cs-H 133.41" u="1"/>
        <s v="HP 200 CLR-72mm x 914m-4 rls/cs-S 2132.69" u="1"/>
        <s v="CP 101 NAT-24mm x 55m-36 rls/cs-H/T 932.34" u="1"/>
        <s v="FP 097 KFT-72mm x 55m-16 rls/cs-H/A 2759.94" u="1"/>
        <s v="HP 200 CLR-48mm x 1371m-6 rls/cs-S 16273.22" u="1"/>
        <s v="AP 201 CLR-48mm x 100m-36 rls/cs-H/A 24890.98" u="1"/>
        <s v="HP 400 CLR-72mm x 100m-24 rls/cs-H/A 2469.14" u="1"/>
        <s v="AP 101 CLR-48mm x 914m-6 rls/cs-H 553.86" u="1"/>
        <s v="HP 100 CLR-48mm x 100m-36 rls/cs-S 6586.26" u="1"/>
        <s v="HP 232 CLR-72mm x 914m-4 rls/cs-H/A 27662.35" u="1"/>
        <s v="HP 235 CLR-72mm x 1371m-4 rls/cs-H 38821.94" u="1"/>
        <s v="HP 200 CLR-72mm x 914m-4 rls/cs-S 125.45" u="1"/>
        <s v="FP 115 BRN-72mm x 55m-16 rls/cs-H 1260.22" u="1"/>
        <s v="HP 100 CLR-72mm x 1500m-4 rls/cs-H/T 10794.64" u="1"/>
        <s v="HP 100 CLR-48mm x 1371m-6 rls/cs- S 33803.83" u="1"/>
        <s v="CP 631 GRN-18mm x 55m-48 rls/cs-H " u="1"/>
        <s v="HP 200 CLR-48mm x 1371m-6 rls/cs-S 6614.08" u="1"/>
        <s v="HP 200 RED-48mm x 100m-36 rls/cs-H 139" u="1"/>
        <s v="HP 100 CLR-48mm x 1371m-6 rls/cs- S 12719.2" u="1"/>
        <s v="FP 097 KFT-48mm x 50m-24 rls/cs-H " u="1"/>
        <s v="HP 200 RED-48mm x 100m-36 rls/cs-H 149" u="1"/>
        <s v="FP 097 KFT-72mm x 55m-16 rls/cs-H/A 2915.2" u="1"/>
        <s v="HP 100 CLR-48mm x 914m-6 rls/cs-S 15077.14" u="1"/>
        <s v="HP 500 CLR-72mm x 914m-4 rls/cs-S 140746.64" u="1"/>
        <s v="HP 100 TAN-72mm x 914m-4 rls/cs-H 117.54" u="1"/>
        <s v="HP 200 WHI-48mm x 914m-6 rls/cs-H 8004.74" u="1"/>
        <s v="HP 200 CLR-48mm x 1371m-6 rls/cs-S 6774.45" u="1"/>
        <s v="HP 200 CLR-48mm x 1371m-6 rls/cs-S 4064.22" u="1"/>
        <s v="CP 011 BLU-48mm x 55m-24 rls/cs-H " u="1"/>
        <s v="HP 100 CLR-72mm x 914m-4 rls/cs-S 2395.56" u="1"/>
        <s v="AP 201 CLR-48mm x 1371m-6 rls/cs-H 1016.93" u="1"/>
        <s v="HP 400 CLR-48mm x 100m-36 rls/cs-H/A 206" u="1"/>
        <s v="P- 628 BLK-48mm x 50m-24 RLS/CS-S 1127.16" u="1"/>
        <s v="FE 72 Folded-Edge Tape Dispenser 110.88" u="1"/>
        <s v="P- 628 BLK-48mm x 50m-24 RLS/CS-S 1127.17" u="1"/>
        <s v="GS 500 WHI-48mm x 55m-24 rls/cs-H/A 814.96" u="1"/>
        <s v="WP 300 NAT-76mmx138m(450ft)-10rls/cs-H/A 391.05" u="1"/>
        <s v="FP 096 KFT-72mm x 55m-16 rls/cs-H 85.54" u="1"/>
        <s v="HP 200 CLR-72mm x 914m-4 rls/cs-S 2383.59" u="1"/>
        <s v="HP 100 CLR-53mm x 1500m-6 rls/cs-S 17855.65" u="1"/>
        <s v="HM 016 CLR-72mm x 100m-24 rls/cs-H/A 2794.18" u="1"/>
        <s v="FP 115 BRN-72mm x 55m-16 rls/cs-H 1454.1" u="1"/>
        <s v="AP 180 CLR-72mm x 1371m-4 rls/cs-H 2809.86" u="1"/>
        <s v="HP 100 CLR-72mm x 100m-24 rls/cs-S 3626.73" u="1"/>
        <s v="HP 200 CLR-72mm x 914m-4 rls/cs-S 627.27" u="1"/>
        <s v="HP 500 CLR-72mm x 914m-4 rls/cs-S 3984.55" u="1"/>
        <s v="CP 66L NAT-18mm x 55m-48 rls/cs-X 353.55" u="1"/>
        <s v="10469 KNIFE-T 115.51" u="1"/>
        <s v="GS 490 WHI-48mm x 55m-24 rls/cs-H/A 1175.17" u="1"/>
        <s v="HP 500 CLR-72mm x 914m-4 rls/cs-S 448383.51" u="1"/>
        <s v="HP 200 CLR-48mm x 914m-6 rls/cs-S 23846.49" u="1"/>
        <s v="HP 200 CLR-72mm x 914m-4 rls/cs-S 2714.34" u="1"/>
        <s v="HP 200 CLR-72mm x 914m-4 rls/cs-H/A 670.03" u="1"/>
        <s v="GS 531 WHI-36mm x 55m-24 rls/cs-H " u="1"/>
        <s v="WP 100 NAT-72mmx138m(450ft)-10rls/cs-H/A 2047.81" u="1"/>
        <s v="HP 500 TAN-48mm x 50m-36 rls/cs-H 4475" u="1"/>
        <s v="HP 200 CLR-72mm x 100m-24 rls/cs-S 3079.3" u="1"/>
        <s v="HP 500 CLR-48mm x 100m-36 rls/cs-H 2349.4" u="1"/>
        <s v="HP 200 CLR-53mm x 1371m-6 rls/cs-H 23338.5" u="1"/>
        <s v="HM 018 CLR-48mm x 100m-36 rls/cs-S 3635" u="1"/>
        <s v="HP 200 CLR-72mm x 1371m-4 rls/cs-S 5232.65" u="1"/>
        <s v="HP 200 CLR-72mm x 914m-4 rls/cs-S 3763.58" u="1"/>
        <s v="AP 201 CLR-48mm x 100m-36 rls/cs-H/A 0" u="1"/>
        <s v="HP 200 ORG-48mm x 914m-6 rls/cs-H 11157" u="1"/>
        <s v="HP 200 CLR-48mm x 100m-36 rls/cs-S 9051.87" u="1"/>
        <s v="HP 100 CLR-72mm x 100m-24 rls/cs-S 3056.72" u="1"/>
        <s v="HP 100 CLR-48mm x 1371m-6 rls/cs- S 9665.88" u="1"/>
        <s v="SD 934  PISTOL GRIP TAPE DISPNSR PREM.-S 130.97" u="1"/>
        <s v="WP 100 NAT-70mmx138m(450ft)-10rls/cs-H/A 615.18" u="1"/>
        <s v="HP 200 CLR-48mm x 100m-36 rls/cs-S 9611.79" u="1"/>
        <s v="HP 500 CLR-72mm x 50m-24 rls/cs-H/A 26250.05" u="1"/>
        <s v="HP 300 CLR-48mm x 100m-36 rls/cs-H/A 2558.96" u="1"/>
        <s v="CP 105 NAT-72mm x 55m-16 rls/cs-H 993.49" u="1"/>
        <s v="GS 490 WHI-12mm x 55m-72 rls/cs-H/A 3740.77" u="1"/>
        <s v="AP 101 CLR-48mm x 100m-36 rls/cs-S 3528.36" u="1"/>
        <s v="HP 240 WR STOP-72mm x 100m-24 rls/cs-H 287.26" u="1"/>
        <s v="HP 200 BLU-72mm x 914m-4 rls/cs-H 18883.27" u="1"/>
        <s v="SD 934  PISTOL GRIP TAPE DISPNSR PREM.-S 226.2" u="1"/>
        <s v="HP 200 CLR-48mm x 1371m-6 rls/cs-S 5332.7" u="1"/>
        <s v="HP 200 CLR-48mm x 1371m-6 rls/cs-S 6614.09" u="1"/>
        <s v="HP 500 CLR-72mm x 50m-24 rls/cs-H/A 29966.11" u="1"/>
        <s v="AP 180 CLR-72mm x 100m-24 rls/cs-H/A 62.73" u="1"/>
        <s v="HP 100 CLR-53mm x 1500m-6 rls/cs-S 19418.82" u="1"/>
        <s v="HP 200 CLR-48mm x 200m-36 rls/cs-H 5431.53" u="1"/>
        <s v="DP 380 GLA-48mm x 50m-24 rls/cs-H 282.03" u="1"/>
        <s v="HP 132 CLR-48mm x 914m-6 rls/cs-H/T 15211.15" u="1"/>
        <s v="HP 200 CLR-48mm x 914m-6 rls/cs-S 8963.46" u="1"/>
        <s v="HP 200 CLR-36mm x 914m-8 rls/cs-H " u="1"/>
        <s v="HP 200 CLR-48mm x 1371m-6 rls/cs-S 6774.46" u="1"/>
        <s v="HP 100 CLR-48mm x 914m-6 rls/cs-S 10081.85" u="1"/>
        <s v="HP 400 CLR-72mm x 914m-4 rls/cs-H/A 520.34" u="1"/>
        <s v="HP 100 CLR-48mm x 914m-6 rls/cs-S 7946.29" u="1"/>
        <s v="TG 356 NAT-12mm x 33m-72 rls/cs-S 230.95" u="1"/>
        <s v="HM 016 CLR-72mm x 100m-24 rls/cs-H/A 6682" u="1"/>
        <s v="GS 501 WHI-24mm x 55m-36 rls/cs-H/A " u="1"/>
        <s v="CP 66L NAT-72mm x 55m-16 rls/cs-NS 5588.35" u="1"/>
        <s v="HP 100 CLR-53mm x 1500m-6 rls/cs-S 14746.4" u="1"/>
        <s v="HM 018 CLR-72mm x 100m-24 rls/cs-H/A 573.09" u="1"/>
        <s v="AP 201 CLR-48mm x 100m-36 rls/cs-H/A 12830.4" u="1"/>
        <s v="FP 097 KFT-72mm x 55m-16 rls/cs-H/A 1958" u="1"/>
        <s v="HP 200 CLR-72mm x 100m-24 rls/cs-S 3806.34" u="1"/>
        <s v="AP 201 CLR-48mm x 914m-6 rls/cs-H/A 3029.4" u="1"/>
        <s v="FE 53 Folded-Edge Tape Dispenser 148.5" u="1"/>
        <s v="HM 018 CLR-72mm x 100m-24 rls/cs-H 1967.33" u="1"/>
        <s v="GS 490 WHI-48mm x 55m-24 rls/cs-H/A 1505.45" u="1"/>
        <s v="CP 106 NAT-72mm x 55m-16 rls/cs-S 10999.3" u="1"/>
        <s v="HP 100 CLR-72mm x 914m-4 rls/cs-S 1111.37" u="1"/>
        <s v="SD 934  PISTOL GRIP TAPE DISPNSR PREM.-S 106.44" u="1"/>
        <s v="CP 083 NAT-24mm x 55m-36 rls/cs-S 0" u="1"/>
        <s v="HP 100 TAN-48mm x 100m-36 rls/cs-S 0" u="1"/>
        <s v="HP 200 ORG-48mm x 914m-6 rls/cs-H 13534.65" u="1"/>
        <s v="AP 401 CLR-48mm x 100m-36 rls/cs-H/A 62.37" u="1"/>
        <s v="HP 100 CLR-72mm x 100m-24 rls/cs-S 1216.51" u="1"/>
        <s v="HP 100 CLR-53mm x 1500m-6 rls/cs-S 18989" u="1"/>
        <s v="HP 200 CLR-72mm x 914m-4 rls/cs-S 599.98" u="1"/>
        <s v="HP 100 CLR-48mm x 914m-6 rls/cs-S 5169.22" u="1"/>
        <s v="HP 200 BLU-48mm x 914m-6 rls/cs-H 4274.66" u="1"/>
        <s v="HP 200 TAN-72mm x 100m-24 rls/cs-H/A 1290.18" u="1"/>
        <s v="WP 150 BLU NEXHART 72mm x 138M - NS 18486.47" u="1"/>
        <s v="HP 400 CLR-72mm x 100m-24 rls/cs-H/A 12972.95" u="1"/>
        <s v="AP 180 CLR-48mm x 1371m-6 rls/cs-H 9031.18" u="1"/>
        <s v="HP 200 CLR-72mm x 914m-4 rls/cs-H/A 670.04" u="1"/>
        <s v="HP 200 CLR-48mm x 914m-6 rls/cs-S 8544.68" u="1"/>
        <s v="HP 232 CLR-48mm x 914m-6 rls/cs-H/A 6434.69" u="1"/>
        <s v="GS 490 WHI-24mm x 55m-36 rls/cs-H/A 204.94" u="1"/>
        <s v="HP 100 CLR-48mm x 100m-36 rls/cs-S 30547.75" u="1"/>
        <s v="HP 132 CLR-72mm x 100m-24 rls/cs-H 6227.02" u="1"/>
        <s v="FP 097 KFT-72mm x 55m-16 rls/cs-H/A 2594.57" u="1"/>
        <s v="GS 521 WHI-18mm x 55m-48 rls/cs-H 347.85" u="1"/>
        <s v="HP 200 CLR-72mm x 1371m-4 rls/cs-S 5232.66" u="1"/>
        <s v="HM 016 CLR-48mm x 914m-6 rls/cs-H/A 1090.23" u="1"/>
        <s v="EV 057 BLK-3/4in x 60ft-100 rls/cs-H " u="1"/>
        <s v="HP 200 CLR-48mm x 914m-6 rls/cs-S 6586.28" u="1"/>
        <s v="HP 132 CLR-48mm x 100m-36 rls/cs-H 0" u="1"/>
        <s v="WP 150 DOUXO 72mm x 138m(450FT)-10r/cs " u="1"/>
        <s v="AP 180 CLR-48mm x 100m-36 rls/cs-H/A 8874.35" u="1"/>
        <s v="HP 200 TAN-48mm x 914m-6 rls/cs-H 67" u="1"/>
        <s v="HP 200 CLR-72mm x 914m-4 rls/cs-S 1327.39" u="1"/>
        <s v="HP 100 TAN-48mm x 100m-36 rls/cs-S 2531.15" u="1"/>
        <s v="CP 107 NAT-48mm x 55m-24 rls/cs-H/A 7042.48" u="1"/>
        <s v="SD 934, PISTOL GRIP TAPE DISPNSR PREM.-S 939.78" u="1"/>
        <s v="HP 100 CLR-53mm x 1500m-6 rls/cs-S 16067.35" u="1"/>
        <s v="HP 200 CLR-48mm x 1371m-6 rls/cs-H/A 9045.42" u="1"/>
        <s v="CP 106 NAT-48mm x 55m-24 rls/cs-S 41.82" u="1"/>
        <s v="SF 686 SPT- 2IN X 100FT- 24 RLS/CS-H/A " u="1"/>
        <s v="HM 018 CLR - 48mm x 100m - 36 rls/cs - S " u="1"/>
        <s v="HP 100 CLR-53mm x 1500m-6 rls/cs-S 18053.45" u="1"/>
        <s v="HP 100 CLR-48mm x 1371m-6 rls/cs- S 30322.51" u="1"/>
        <s v="HP 100 CLR-53mm x 1500m-6 rls/cs-S 22951.42" u="1"/>
        <s v="HM 018 CLR-48mm x 100m-36 rls/cs-S 2737.15" u="1"/>
        <s v="HP 100 CLR-48mm x 914m-6 rls/cs-S 20021.11" u="1"/>
        <s v="HP 200 CLR-48mm x 100m-36 rls/cs-S 2136.62" u="1"/>
        <s v="GS 490 WHI-48mm x 55m-24 rls/cs-H/A 2275.27" u="1"/>
        <s v="HP 100 CLR-72mm x 1371m-4 rls/cs-H/T 10384.07" u="1"/>
        <s v="CP 631 GRN-24mm x 55m-36 rls/cs-H 205.29" u="1"/>
        <s v="HP 200 CLR-48mm x 914m-6 rls/cs-S 7966.24" u="1"/>
        <s v="HP 200 CLR-48mm x 914m-6 rls/cs-S 7966.25" u="1"/>
        <s v="HP 500 CLR-72mm x 50m-24 rls/cs-H/A 16080.76" u="1"/>
        <s v="HP 200 CLR-48mm x 914m-6 rls/cs-S 7966.26" u="1"/>
        <s v="HP 100 CLR-72mm x 100m-24 rls/cs-S 33658.42" u="1"/>
        <s v="CP 450 NAT-72mm x 55m-16 rls/cs-NS 1497.19" u="1"/>
        <s v="SD 934  PISTOL GRIP TAPE DISPNSR PREM.-S 231.12" u="1"/>
        <s v="10469 KNIFE-T " u="1"/>
        <s v="VP 410 WHI- 50mm X 33m- 24 rls/cs-H 71.52" u="1"/>
        <s v="SD 934, PISTOL GRIP TAPE DISPNSR PREM.-S 604.41" u="1"/>
        <s v="CP 105 NAT-18mm x 55m-48 rls/cs-S 17654.63" u="1"/>
        <s v="HP 200 CLR-48mm x 1371m-6 rls/cs-S 29522.77" u="1"/>
        <s v="HP 200 CLR-48mm x 1371m-6 rls/cs-S 3169.58" u="1"/>
        <s v="AP 101 CLR-48mm x 100m-36 rls/cs-S 5388.78" u="1"/>
        <s v="AP 201 CLR-72mm x 100m-24 rls/cs-H/A 176.77" u="1"/>
        <s v="HP 200 TAN-48mm x 100m-36 rls/cs-H/A " u="1"/>
        <s v="HM 016 CLR-48mm x 914m-6 rls/cs-H/A 353.91" u="1"/>
        <s v="HP 100 CLR-53mm x 1500m-6 rls/cs-S 6758.77" u="1"/>
        <s v="HP 100 CLR-48mm x 1371m-6 rls/cs- S 25254.5" u="1"/>
        <s v="HP 200 CLR-72mm x 914m-4 rls/cs-H/A 2689.63" u="1"/>
        <s v="HP 200 YEL-48mm x 914m-6 rls/cs-H 294.03" u="1"/>
        <s v="HP 200 TAN-48mm x 914m-6 rls/cs-H 1332.93" u="1"/>
        <s v="GS 490 CLR-18mm x 55m-48 rls/cs-H/A 406.77" u="1"/>
        <s v="AP 180 CLR-48mm x 100m-36 rls/cs-H/A 1995.84" u="1"/>
        <s v="HP 200 CLR-72mm x 914m-4 rls/cs-H/A 21517.04" u="1"/>
        <s v="HP 400 CLR-72mm x 100m-24 rls/cs-H/A 540.54" u="1"/>
        <s v="HM 016 CLR-48mm x 914m-6 rls/cs-H/A 1297.89" u="1"/>
        <s v="HP 200 CLR-48mm x 100m-36 rls/cs-S 13768" u="1"/>
        <s v="HP 400 CLR-48mm x 50m-36 rls/cs-H 108.35" u="1"/>
        <s v="HP 100 CLR-48mm x 914m-6 rls/cs-S 5383.05" u="1"/>
        <s v="HP 200 CLR-48mm x 100m-36 rls/cs-S 11547.35" u="1"/>
        <s v="HP 100 CLR-48mm x 914m-6 rls/cs-S 5383.06" u="1"/>
        <s v="CP 631 GRN-18mm x 55m-48 rls/cs-H 494.21" u="1"/>
        <s v="HP 100 CLR-48mm x 914m-6 rls/cs-S 5383.07" u="1"/>
        <s v="HP 100 CLR-53mm x 1500m-6 rls/cs-S 9973.26" u="1"/>
        <s v="HP 500 CLR-72mm x 914m-4 rls/cs-S 443133.49" u="1"/>
        <s v="HP 100 CLR-48mm x 914m-6 rls/cs-S 741.31" u="1"/>
        <s v="HP 200 CLR-48mm x 914m-6 rls/cs-S 21076.06" u="1"/>
        <s v="HP 200 CLR-48mm x 1371m-6 rls/cs-S 2177.6" u="1"/>
        <s v="FP 096 KFT-48mm x 55m-24 rls/cs-S 175.82" u="1"/>
        <s v="HM 016 CLR-48mm x 914m-6 rls/cs-H/A 363.41" u="1"/>
        <s v="AP 180 CLR-48mm x 100m-36 rls/cs-H/A 1474.06" u="1"/>
        <s v="AP 201 CLR-48mm x 100m-36 rls/cs-H/A 10157.4" u="1"/>
        <s v="HP 100 CLR-48mm x 1371m-6 rls/cs- S 3032" u="1"/>
        <s v="CP 083 NAT-48mm x 55m-24 rls/cs-S 515.6" u="1"/>
        <s v="FP 097 KFT-72mm x 55m-16 rls/cs-H 555.99" u="1"/>
        <s v="HP 132 CLR-48mm x 914m-6 rls/cs-S 7698.24" u="1"/>
        <s v="HP 200 CLR-48mm x 100m-36 rls/cs-S 1090.58" u="1"/>
        <s v="PC 006 SIL-48mm x 55m-24 rls/cs-H/A 1367.86" u="1"/>
        <s v="GS 521 WHI-18mm x 55m-48 rls/cs-H " u="1"/>
        <s v="AP 401 CLR-48mm x 100m-36 rls/cs-H/A 0" u="1"/>
        <s v="HP 100 CLR-53mm x 1500m-6 rls/cs-S 55801.52" u="1"/>
        <s v="HP 200 CLR-72mm x 914m-4 rls/cs-S 3187.88" u="1"/>
        <s v="SD 934  PISTOL GRIP TAPE DISPNSR PREM.-S 50.73" u="1"/>
        <s v="GS 490 WHI-48mm x 55m-24 rls/cs-H/A 16432.42" u="1"/>
        <s v="HP 200 CLR-48mm x 200m-36 rls/cs-H 2896.82" u="1"/>
        <s v="HP 200 CLR-72mm x 100m-24 rls/cs-S 1226.01" u="1"/>
        <s v="CP 631 RED-18mm x 55m-48 rls/cs-H 300" u="1"/>
        <s v="CP 106 NAT-72mm x 55m-16 rls/cs-S 10766.13" u="1"/>
        <s v="HP 132 CLR-72mm x 100m-24 rls/cs-H 27622.43" u="1"/>
        <s v="HP 300 CLR-48mm x 100m-36 rls/cs-H/A 1197.51" u="1"/>
        <s v="HP 200 CLR-48mm x 914m-6 rls/cs-S 5132.16" u="1"/>
        <s v="HP 100 CLR-53mm x 1500m-6 rls/cs-S 9443.18" u="1"/>
        <s v="GS 490 WHI-36mm x 55m-24 rls/cs-H/A 96" u="1"/>
        <s v="HP 200 CLR-48mm x 1371m-6 rls/cs-S 6254.09" u="1"/>
        <s v="HP 500 CLR-72mm x 914m-4 rls/cs-S 1126611.75" u="1"/>
        <s v="CP 450 NAT-36mm x 55m-24 rls/cs-H 1580.04" u="1"/>
        <s v="FP 097 KFT-72mm x 55m-16 rls/cs-H/A 9683.62" u="1"/>
        <s v="GS 501 CLR-24mm x 55m-36 rls/cs-H/A 4909.05" u="1"/>
        <s v="HP 235 CLR-72mm x 100m-24 rls/cs-H 12071.99" u="1"/>
        <s v="HP 500 CLR-72mm x 914m-4 rls/cs-S 11344.95" u="1"/>
        <s v="FP 115 BRN-72mm x 55m-16 rls/cs-H 1066.34" u="1"/>
        <s v="AP 101 CLR-48mm x 100m-36 rls/cs-S 615.86" u="1"/>
        <s v="HP 200 CLR-48mm x 914m-6 rls/cs-S 6529.25" u="1"/>
        <s v="HP 200 CLR-72mm x 1371m-4 rls/cs-S 8518.44" u="1"/>
        <s v="VP 410 DBL- 50MM X 33M- 24 RLS/CS-H " u="1"/>
        <s v="HP 200 CLR-48mm x 914m-6 rls/cs-S 10161.67" u="1"/>
        <s v="HP 200 CLR-48mm x 1371m-6 rls/cs-S 6774.48" u="1"/>
        <s v="HP 200 CLR-72mm x 1371m-4 rls/cs-S 10076.74" u="1"/>
        <s v="HP 100 CLR-48mm x 914m-6 rls/cs-S 11707.03" u="1"/>
        <s v="HP 200 CLR-48mm x 200m-36 rls/cs-H 3621.02" u="1"/>
        <s v="HP 200 BLU-48mm x 914m-6 rls/cs-H 2099.37" u="1"/>
        <s v="HM 018 CLR-48mm x 100m-36 rls/cs-X 2737.15" u="1"/>
        <s v="HP 100 CLR-48mm x 1371m-6 rls/cs- S 2677.28" u="1"/>
        <s v="HP 200 CLR-48mm x 1500m-6 rls/cs-H 21632.05" u="1"/>
        <s v="HP 200 WHI-72mm x 100m-24 rls/cs-NS 1003.86" u="1"/>
        <s v="DP 380 GLA-48mm x 50m-24 rls/cs-H 3079.29" u="1"/>
        <s v="HP 200 CLR-48mm x 100m-36 rls/cs-S 20678.31" u="1"/>
        <s v="HP 200 CLR-72mm x 914m-4 rls/cs-S 4120.93" u="1"/>
        <s v="GS 490 WHI-18mm x 55m-48 rls/cs-H/A 14277.37" u="1"/>
        <s v="HP 150 CY STOP-53mm x 100m-36 rls/cs-NS 6016.75" u="1"/>
        <s v="HP 200 CLR-72mm x 100m-24 rls/cs-S 11319" u="1"/>
        <s v="HP 200 WHI-72mm x 100m-24 rls/cs-NS 17132.39" u="1"/>
        <s v="HP 500 CLR-72mm x 50m-24 rls/cs-H/A 18247.68" u="1"/>
        <s v="CP 66L NAT-4in x 240yd-3 rls/cs-H 41211.96" u="1"/>
        <s v="HP 200 CLR-53mm x 1371m-6 rls/cs-H 9757.04" u="1"/>
        <s v="FP 097 KFT-72mm x 55m-16 rls/cs-H/A 3295.02" u="1"/>
        <s v="CP 083 NAT-48mm x 55m-24 rls/cs-S 2974.03" u="1"/>
        <s v="HP 200 CLR-48mm x 100m-36 rls/cs-S 2446.33" u="1"/>
        <s v="SD 932  PISTOL GRIP TAPE DISP. ECONOMY-S 46.33" u="1"/>
        <s v="GS 490 WHI-24mm x 55m-36 rls/cs-H/A 244.14" u="1"/>
        <s v="HP 100 CLR-53mm x 1500m-6 rls/cs-S 4448.35" u="1"/>
        <s v="HP 200 CLR-72mm x 914m-4 rls/cs-H/A 2010.1" u="1"/>
        <s v="CP 631 RED-18mm x 55m-48 rls/cs-H 631.07" u="1"/>
        <s v="CP 631 GRN-18mm x 55m-48 rls/cs-H 859.17" u="1"/>
        <s v="FP 115 BRN-48mm x 55m-24 rls/cs-H 888.62" u="1"/>
        <s v="PC 590 SIL-48mm x 914cm-24 rl/cs-X 93.85" u="1"/>
        <s v="CP 106 NAT-48mm x 55m-24 rls/cs-S 4480.18" u="1"/>
        <s v="CP 500 NAT-48mm x 55m-24 rls/cs-H " u="1"/>
        <s v="VP 410 BLK-50mm x 33m-24 rls/cs-H 225.24" u="1"/>
        <s v="AP 180 CLR-72mm x 100m-24 rls/cs-H/A 9451.73" u="1"/>
        <s v="HP 200 CLR-72mm x 100m-24 rls/cs-S 1716.42" u="1"/>
        <s v="CP 083 NAT-24mm x 55m-36 rls/cs-S 263.02" u="1"/>
        <s v="HP 500 CLR-48mm x 100m-36 rls/cs-H 3524.1" u="1"/>
        <s v="HP 235 CLR-48mm x 100m-36 rls/cs-H 3758.23" u="1"/>
        <s v="HP 100 CLR-48mm x 1371m-6 rls/cs- S 16564.05" u="1"/>
        <s v="HP 200 CLR-48mm x 914m-6 rls/cs-S 949.21" u="1"/>
        <s v="CP 101 NAT-24mm x 55m-36 rls/cs-H/T 132.58" u="1"/>
        <s v="GS 501 WHI-24mm x 55m-36 rls/cs-H/A 141.13" u="1"/>
        <s v="HP 200 CLR-72mm x 914m-4 rls/cs-S 2736.2" u="1"/>
        <s v="AP 180 CLR-48mm x 1371m-6 rls/cs-H 10734.75" u="1"/>
        <s v="CP 107 NAT-48mm x 55m-24 rls/cs-H/A 7530.03" u="1"/>
        <s v="PC 006 SIL-48mm x 55m-24 rls/cs-H/A 838" u="1"/>
        <s v="CP 106 NAT-24mm x 55m-36 rls/cs-S 299.38" u="1"/>
        <s v="HP 200 CLR-48mm x 1371m-6 rls/cs-S 10971.77" u="1"/>
        <s v="DP 380 GLA-72mm x 50m-16 rls/cs-H 147.15" u="1"/>
        <s v="AP 101 CLR-48mm x 100m-36 rls/cs-S 2523.31" u="1"/>
        <s v="HP 200 CLR-72mm x 914m-4 rls/cs-S 5770.83" u="1"/>
        <s v="HP 200 CLR-72mm x 914m-4 rls/cs-S 414.85" u="1"/>
        <s v="HP 100 CLR-72mm x 914m-4 rls/cs-S 5379" u="1"/>
        <s v="HP 500 CLR-72mm x 914m-4 rls/cs-S 700937.53" u="1"/>
        <s v="HP 100 CLR-48mm x 100m-36 rls/cs-S 2496.22" u="1"/>
        <s v="HP 200 CLR-48mm x 1371m-6 rls/cs-S 1129.08" u="1"/>
        <s v="HP 200 CLR-72mm x 100m-24 rls/cs-S 1069.2" u="1"/>
        <s v="HP 100 CLR-53mm x 1500m-6 rls/cs-S 7843.65" u="1"/>
        <s v="FP 097 KFT-72mm x 55m-16 rls/cs-H/A 7297.82" u="1"/>
        <s v="GS 490 CLR-48mm x 55m-24 rls/cs-H/A 1667.95" u="1"/>
        <s v="PC 600 BLK-48mm x 55m-24 rls/cs-S 4362.34" u="1"/>
        <s v="HP 200 CLR-48mm x 1500m-6 rls/cs-H 4901.21" u="1"/>
        <s v="HP 200 CLR-48mm x 914m-6 rls/cs-S 25907.92" u="1"/>
        <s v="HM 018 CLR-48mm x 100m-36 rls/cs-S 1925" u="1"/>
        <s v="HP 300 CLR-53mm x 914m-6 rls/cs-H 517.73" u="1"/>
        <s v="CP 106 NAT-48mm x 55m-24 rls/cs-S 8825.88" u="1"/>
        <s v="HP 100 CLR-48mm x 914m-6 rls/cs-S 13457.65" u="1"/>
        <s v="HP 200 WHI-48mm x 914m-6 rls/cs-H 667.06" u="1"/>
        <s v="HP 500 CLR-72mm x 50m-24 rls/cs-H/A 9801" u="1"/>
        <s v="HP 400 CLR-72mm x 100m-24 rls/cs-H/A 5537.03" u="1"/>
        <s v="HM 018 CLR-72mm x 100m-24 rls/cs-H 18257.18" u="1"/>
        <s v="HP 200 CLR-72mm x 914m-4 rls/cs-S 5170" u="1"/>
        <s v="HP 500 CLR-72mm x 914m-4 rls/cs-S 179846.57" u="1"/>
        <s v="HP 100 CLR-72mm x 914m-4 rls/cs-S 5926.7" u="1"/>
        <s v="HP 200 CLR-48mm x 100m-36 rls/cs-S 3534.8" u="1"/>
        <s v="GS 490 WHI-24mm x 55m-36 rls/cs-H " u="1"/>
        <s v="HP 200 CLR-48mm x 1371m-6 rls/cs-S 32546.44" u="1"/>
        <s v="SD 934, PISTOL GRIP TAPE DISPNSR PREM.-S 20.15" u="1"/>
        <s v="HP 200 CLR-72mm x 1371m-4 rls/cs-S 4750" u="1"/>
        <s v="HP 200 CLR-72mm x 914m-4 rls/cs-S 627.26" u="1"/>
        <s v="AP 101 CLR-48mm x 100m-36 rls/cs-S 1518.26" u="1"/>
        <s v="SD 934, PISTOL GRIP TAPE DISPNSR PREM.-S 707" u="1"/>
        <s v="CP 106 NAT-48mm x 55m-24 rls/cs-S 501.81" u="1"/>
        <s v="GG 200 NAT-48mm x 33m-24 rls/cs-H 857.74" u="1"/>
        <s v="HP 200 CLR-48mm x 100m-36 rls/cs-S 5431.54" u="1"/>
        <s v="HP 200 CLR-72mm x 1371m-4 rls/cs-S 5962.57" u="1"/>
        <s v="HP 100 CLR-48mm x 1371m-6 rls/cs- S 20324" u="1"/>
        <s v="HP 100 CLR-48mm x 100m-36 rls/cs-S 13172.53" u="1"/>
        <s v="HP 235 CLR-72mm x 1371m-4 rls/cs-H 33073.92" u="1"/>
        <s v="GS 501 WHI-48mm x 55m-24 rls/cs-H/A 83.16" u="1"/>
        <s v="HP 100 CLR-48mm x 1371m-6 rls/cs- S 15152.88" u="1"/>
        <s v="HP 200 CLR-48mm x 1371m-6 rls/cs-S 860.11" u="1"/>
        <s v="FE-2 Folded-Edge Tape Dispenser - H 962.28" u="1"/>
        <s v="HP 200 CLR-48mm x 914m-6 rls/cs-S 21386.97" u="1"/>
        <s v="GS 500 WHI-48mm x 55m-24 rls/cs-H/A 93.38" u="1"/>
        <s v="HP 100 CLR-48mm x 100m-36 rls/cs-S 3301.33" u="1"/>
        <s v="HP 235 CLR-72mm x 914m-4 rls/cs-H 12337.74" u="1"/>
        <s v="GG 200 NAT-48mm x 33m-24 rls/cs-H 690.7" u="1"/>
        <s v="HP 400 CLR-72mm x 100m-24 rls/cs-H/A 9237.88" u="1"/>
        <s v="SD 934, PISTOL GRIP TAPE DISPNSR PREM.-S 302.19" u="1"/>
        <s v="HP 200 CLR-48mm x 914m-6 rls/cs-S 564.54" u="1"/>
        <s v="HP 100 CLR-72mm x 100m-24 rls/cs-S 15510.53" u="1"/>
        <s v="HP 232 CLR-48mm x 914m-6 rls/cs-H/A 821.5" u="1"/>
        <s v="HP 300 CLR-53mm x 914m-6 rls/cs-H 1174.34" u="1"/>
        <s v="HP 100 CLR-53mm x 1500m-6 rls/cs-S 36272" u="1"/>
        <s v="HP 200 CLR-72mm x 100m-24 rls/cs-S 16422.88" u="1"/>
        <s v="HP 100 CLR-48mm x 1371m-6 rls/cs- S 21874.93" u="1"/>
        <s v="AP 180 CLR-48mm x 100m-36 rls/cs-H/A 125" u="1"/>
        <s v="HP 200 CLR-48mm x 1828m-6 rls/cs-S 17924.07" u="1"/>
        <s v="HP 500 CLR-72mm x 914m-4 rls/cs-S 440082.71" u="1"/>
        <s v="HP 235 CLR-48mm x 100m-36 rls/cs-H 630.82" u="1"/>
        <s v="HP 235 CLR-48mm x 100m-36 rls/cs-H 630.83" u="1"/>
        <s v="HP 100 CLR-53mm x 1500m-6 rls/cs-S 67902.25" u="1"/>
        <s v="FP 115 BRN-48mm x 55m-24 rls/cs-H 1876.08" u="1"/>
        <s v="HP 200 GRN-48mm x 914m-6 rls/cs-H/A 1867.77" u="1"/>
        <s v="HP 100 CLR-48mm x 1371m-6 rls/cs- S 22581.52" u="1"/>
        <s v="GS 490 CLR-18mm x 55m-48 rls/cs-H/A 376.36" u="1"/>
        <s v="HP 100 CLR-48mm x 100m-36 rls/cs-S 37" u="1"/>
        <s v="CP 106 NAT-36mm x 55m-24 rls/cs-S 707.1" u="1"/>
        <s v="PE 444 RED- 48mm X 55m- 24 rls/cs-H/A 446.69" u="1"/>
        <s v="AP 101 CLR-48mm x 100m-36 rls/cs-S 491.83" u="1"/>
        <s v="HP 200 CLR-72mm x 914m-4 rls/cs-S 29245.71" u="1"/>
        <s v="HP 200 CLR-53mm x 1371m-6 rls/cs-H 64895.68" u="1"/>
        <s v="GS 490 WHI-12mm x 55m-72 rls/cs-H/A 14871.85" u="1"/>
        <s v="SD 935, PISTOL GRIP DISPNSR-3 IN. ROLL-S 45.14" u="1"/>
        <s v="PP 808 GRN- 9mm X 165m- 96 rls/cs-H 195" u="1"/>
        <s v="HP 100 CLR-48mm x 100m-36 rls/cs-S 2496.23" u="1"/>
        <s v="HP 100 CLR-53mm x 1500m-6 rls/cs-S 22569.38" u="1"/>
        <s v="CP 500 NAT-24mm x 55m-36 rls/cs-H 3310.23" u="1"/>
        <s v="WP 150 GRN GREENIES-72mmx138m-10rl/cs-NS " u="1"/>
        <s v="HP 240 WR STOP-48mm x 100m-36 rls/cs-H 275.14" u="1"/>
        <s v="FP 097 KFT-18mm x 55m-48 rls/cs-H 420" u="1"/>
        <s v="HP 500 CLR-48mm x 50m-36 rls/cs-H/A 379.57" u="1"/>
        <s v="HM 018 CLR-72mm x 100m-24 rls/cs-H/A 1946.42" u="1"/>
        <s v="HP 100 CLR-53mm x 1500m-6 rls/cs-S 8781.7" u="1"/>
        <s v="PC 600 BLK-48mm x 55m-24 rls/cs-S 4594.24" u="1"/>
        <s v="HP 100 CLR-48mm x 100m-36 rls/cs-S 5901.97" u="1"/>
        <s v="HP 200 CLR-48mm x 914m-6 rls/cs-S 6375.28" u="1"/>
        <s v="HP 100 CLR-53mm x 1500m-6 rls/cs-S 103327.23" u="1"/>
        <s v="HM 016 CLR-48mm x 914m-6 rls/cs-H/A 4983.89" u="1"/>
        <s v="HP 100 CLR-48mm x 100m-36 rls/cs-S 8147.31" u="1"/>
        <s v="CP 631 RED-24mm x 55m-36 rls/cs-H 300.8" u="1"/>
        <s v="HP 200 CLR-53mm x 1371m-6 rls/cs-H 66704.77" u="1"/>
        <s v="HP 200 CLR-48mm x 100m-36 rls/cs-S 4576.17" u="1"/>
        <s v="HP 200 CLR-72mm x 914m-4 rls/cs-S 5162" u="1"/>
        <s v="HP 200 CLR-48mm x 914m-6 rls/cs-S 34674.6" u="1"/>
        <s v="HP 200 CLR-72mm x 100m-24 rls/cs-S 1526.83" u="1"/>
        <s v="HP 500 CLR-72mm x 50m-24 rls/cs-H/A 88672.32" u="1"/>
        <s v="AP 180 CLR-72mm x 1371m-4 rls/cs-H 1404.93" u="1"/>
        <s v="DP 380 GLA-48mm x 50m-24 rls/cs-H 135" u="1"/>
        <s v="HP 235 CLR-72mm x 100m-24 rls/cs-H 9793.87" u="1"/>
        <s v="FP 097 KFT-18mm *DO NOT USE* 536.03" u="1"/>
        <s v="AP 101 CLR-48mm x 100m-36 rls/cs-S 695.7" u="1"/>
        <s v="HP 232 CLR-48mm x 914m-6 rls/cs-H/A 3755.03" u="1"/>
        <s v="HP 100 CLR-53mm x 1500m-6 rls/cs-S 27010.84" u="1"/>
        <s v="HP 200 CLR-48mm x 1828m-6 rls/cs-S 18382.89" u="1"/>
        <s v="HP 232 CLR-48mm x 100m-36 rls/cs-H/A " u="1"/>
        <s v="HP 100 CLR-72mm x 100m-24 rls/cs-S 3386.75" u="1"/>
        <s v="HP 200 CLR-48mm x 914m-6 rls/cs-S 42180.64" u="1"/>
        <s v="HP 200 CLR-48mm x 914m-6 rls/cs-S 22221.67" u="1"/>
        <s v="HP 500 CLR-48mm x 100m-36 rls/cs-H 2936.75" u="1"/>
        <s v="HP 200 CLR-48mm x 1828m-6 rls/cs-S 24009.46" u="1"/>
        <s v="HP 200 CLR-72mm x 914m-4 rls/cs-S 4584.73" u="1"/>
        <s v="HP 200 WHI-48mm x 914m-6 rls/cs-H 7470.16" u="1"/>
        <s v="CP 66L NAT-4in x 240yd-3 rls/cs-H 118784.79" u="1"/>
        <s v="HP 132 CLR-48mm x 1371m-6 rls/cs-H 758.06" u="1"/>
        <s v="GS 501 WHI-24mm x 55m-36 rls/cs-H/A 691.42" u="1"/>
        <s v="HP 200 CLR-72mm x 100m-24 rls/cs-S 4761.51" u="1"/>
        <s v="FE 72 Folded-Edge Tape Dispenser 89.1" u="1"/>
        <s v="HP 100 CLR-48mm x 1371m-6 rls/cs- S 36310.03" u="1"/>
        <s v="HP 100 CLR-72mm x 1500m-4 rls/cs-H/T 21734.7" u="1"/>
        <s v="HP 100 CLR-72mm x 100m-24 rls/cs-S 4561.92" u="1"/>
        <s v="CP 011 BLU-48mm *DO NOT USE* 68.67" u="1"/>
        <s v="SD 936, 2&quot; PISTOL GRIP SILENT DISP-H/A/T 49.6" u="1"/>
        <s v="HP 100 CLR-72mm x 100m-24 rls/cs-S 19388.16" u="1"/>
        <s v="HP 232 CLR-53mm x 1371m-6 rls/cs-H " u="1"/>
        <s v="HP 200 CLR-48mm x 1371m-6 rls/cs-S 140336.79" u="1"/>
        <s v="HP 500 CLR-72mm x 914m-4 rls/cs-S 695330.7" u="1"/>
        <s v="HP 100 CLR-48mm x 1371m-6 rls/cs- S 75408.54" u="1"/>
        <s v="AP 180 CLR-48mm x 1371m-6 rls/cs-H 3154" u="1"/>
        <s v="CP 106 NAT-48mm x 55m-24 rls/cs-S 779.33" u="1"/>
        <s v="HP 200 BLU-72mm x 914m-4 rls/cs-NS 45065.24" u="1"/>
        <s v="HP 100 CLR-53mm x 1500m-6 rls/cs-S 9393.98" u="1"/>
        <s v="HP 100 CLR-72mm x 1371m-4 rls/cs-H/T 4727.28" u="1"/>
        <s v="HP 132 CLR-48mm x 914m-6 rls/cs-H/T 6831" u="1"/>
        <s v="CP 105 NAT-12mm x 55m-72 rls/cs-H 654.36" u="1"/>
        <s v="HP 200 CLR-48mm x 914m-6 rls/cs-S 45506.34" u="1"/>
        <s v="HP 500 CLR-72mm x 914m-4 rls/cs-S 186582.52" u="1"/>
        <s v="HP 200 CLR-48mm x 914m-6 rls/cs-S 16822.07" u="1"/>
        <s v="HP 200 CLR-48mm x 1500m-6 rls/cs-H 38561.76" u="1"/>
        <s v="HP 500 CLR-72mm x 914m-4 rls/cs-S 1179.45" u="1"/>
        <s v="HM 016 CLR-72mm x 100m-24 rls/cs-H/A 11519.8" u="1"/>
        <s v="HP 500 CLR-72mm x 914m-4 rls/cs-S 1769.17" u="1"/>
        <s v="HP 200 CLR-48mm x 100m-36 rls/cs-S 2196.13" u="1"/>
        <s v="HP 200 CLR-72mm x 1371m-4 rls/cs-S 1162.81" u="1"/>
        <s v="HP 232 CLR-72mm x 914m-4 rls/cs-H/A 13934.76" u="1"/>
        <s v="HP 240 WR STOP-48mm x 914m-6 rls/cs-H 1269.5" u="1"/>
        <s v="HP 200 CLR-48mm x 100m-36 rls/cs-S 4586.87" u="1"/>
        <s v="HP 400 CLR-48mm x 914m-6 rls/cs-H/A 1973.74" u="1"/>
        <s v="HP 100 CLR-72mm x 914m-4 rls/cs-S 4797.61" u="1"/>
        <s v="HP 500 CLR-72mm x 914m-4 rls/cs-S 15938.2" u="1"/>
        <s v="HP 200 CLR-48mm x 1371m-6 rls/cs-S 4134.59" u="1"/>
        <s v="HP 100 CLR-72mm x 100m-24 rls/cs-S 41812.86" u="1"/>
        <s v="HP 232 CLR-48mm x 914m-6 rls/cs-H/A 2353.78" u="1"/>
        <s v="50410 2&quot; HUB SHAFT " u="1"/>
        <s v="GS 490 CLR-48mm x 55m-24 rls/cs-H/A 70.8" u="1"/>
        <s v="HP 100 TAN-48mm x 100m-36 rls/cs-S 5987.52" u="1"/>
        <s v="AP 101 CLR-48mm x 1371m-6 rls/cs-H 0" u="1"/>
        <s v="SD 935  PISTOL GRIP DISPNSR-3 IN. ROLL-S 571.75" u="1"/>
        <s v="HP 100 CLR-48mm x 914m-6 rls/cs-S 6569.16" u="1"/>
        <s v="HP 100 CLR-48mm x 914m-6 rls/cs-S 8747.49" u="1"/>
        <s v="DF 065 NAT-18mm x 33m-48 rls/cs-H/A 1506.85" u="1"/>
        <s v="HP 400 CLR-48mm x 914m-6 rls/cs-H/A 4328.12" u="1"/>
        <s v="HP 100 CLR-72mm x 914m-4 rls/cs-S 15755.73" u="1"/>
        <s v="DF 545 BLU-48mm x 33m-24 rls/cs-H 505.14" u="1"/>
        <s v="HP 100 CLR-48mm x 100m-36 rls/cs-S 5901.98" u="1"/>
        <s v="HP 300 CLR-48mm x 100m-36 rls/cs-H/A 3824.89" u="1"/>
        <s v="HP 200 TAN-48mm x 914m-6 rls/cs-H 323.26" u="1"/>
        <s v="WP 100 NAT-70mmx138m(450ft)-10rls/cs-H/A 2930.4" u="1"/>
        <s v="HP 200 CLR-72mm x 914m-4 rls/cs-S 1568.16" u="1"/>
        <s v="FP 097 KFT-72mm x 55m-16 rls/cs-H/A 2915.8" u="1"/>
        <s v="AP 180 CLR-48mm x 1371m-6 rls/cs-H 13510.4" u="1"/>
        <s v="DT 200 GLA-48mm x 50m-24 rls/cs-H 24681.88" u="1"/>
        <s v="GS 490 CLR-48mm x 55m-24 rls/cs-H/A 323.14" u="1"/>
        <s v="HM 014 CLR-48mm x 100m-36 rls/cs-S 3250.36" u="1"/>
        <s v="AP 180 CLR-48mm x 100m-36 rls/cs-H/A 1724.97" u="1"/>
        <s v="AP 180 CLR-72mm x 100m-24 rls/cs-H/A 0" u="1"/>
        <s v="HP 200 YEL-48mm x 914m-6 rls/cs-H 294.02" u="1"/>
        <s v="PE 444 RED- 48mm X 55m- 24 rls/cs-H/A 5120.29" u="1"/>
        <s v="CP 106 NAT-36mm x 55m-24 rls/cs-S 439.08" u="1"/>
        <s v="HP 200 ORG-48mm x 914m-6 rls/cs-H 1764.18" u="1"/>
        <s v="AP 201 TAN-48mm x 100m-36 rls/cs-H 3207.6" u="1"/>
        <s v="AP 301 CLR-72mm x 100m-24 rls/cs-H 560.74" u="1"/>
        <s v="CP 106 NAT-72mm x 55m-16 rls/cs-S 6807.25" u="1"/>
        <s v="AP 180 CLR-48mm x 914m-6 rls/cs-H/A 6320.22" u="1"/>
        <s v="HP 100 CLR-48mm x 1371m-6 rls/cs- S 5765.13" u="1"/>
        <s v="HP 200 CLR-53mm x 1371m-6 rls/cs-H 0" u="1"/>
        <s v="HP 200 CLR-48mm x 100m-36 rls/cs-S 5351.35" u="1"/>
        <s v="FP 097 KFT-72mm x 55m-16 rls/cs-H/A 1372.38" u="1"/>
        <s v="SD 935, PISTOL GRIP DISPNSR-3 IN. ROLL-S 55.74" u="1"/>
        <s v="AP 180 CLR-48mm x 1371m-6 rls/cs-H 5491.42" u="1"/>
        <s v="DF 065 NAT-18mm x 33m-48 rls/cs-H/A 2337.99" u="1"/>
        <s v="CP 106 NAT-24mm x 55m-36 rls/cs-S 62.73" u="1"/>
        <s v="HP 500 TAN-48mm x 50m-36 rls/cs-H 722.78" u="1"/>
        <s v="HP 100 CLR-72mm x 914m-4 rls/cs-S 2562.28" u="1"/>
        <s v="DP 050 CLR-48mm x 50m-24 rls/cs-H 626.08" u="1"/>
        <s v="HP 200 CLR-72mm x 1371m-4 rls/cs-S 3632.07" u="1"/>
        <s v="AP 201 CLR-48mm x 100m-36 rls/cs-H/A 297.59" u="1"/>
        <s v="SD 934, PISTOL GRIP TAPE DISPNSR PREM.-S 60.44" u="1"/>
        <s v="HP 300 CLR-72mm x 914m-4 rls/cs-H 4376.59" u="1"/>
        <s v="HP 100 CLR-48mm x 100m-36 rls/cs-S 5671.75" u="1"/>
        <s v="SD 935, PISTOL GRIP DISPNSR-3 IN. ROLL-S 877.63" u="1"/>
        <s v="HP 100 CLR-53mm x 1500m-6 rls/cs-S 11059.8" u="1"/>
        <s v="VP 410 YEL- 75MM X 33M- 18 RLS/CS-H " u="1"/>
        <s v="FP 097 KFT-48mm x 50m-24 rls/cs-H 541.73" u="1"/>
        <s v="HP 200 CLR-48mm x 914m-6 rls/cs-S 27037.57" u="1"/>
        <s v="HP 200 CLR-72mm x 914m-4 rls/cs-S 2948.15" u="1"/>
        <s v="DP 380 GLA-48mm x 50m-24 rls/cs-H 8083" u="1"/>
        <s v="HP 100 CLR-53mm x 1500m-6 rls/cs-S 5643.24" u="1"/>
        <s v="HP 200 CLR-48mm x 100m-36 rls/cs-S 16401.51" u="1"/>
        <s v="HP 200 CLR-48mm x 1371m-6 rls/cs-S 75293.07" u="1"/>
        <s v="PP 808 RED- 9MM X 165M- 96 RLS/CS-H/A 210.04" u="1"/>
        <s v="FP 097 KFT-48mm x 50m-24 rls/cs-H 1033.56" u="1"/>
        <s v="HP 200 CLR-72mm x 100m-24 rls/cs-S 1936.44" u="1"/>
        <s v="AP 180 CLR-72mm x 100m-24 rls/cs-H/A 627.27" u="1"/>
        <s v="HP 100 CLR-72mm x 914m-4 rls/cs-S 2593.21" u="1"/>
        <s v="CP 450 NAT-24mm x 55m-36 rls/cs-H 262" u="1"/>
        <s v="HP 200 CLR-72mm x 1371m-4 rls/cs-S 9223.63" u="1"/>
        <s v="HP 200 CLR-48mm x 200m-36 rls/cs-H 2776.37" u="1"/>
        <s v="HP 300 CLR-72mm x 100m-24 RLS/CS-H 1456.25" u="1"/>
        <s v="HP 100 CLR-48mm x 914m-6 rls/cs-S 8981.29" u="1"/>
        <s v="HP 500 CLR-48mm x 914m-6 rls/cs-H 348.5" u="1"/>
        <s v="HP 200 CLR-48mm x 914m-6 rls/cs-S 5162.09" u="1"/>
        <s v="CP 105 NAT-18mm x 55m-48 rls/cs-S 15054.34" u="1"/>
        <s v="GS 501 WHI-24mm x 55m-36 rls/cs-H/A 1244.55" u="1"/>
        <s v="CP 225 GLD-18mm x 55m-64 rls/cs-H/T 560.74" u="1"/>
        <s v="HP 100 CLR-53mm x 1500m-6 rls/cs-S 20369.68" u="1"/>
        <s v="AP 180 CLR-48mm x 100m-36 rls/cs-H/A 119.75" u="1"/>
        <s v="HP 132 CLR-72mm x 100m-24 rls/cs-H " u="1"/>
        <s v="HP 200 CLR-48mm x 100m-36 rls/cs-S 1514.7" u="1"/>
        <s v="HP 100 CLR-48mm x 100m-36 rls/cs-S 12882.08" u="1"/>
        <s v="HP 100 CLR-48mm x 914m-6 rls/cs-S 27027.49" u="1"/>
        <s v="AP 201 CLR-48mm x 100m-36 rls/cs-H/A 10234.38" u="1"/>
        <s v="HP 200 YEL-48mm x 914m-6 rls/cs-H 933.88" u="1"/>
        <s v="HP 200 CLR-72mm x 914m-4 rls/cs-S 3318.67" u="1"/>
        <s v="HP 100 CLR-53mm x 1500m-6 rls/cs-S 21692.3" u="1"/>
        <s v="HP 200 RED-48mm x 100m-36 rls/cs-H 148.98" u="1"/>
        <s v="CP 450 NAT-24mm x 55m-36 rls/cs-H 723.49" u="1"/>
        <s v="HP 400 CLR-72mm x 914m-4 rls/cs-H/A 1921.95" u="1"/>
        <s v="CP 631 GRN-24mm x 55m-36 rls/cs-H 578.79" u="1"/>
        <s v="AP 180 CLR-72mm x 1371m-4 rls/cs-H 13208.19" u="1"/>
        <s v="CP 106 NAT-24mm x 55m-36 rls/cs-S 533.18" u="1"/>
        <s v="HP 300 CLR-48mm x 1371m-6 rls/cs-H/A 2130.92" u="1"/>
        <s v="HM 016 CLR-48mm x 914m-6 rls/cs-H/A 1069.2" u="1"/>
        <s v="AP 180 CLR-72mm x 100m-24 rls/cs-H/A 1881.79" u="1"/>
        <s v="VP 410 GRN- 50mm X 33m- 24 rls/cs-H 123.55" u="1"/>
        <s v="SD 932, PISTOL GRIP TAPE DISP. ECONOMY-S 76.23" u="1"/>
        <s v="HP 200 CLR-72mm x 914m-4 rls/cs-S 4780.52" u="1"/>
        <s v="HP 500 CLR-72mm x 914m-4 rls/cs-S 476724.97" u="1"/>
        <s v="CP 107 NAT-48mm x 55m-24 rls/cs-H/A 5625" u="1"/>
        <s v="SD 937, Bag Sealer MetalDisp-9MM Rol-H/A 121" u="1"/>
        <s v="HM 016 CLR-72mm x 100m-24 rls/cs-H/A " u="1"/>
        <s v="GS 490 CLR-48mm x 55m-24 rls/cs-H/A 123.55" u="1"/>
        <s v="HP 200 CLR-48mm x 914m-6 rls/cs-S 15430.7" u="1"/>
        <s v="HP 200 CLR-72mm x 914m-4 rls/cs-S 23744.78" u="1"/>
        <s v="SD 935, PISTOL GRIP DISPNSR-3 IN. ROLL-S 33" u="1"/>
        <s v="HP 200 WHI-72mm x 100m-24 rls/cs-NS 21964.45" u="1"/>
        <s v="AP 101 CLR-48mm x 100m-36 rls/cs-S 496.82" u="1"/>
        <s v="GS 490 CLR-18mm x 55m-48 rls/cs-H/A 6614.79" u="1"/>
        <s v="HP 100 CLR-72mm x 914m-4 rls/cs-S 2794.18" u="1"/>
        <s v="HP 100 CLR-72mm x 100m-24 rls/cs-S 35.16" u="1"/>
        <s v="HP 232 CLR-72mm x 914m-4 rls/cs-H/A 7904" u="1"/>
        <s v="HP 200 CLR-48mm x 1828m-6 rls/cs-S 10281.79" u="1"/>
        <s v="HP 500 CLR-72mm x 50m-24 rls/cs-H/A 14231.05" u="1"/>
        <s v="HP 232 CLR-72mm x 914m-4 rls/cs-H/A 27662.34" u="1"/>
        <s v="HP 200 CLR-48mm x 100m-36 rls/cs-S 5751.96" u="1"/>
        <s v="AP 201 CLR-48mm x 100m-36 rls/cs-H/A 14968.8" u="1"/>
        <s v="HP 500 TAN-48mm x 50m-36 rls/cs-H 4474.96" u="1"/>
        <s v="HP 500 CLR-72mm x 914m-4 rls/cs-S 2070434.53" u="1"/>
        <s v="HP 200 CLR-48mm x 100m-36 rls/cs-S 3421.44" u="1"/>
        <s v="HP 200 WHI-72mm x 914m-4 rls/cs-H 2265.28" u="1"/>
        <s v="HP 100 CLR-48mm x 914m-6 rls/cs-S 33346.69" u="1"/>
        <s v="HP 200 CLR-72mm x 100m-24 rls/cs-S 2711.02" u="1"/>
        <s v="HP 500 CLR-72mm x 914m-4 rls/cs-S 620510.89" u="1"/>
        <s v="AP 201 CLR-48mm x 100m-36 rls/cs-H/A 10371.24" u="1"/>
        <s v="HP 100 CLR-53mm x 1500m-6 rls/cs-S 10032.66" u="1"/>
        <s v="HP 200 CLR-72mm x 100m-24 rls/cs-S 17022.13" u="1"/>
        <s v="HP 100 CLR-53mm x 1500m-6 rls/cs-S 46317.75" u="1"/>
        <s v="CP 083 NAT-48mm x 55m-24 rls/cs-S 152.06" u="1"/>
        <s v="HP 200 CLR-72mm x 914m-4 rls/cs-S 4131.86" u="1"/>
        <s v="HP 100 CLR-53mm x 1500m-6 rls/cs-S 18398.79" u="1"/>
        <s v="HP 132 CLR-72mm x 100m-24 rls/cs-H 22471.26" u="1"/>
        <s v="AP 201 CLR-48mm x 100m-36 rls/cs-H/A 3549.74" u="1"/>
        <s v="CP 106 NAT-18mm x 55m-48 rls/cs-S 617.76" u="1"/>
        <s v="FP 115 BRN-48mm x 55m-24 rls/cs-H 2814.12" u="1"/>
        <s v="HP 200 CLR-48mm x 914m-6 rls/cs-S 26345.1" u="1"/>
        <s v="HP 200 CLR-48mm x 100m-36 rls/cs-S 3981.71" u="1"/>
        <s v="HP 200 CLR-48mm x 1371m-6 rls/cs-H/A 12060.57" u="1"/>
        <s v="HP 200 CLR-48mm x 914m-6 rls/cs-S 335.02" u="1"/>
        <s v="HP 100 CLR-72mm x 100m-24 rls/cs-S 2651.61" u="1"/>
        <s v="HP 132 CLR-72mm x 100m-24 rls/cs-H 16778.34" u="1"/>
        <s v="HP 240 WR STOP-48mm x 100m-36 rls/cs-H 208.14" u="1"/>
        <s v="HP 100 CLR-72mm x 100m-24 rls/cs-S 38876.11" u="1"/>
        <s v="WP 100 NAT-70mm x 153m(500ft)-6 rls/cs-H 2322" u="1"/>
        <s v="HM 018 CLR-72mm x 100m-24 rls/cs-H 1910.3" u="1"/>
        <s v="HP 100 CLR-72mm x 1371m-4 rls/cs-H/T 15051" u="1"/>
        <s v="DP 050 CLR-24mm x 50m-36 rls/cs-H " u="1"/>
        <s v="HP 100 CLR-72mm x 1371m-4 rls/cs-H/T 12324.3" u="1"/>
        <s v="HP 200 CLR-48mm x 914m-6 rls/cs-S 9511.61" u="1"/>
        <s v="HP 232 CLR-72mm x 100m-24 rls/cs-H " u="1"/>
        <s v="HP 100 CLR-72mm x 100m-24 rls/cs-S 43951" u="1"/>
        <s v="FP 097 KFT-48mm x 50m-24 rls/cs-H 846.79" u="1"/>
        <s v="AP 101 CLR-48mm x 100m-36 rls/cs-S 233.8" u="1"/>
        <s v="CP 106 NAT-24mm x 55m-36 rls/cs-S 392.39" u="1"/>
        <s v="AP 201 CLR-48mm x 1371m-6 rls/cs-H 8532.21" u="1"/>
        <s v="HP 200 CLR-72mm x 1371m-4 rls/cs-S 3682.26" u="1"/>
        <s v="FP 097 KFT-72mm x 55m-16 rls/cs-H/A 3381.52" u="1"/>
        <s v="HP 400 CLR-72mm x 914m-4 rls/cs-H/A 1873.23" u="1"/>
        <s v="FP 097 KFT-72mm x 55m-16 rls/cs-H/A 1293.97" u="1"/>
        <s v="AP 180 CLR-48mm x 100m-36 rls/cs-H/A 2566.08" u="1"/>
        <s v="CP 105 NAT-48mm x 55m-24 rls/cs-S 817.11" u="1"/>
        <s v="CP 66L NAT-18mm x 55m-48 rls/cs-H 684.29" u="1"/>
        <s v="HP 300 CLR-72mm x 914m-4 rls/cs-H 2154.12" u="1"/>
        <s v="DF 545 BLU-24mm x 33m-48 rls/cs-NS 1164.24" u="1"/>
        <s v="HP 200 RED-48mm x 100m-36 rls/cs-H 166.8" u="1"/>
        <s v="PC 006 SIL-48mm x 55m-24 rls/cs-H/A 195.31" u="1"/>
        <s v="HP 200 CLR-72mm x 914m-4 rls/cs-S 15655.94" u="1"/>
        <s v="SD 935  PISTOL GRIP DISPNSR-3 IN. ROLL-S 608.64" u="1"/>
        <s v="HP 200 CLR-48mm x 914m-6 rls/cs-S 13457.68" u="1"/>
        <s v="HP 200 GRN-48mm x 914m-6 rls/cs-H/A 307.45" u="1"/>
        <s v="FP 097 KFT-72mm x 55m-16 rls/cs-H/A 1556.74" u="1"/>
        <s v="AP 180 CLR-48mm x 100m-36 rls/cs-H/A 2850.49" u="1"/>
        <s v="HP 200 CLR-72mm x 914m-4 rls/cs-S 3923.25" u="1"/>
        <s v="CP 450 NAT-36mm x 55m-24 rls/cs-H 3731.27" u="1"/>
        <s v="HM 016 CLR-48mm x 100m-36 rls/cs-S 3271.76" u="1"/>
        <s v="CP 631 RED-12mm x 55m-72 rls/cs-H 63.44" u="1"/>
        <s v="HP 100 CLR-48mm x 100m-36 rls/cs-S 1741.01" u="1"/>
        <s v="HP 500 CLR-72mm x 914m-4 rls/cs-S 160853.29" u="1"/>
        <s v="HP 100 CLR-72mm x 1500m-4 rls/cs-H/T 3525.51" u="1"/>
        <s v="FP 096 KFT-72mm x 55m-16 rls/cs-H 2155.5" u="1"/>
        <s v="HP 100 CLR-48mm x 1371m-6 rls/cs- S 8951.33" u="1"/>
        <s v="HP 200 CLR-48mm x 1500m-6 rls/cs-H 13189.66" u="1"/>
        <s v="HP 200 CLR-53mm x 1371m-6 rls/cs-H 49335.5" u="1"/>
        <s v="FP 115 BRN-48mm x 55m-24 rls/cs-H 1066.34" u="1"/>
        <s v="CP 106 NAT-18mm x 55m-48 rls/cs-S 161.57" u="1"/>
        <s v="CP 66L NAT-72mm x 55m-16 rls/cs-NS 1558.66" u="1"/>
        <s v="SD 934, PISTOL GRIP TAPE DISPNSR PREM.-S 60.45" u="1"/>
        <s v="CP 631 RED-12mm x 55m-72 rls/cs-H 60.59" u="1"/>
        <s v="HP 200 CLR-48mm x 914m-6 rls/cs-S 16872.57" u="1"/>
        <s v="HP 100 CLR-72mm x 1371m-4 rls/cs-H/T 21495.19" u="1"/>
        <s v="PE 444 RED- 48mm X 55m- 24 rls/cs-H/A 6159.55" u="1"/>
        <s v="CP 631 RED-18mm x 55m-48 rls/cs-H 71.28" u="1"/>
        <s v="HP 100 CLR-53mm x 1500m-6 rls/cs-S 8459.51" u="1"/>
        <s v="HP 100 CLR-72mm x 100m-24 rls/cs-S 2371.01" u="1"/>
        <s v="HM 016 CLR-72mm x 914m-4 rls/cs-H/A 801.82" u="1"/>
        <s v="HP 400 CLR-48mm x 50m-36 rls/cs-H 2585.68" u="1"/>
        <s v="WP 100 NAT-70mm x 153m(500ft)-6 rls/cs-H 387.05" u="1"/>
        <s v="SD 934  PISTOL GRIP TAPE DISPNSR PREM.-S 1274.06" u="1"/>
        <s v="AP 180 CLR-48mm x 1371m-6 rls/cs-H 8237.13" u="1"/>
        <s v="HP 500 CLR-72mm x 50m-24 rls/cs-H/A 2744.28" u="1"/>
        <s v="HP 100 CLR-53mm x 1500m-6 rls/cs-S 5983.24" u="1"/>
        <s v="AP 201 CLR-72mm x 100m-24 rls/cs-H/A 792.4" u="1"/>
        <s v="HM 016 CLR-48mm x 100m-36 rls/cs-H 3891.88" u="1"/>
        <s v="HP 100 CLR-72mm x 1371m-4 rls/cs-H/T 6125.8" u="1"/>
        <s v="AP 201 CLR-48mm x 100m-36 rls/cs-H/A 32717.52" u="1"/>
        <s v="AP 180 CLR-72mm x 100m-24 rls/cs-H/A 590.68" u="1"/>
        <s v="AP 201 CLR-48mm x 100m-36 rls/cs-H/A 5987.52" u="1"/>
        <s v="HP 200 CLR-48mm x 914m-6 rls/cs-S 9732.58" u="1"/>
        <s v="CP 106 NAT-72mm x 55m-16 rls/cs-S 16787.23" u="1"/>
        <s v="HP 300 CLR-48mm x 914m-6 rls/cs-H 1287" u="1"/>
        <s v="HM 018 CLR-72mm x 100m-24 rls/cs-H/A 955.15" u="1"/>
        <s v="HP 100 CLR-53mm x 1500m-6 rls/cs-S 11682.09" u="1"/>
        <s v="HM 016 CLR-72mm x 914m-4 rls/cs-H/A " u="1"/>
        <s v="CP 66L NAT-4in x 240yd-3 rls/cs-H 182967.03" u="1"/>
        <s v="HP 100 CLR-72mm x 100m-24 rls/cs-S 2651.62" u="1"/>
        <s v="HP 200 CLR-72mm x 100m-24 rls/cs-S 2651.61" u="1"/>
        <s v="HP 200 CLR-72mm x 914m-4 rls/cs-S 2195.43" u="1"/>
        <s v="HP 200 CLR-53mm x 1371m-6 rls/cs-H 14541.12" u="1"/>
        <s v="WP 100 NAT-72mmx138m(450ft)-10rls/cs-H/A 1019.7" u="1"/>
        <s v="AP 180 CLR-48mm x 1371m-6 rls/cs-H 26635.88" u="1"/>
        <s v="GS 490 CLR-48mm x 55m-24 rls/cs-H/A 6900.62" u="1"/>
        <s v="HP 200 TAN-72mm x 914m-4 rls/cs-H 5422.35" u="1"/>
        <s v="HP 100 CLR-53mm x 1500m-6 rls/cs-S 18535.41" u="1"/>
        <s v="HP 100 CLR-48mm x 100m-36 rls/cs-S 1174.7" u="1"/>
        <s v="HP 132 CLR-48mm x 914m-6 rls/cs-H/T 35224.5" u="1"/>
        <s v="AP 180 TAN-48mm x 100m-36 rls/cs-H 3849.12" u="1"/>
        <s v="CP 106 NAT-12mm x 55m-72 rls/cs-H/A 316.48" u="1"/>
        <s v="CP 450 NAT-72mm x 55m-16 rls/cs-NS 8273.08" u="1"/>
        <s v="HP 200 CLR-72mm x 1371m-4 rls/cs-S 11029.87" u="1"/>
        <s v="HP 100 CLR-72mm x 100m-24 rls/cs-S 26501.91" u="1"/>
        <s v="HP 100 CLR-72mm x 100m-24 rls/cs-S 32617.74" u="1"/>
        <s v="FP 097 KFT-48mm x 55m-24 rls/cs-H/A 26356.5" u="1"/>
        <s v="GS 490 WHI-18mm x 55m-48 rls/cs-H/A 501.82" u="1"/>
        <s v="HP 100 CLR-48mm x 914m-6 rls/cs-S 22671.79" u="1"/>
        <s v="HP 200 CLR-72mm x 914m-4 rls/cs-H/A 7247.75" u="1"/>
        <s v="AP 015 CLR-96mm x 66m-18 rls/cs-H 2328.06" u="1"/>
        <s v="WP 100 NAT-70mm x 153m(500ft)-6 rls/cs-H 2848.46" u="1"/>
        <s v="HP 200 ORG-48mm x 914m-6 rls/cs-H 400.23" u="1"/>
        <s v="HP 500 CLR-72mm x 50m-24 rls/cs-H/A 56168.64" u="1"/>
        <s v="HP 200 CLR-48mm x 914m-6 rls/cs-S 6306.14" u="1"/>
        <s v="FP 097 KFT-24mm x 55m-36 rls/cs-H 0" u="1"/>
        <s v="HP 100 CLR-72mm x 100m-24 rls/cs-S 1406.59" u="1"/>
        <s v="HP 200 CLR-72mm x 914m-4 rls/cs-S 3575.41" u="1"/>
        <s v="HP 400 CLR-48mm x 50m-36 rls/cs-H 1780.22" u="1"/>
        <s v="HM 018 CLR-72mm x 100m-24 rls/cs-H/A 42866.6" u="1"/>
        <s v="HP 100 CLR-48mm x 100m-36 rls/cs-S 6827.92" u="1"/>
        <s v="SD 934  PISTOL GRIP TAPE DISPNSR PREM.-S 199.58" u="1"/>
        <s v="GS 490 WHI-18mm x 55m-48 rls/cs-H/A " u="1"/>
        <s v="HP 100 CLR-72mm x 100m-24 rls/cs-S 1786.75" u="1"/>
        <s v="HP 200 CLR-72mm x 914m-4 rls/cs-S 55203.08" u="1"/>
        <s v="HP 200 CLR-72mm x 1371m-4 rls/cs-S 1012.57" u="1"/>
        <s v="GS 490 WHI-12mm x 55m-72 rls/cs-H/A 18145.03" u="1"/>
        <s v="WP 100 WB SER 70mmx305(1000ft)-6rl/cs-NS 8230.76" u="1"/>
        <s v="CP 106 NAT-48mm x 55m-24 rls/cs-S 268.02" u="1"/>
        <s v="HP 200 WHI-72mm x 100m-24 rls/cs-NS 3179.09" u="1"/>
        <s v="SD 934  PISTOL GRIP TAPE DISPNSR PREM.-S 283.85" u="1"/>
        <s v="CP 631 GRN-24mm x 55m-36 rls/cs-H 273.72" u="1"/>
        <s v="HP 100 CLR-48mm x 100m-36 rls/cs-S 51002.27" u="1"/>
        <s v="AF 975 SIL-48mm x 46m-24 rls/cs-S 163.94" u="1"/>
        <s v="CP 106 NAT-48mm x 55m-24 rls/cs-S 731.34" u="1"/>
        <s v="HP 200 BLU-48mm x 914m-6 rls/cs-H 798.34" u="1"/>
        <s v="HP 200 CLR-48mm x 100m-36 rls/cs-S 9155" u="1"/>
        <s v="CP 450 NAT-36mm x 55m-24 rls/cs-H 781.23" u="1"/>
        <s v="HP 100 CLR-48mm x 100m-36 rls/cs-S 6137.22" u="1"/>
        <s v="HP 200 CLR-48mm x 100m-36 rls/cs-S 6137.21" u="1"/>
        <s v="AP 101 CLR-48mm x 100m-36 rls/cs-S 606.6" u="1"/>
        <s v="DT 200 GLA-24mm x 50m-36 rls/cs-H 474.72" u="1"/>
        <s v="SD 934  PISTOL GRIP TAPE DISPNSR PREM.-S 139.2" u="1"/>
        <s v="HP 200 CLR-48mm x 100m-36 rls/cs-S 13238.8" u="1"/>
        <s v="AP 180 CLR-72mm x 100m-24 rls/cs-H/A 673" u="1"/>
        <s v="AP 201 CLR-48mm x 1371m-6 rls/cs-H/A " u="1"/>
        <s v="HP 200 GRN-48mm x 914m-6 rls/cs-H/A 2197.8" u="1"/>
        <s v="HP 100 CLR-53mm x 1500m-6 rls/cs-S 27469.88" u="1"/>
        <s v="HP 200 ORG-48mm x 914m-6 rls/cs-H 5713.8" u="1"/>
        <s v="HP 100 CLR-72mm x 100m-24 rls/cs-S 1436.28" u="1"/>
        <s v="HP 232 CLR-48mm x 914m-6 rls/cs-H/A 14188.11" u="1"/>
        <s v="HP 300 CLR-72mm x 100m-24 RLS/CS-H 0" u="1"/>
        <s v="CP 631 BLK-48mm x 55m-24 rls/cs-H/T 223.82" u="1"/>
        <s v="HP 100 CLR-48mm x 914m-6 rls/cs-S 44701.11" u="1"/>
        <s v="DP 380 GLA-24mm x 50m-36 rls/cs-H 1630.88" u="1"/>
        <s v="HP 200 CLR-72mm x 914m-4 rls/cs-S 1340.06" u="1"/>
        <s v="HP 100 CLR-72mm x 100m-24 rls/cs-S 1736.38" u="1"/>
        <s v="AP 180 CLR-48mm x 1371m-6 rls/cs-H 16587.93" u="1"/>
        <s v="HP 300 CLR-48mm x 914m-6 rls/cs-H 2658" u="1"/>
        <s v="HP 200 CLR-48mm x 914m-6 rls/cs-S 7196.42" u="1"/>
        <s v="HP 200 GRN-48mm x 914m-6 rls/cs-H/A 617.46" u="1"/>
        <s v="HP 200 WHI-72mm x 914m-4 rls/cs-H 18366.02" u="1"/>
        <s v="HP 500 CLR-72mm x 914m-4 rls/cs-S 48409.09" u="1"/>
        <s v="HP 200 CLR-48mm x 1371m-6 rls/cs-S 74004.01" u="1"/>
        <s v="HP 100 CLR-48mm x 914m-6 rls/cs-S 7738.17" u="1"/>
        <s v="SD 934  PISTOL GRIP TAPE DISPNSR PREM.-S 776.16" u="1"/>
        <s v="SD 934  PISTOL GRIP TAPE DISPNSR PREM.-S 1073.33" u="1"/>
        <s v="CP 106 NAT-48mm x 55m-24 rls/cs-S 410.57" u="1"/>
        <s v="HP 100 TAN-48mm x 100m-36 rls/cs-S 13574.21" u="1"/>
        <s v="HP 200 CLR-72mm x 100m-24 rls/cs-S 2551.82" u="1"/>
        <s v="HP 200 CLR-72mm x 100m-24 rls/cs-S 59875.21" u="1"/>
        <s v="HP 235 CR BISTOP-72mmx914m-4 rls/cs-NS 18481.48" u="1"/>
        <s v="HP 200 CLR-72mm x 914m-4 rls/cs-S 21264.26" u="1"/>
        <s v="HP 235 CLR-72mm x 100m-24 rls/cs-H 2328.48" u="1"/>
        <s v="CP 106 NAT-18mm x 55m-48 rls/cs-S 30.41" u="1"/>
        <s v="HP 100 CLR-53mm x 1500m-6 rls/cs-S 14144.8" u="1"/>
        <s v="CP 106 NAT-48mm x 55m-24 rls/cs-S 836.36" u="1"/>
        <s v="AP 101 CLR-48mm x 100m-36 rls/cs-S 1711" u="1"/>
        <s v="GS 490 WHI-36mm x 55m-24 rls/cs-H/A 95.99" u="1"/>
        <s v="WP 100 NAT-70mm x 115m(375ft)-8 rls/cs-H 336.52" u="1"/>
        <s v="P- 628 BLK-4in x 50m-12 rls/cs-H 13566" u="1"/>
        <s v="HP 100 CLR-72mm x 1500m-4 rls/cs-H/T 51673.7" u="1"/>
        <s v="HM 016 CLR-48mm x 914m-6 rls/cs-H/A 1784" u="1"/>
        <s v="CP 101 NAT-24mm x 55m-36 rls/cs-H/T 706" u="1"/>
        <s v="GS 490 WHI-18mm x 55m-48 rls/cs-H/A 0" u="1"/>
        <s v="HP 100 CLR-53mm x 1500m-6 rls/cs-S 49236.64" u="1"/>
        <s v="HP 300 CLR-72mm x 100m-24 RLS/CS-H 95033.83" u="1"/>
        <s v="HM 016 CLR-72mm  *DO NOT USE* 1288.03" u="1"/>
        <s v="GS 490 WHI-18mm x 55m-48 rls/cs-H/A 10463.89" u="1"/>
        <s v="CP 450 NAT-36mm x 55m-24 rls/cs-H 3558.3" u="1"/>
        <s v="GS 521 WHI-18mm x 55m-48 rls/cs-H 414.38" u="1"/>
        <s v="HP 100 CLR-48mm x 1371m-6 rls/cs- S 25438.4" u="1"/>
        <s v="HP 200 CLR-53mm x 1371m-6 rls/cs-H 40843.45" u="1"/>
        <s v="AP 180 CLR-48mm x 914m-6 rls/cs-H/A 18783.72" u="1"/>
        <s v="HP 100 CLR-72mm x 100m-24 rls/cs-S 2541.14" u="1"/>
        <s v="HP 232 CLR-48mm x 100m-36 rls/cs-H/A 4469.26" u="1"/>
        <s v="CP 450 NAT-36mm x 55m-24 rls/cs-H 12403.2" u="1"/>
        <s v="FP 097 KFT-72mm x 55m-16 rls/cs-H/A 140.34" u="1"/>
        <s v="HP 200 WHI-72mm x 100m-24 rls/cs-NS 15178.36" u="1"/>
        <s v="HP 500 CLR-48mm x 100m-36 rls/cs-H 1174.7" u="1"/>
        <s v="HP 500 CLR-72mm x 914m-4 rls/cs-S 1123.21" u="1"/>
        <s v="HP 200 CLR-48mm x 100m-36 rls/cs-S 9302.03" u="1"/>
        <s v="HP 200 CLR-48mm x 1500m-6 rls/cs-H 14002.24" u="1"/>
        <s v="HP 132 CLR-48mm x 1371m-6 rls/cs-H 4043" u="1"/>
        <s v="HM 014 CLR-48mm x 100m-36 rls/cs-S 7484.4" u="1"/>
        <s v="HM 018 CLR-72mm x 100m-24 rls/cs-H/A 30422.3" u="1"/>
        <s v="5300 3IN STD RH " u="1"/>
        <s v="GS 490 WHI-48mm x 55m-24 rls/cs-H/A 6237" u="1"/>
        <s v="CP 66L NAT-4in x 240yd-3 rls/cs-H 29473.59" u="1"/>
        <s v="WP 100 WB SER 70mmx305(1000ft)-6rl/cs-NS 9230.76" u="1"/>
        <s v="PC 460 SIL-48mm x 55m-24 rls/cs-H/A " u="1"/>
        <s v="CP 105 NAT-18mm x 55m-48 rls/cs-S 4926.88" u="1"/>
        <s v="HP 240 CR STOP-48mm x 914m-6 rls/cs-H 5725.56" u="1"/>
        <s v="HP 100 CLR-72mm x 100m-24 rls/cs-S 0" u="1"/>
        <s v="HP 200 CLR-48mm x 1371m-6 rls/cs-S 6668" u="1"/>
        <s v="HP 100  EZ 53mm x 100m CLR-36 rls/cs-H/A 65.58" u="1"/>
        <s v="AP 180 CLR-48mm x 914m-6 rls/cs-H/A 10059.04" u="1"/>
        <s v="SD 934, PISTOL GRIP TAPE DISPNSR PREM.-S 302.21" u="1"/>
        <s v="HP 100 CLR-48mm x 914m-6 rls/cs-S 11347.78" u="1"/>
        <s v="HP 100 CLR-48mm x 914m-6 rls/cs-S 56390.69" u="1"/>
        <s v="HP 200 RED-48mm x 914m-6 rls/cs-H 17360.95" u="1"/>
        <s v="HP 235 CLR-72mm x 1371m-4 rls/cs-H 55170.72" u="1"/>
        <s v="AF 975 SIL-48mm x 46m-24 rls/cs-S " u="1"/>
        <s v="CP 106 NAT-24mm x 55m-36 rls/cs-S 780.53" u="1"/>
        <s v="HP 100 CLR-53mm x 1500m-6 rls/cs-S 11081.19" u="1"/>
        <s v="HM 016 CLR-72mm x 100m-24 rls/cs-H/A 1130.98" u="1"/>
        <s v="HP 200 CLR-48mm x 914m-6 rls/cs-S 6341.07" u="1"/>
        <s v="HP 100 CLR-72mm x 100m-24 rls/cs-S 9437.48" u="1"/>
        <s v="HP 100 CLR-72mm x 914m-4 rls/cs-S 21134.99" u="1"/>
        <s v="HP 200 TAN-48mm x 914m-6 rls/cs-H 199.94" u="1"/>
        <s v="GS 490 WHI-18mm x 55m-48 rls/cs-H/A 8938.5" u="1"/>
        <s v="CP 107 NAT-48mm x 55m-24 rls/cs-H/A 5281.86" u="1"/>
        <s v="HP 200 CLR-48mm x 914m-6 rls/cs-S 1673" u="1"/>
        <s v="HP 200 CLR-48mm x 1371m-6 rls/cs-H/A 7537.86" u="1"/>
        <s v="HP 400 CLR-48mm x 100m-36 rls/cs-H/A 96.23" u="1"/>
        <s v="HP 200 TAN-48mm x 100m-36 rls/cs-H/A 2175.47" u="1"/>
        <s v="HP 200 CLR-48mm x 100m-36 rls/cs-S 8857.25" u="1"/>
        <s v="GS 490 WHI-48mm x 55m-24 rls/cs-H/A 468.07" u="1"/>
        <s v="CP 106 NAT-24mm x 55m-36 rls/cs-S 1001" u="1"/>
        <s v="HP 232 CLR-48mm x 100m-36 rls/cs-H/A 394.18" u="1"/>
        <s v="WP 300 NAT-76mmx138m(450ft)-10rls/cs-H/A 860.31" u="1"/>
        <s v="HP 100  EZ 53mm x 100m CLR-36 rls/cs-H/A 183.55" u="1"/>
        <s v="HP 300 CLR-48mm x 1371m-6 rls/cs-H/A 61678.17" u="1"/>
        <s v="CP 106 NAT-48mm x 55m-24 rls/cs-S 257.79" u="1"/>
        <s v="AP 101 CLR-48mm x 100m-36 rls/cs-S 475.79" u="1"/>
        <s v="GS 500 WHI-48mm x 55m-24 rls/cs-H/A 528.9" u="1"/>
        <s v="HP 500 CLR-72mm x 914m-4 rls/cs-S 233243.81" u="1"/>
        <s v="HP 500 CLR-72mm x 914m-4 rls/cs-S 1188948.79" u="1"/>
        <s v="SD 932  PISTOL GRIP TAPE DISP. ECONOMY-S 149.98" u="1"/>
        <s v="GS 490 WHI-24mm x 55m-36 rls/cs-H/A 88.39" u="1"/>
        <s v="HP 300 CLR-72mm x 914m-4 rls/cs-H 3311.19" u="1"/>
        <s v="GS 490 WHI-18mm x 55m-48 rls/cs-H/A 484.7" u="1"/>
        <s v="HP 200 CLR-48mm x 1500m-6 rls/cs-H 85677" u="1"/>
        <s v="HM 016 CLR-48mm x 100m-36 rls/cs-H 1961.98" u="1"/>
        <s v="HP 500 TAN-48mm x 50m-36 rls/cs-H 2065.69" u="1"/>
        <s v="03041 SPARE CLEAR WIPER FOR FE-2 " u="1"/>
        <s v="HP 200 TAN-72mm x 914m-4 rls/cs-H 0" u="1"/>
        <s v="FP 097 KFT-4in x 60yd-12 rls/cs-H 208" u="1"/>
        <s v="HP 200 CLR-72mm x 914m-4 rls/cs-S 11758" u="1"/>
        <s v="HM 016 CLR-48mm x 100m-36 rls/cs-S " u="1"/>
        <s v="AP 201 CLR-48mm x 100m-36 rls/cs-H/A 385" u="1"/>
        <s v="HP 200 CLR-48mm x 100m-36 rls/cs-S 3271.75" u="1"/>
        <s v="WP 100 WHI-70mm x 138m(450ft)-10rls/cs-H 2123.55" u="1"/>
        <s v="HP 100 CLR-72mm x 914m-4 rls/cs-S 560.34" u="1"/>
        <s v="HP 500 CLR-72mm x 50m-24 rls/cs-H/A 49397.04" u="1"/>
        <s v="HP 200 BLU-72mm x 914m-4 rls/cs-H 23918.79" u="1"/>
        <s v="HP 200 CLR-48mm x 1500m-6 rls/cs-H 4541.96" u="1"/>
        <s v="CP 450 NAT-24mm x 55m-36 rls/cs-H 399.16" u="1"/>
        <s v="FP 097 KFT-72mm x 55m-16 rls/cs-H/A 5613.7" u="1"/>
        <s v="HP 100 CLR-72mm x 100m-24 rls/cs-S 2461.54" u="1"/>
        <s v="HP 200 CLR-48mm x 1828m-6 rls/cs-S 18383" u="1"/>
        <s v="HP 200 CLR-48mm x 100m-36 rls/cs-S 9122.43" u="1"/>
        <s v="HP 100 CLR-72mm x 100m-24 rls/cs-S 2361.74" u="1"/>
        <s v="CP 66L NAT-72mm x 55m-16 rls/cs-NS 2273.04" u="1"/>
        <s v="WP 100 NAT-70mmx138m(450ft)-10rls/cs-H/A 54.25" u="1"/>
        <s v="HP 200 CLR-48mm x 100m-36 rls/cs-S 34257.15" u="1"/>
        <s v="HP 200 CLR-72mm x 100m-24 rls/cs-S 0" u="1"/>
        <s v="AP 201 CLR-72mm x 100m-24 rls/cs-H/A 824.94" u="1"/>
        <s v="GS 490 CLR-18mm x 55m-48 rls/cs-H/A 1552.47" u="1"/>
        <s v="HM 016 CLR-48mm  *DO NOT USE* 16888.02" u="1"/>
        <s v="HM 016 CLR-48mm x 100m-36 rls/cs-S 3891.88" u="1"/>
        <s v="HP 132 CLR-48mm x 914m-6 rls/cs-H/T 50435.65" u="1"/>
        <s v="HP 100 CLR-72mm x 1500m-4 rls/cs-H/T " u="1"/>
        <s v="HP 100 CLR-53mm x 1500m-6 rls/cs-S 15865.15" u="1"/>
        <s v="HP 232 CLR-72mm x 914m-4 rls/cs-H/A 5269.02" u="1"/>
        <s v="HP 400 CLR-48mm x 914m-6 rls/cs-H/A 4243.06" u="1"/>
        <s v="HP 100 CLR-53mm x 1500m-6 rls/cs-S 9334.11" u="1"/>
        <s v="DP 050 CLR-48mm x 50m-24 rls/cs-H 8637.22" u="1"/>
        <s v="HM 016 CLR-48mm x 100m-36 rls/cs-S 5325" u="1"/>
        <s v="HP 200 CLR-48mm x 914m-6 rls/cs-S 335.01" u="1"/>
        <s v="AP 101 CLR-48mm x 100m-36 rls/cs-S 847.51" u="1"/>
        <s v="HP 200 CLR-48mm x 100m-36 rls/cs-S 11825.36" u="1"/>
        <s v="HP 200 CLR-72mm x 914m-4 rls/cs-S 4181.76" u="1"/>
        <s v="HP 100 CLR-53mm x 1500m-6 rls/cs-S 11046.96" u="1"/>
        <s v="HP 200 CLR-72mm x 100m-24 rls/cs-S 1796.26" u="1"/>
        <s v="GS 490 WHI-18mm x 55m-48 rls/cs-H/A 7413.11" u="1"/>
        <s v="HP 500 CLR-72mm x 50m-24 rls/cs-H/A 15966.72" u="1"/>
        <s v="AP 101 CLR-48mm x 100m-36 rls/cs-S 5259.03" u="1"/>
        <s v="HP 200 CLR-72mm x 100m-24 rls/cs-S 9237.88" u="1"/>
        <s v="HP 200 BLU-72mm x 914m-4 rls/cs-H 611.03" u="1"/>
        <s v="HP 200 CLR-72mm x 914m-4 rls/cs-S 3982.18" u="1"/>
        <s v="HP 200 TAN-72mm x 100m-24 rls/cs-H/A 765.07" u="1"/>
        <s v="HP 100 CLR-48mm x 1371m-6 rls/cs- S 24708.31" u="1"/>
        <s v="HP 200 CLR-48mm x 1828m-6 rls/cs-S 35482" u="1"/>
        <s v="PC 609 SIL-48mm x 55m-24 rls/cs-H/A 1389.96" u="1"/>
        <s v="HM 016 CLR-72mm x 100m-24 rls/cs-H/A 2983.07" u="1"/>
        <s v="AP 101 CLR-48mm x 100m-36 rls/cs-S 817.58" u="1"/>
        <s v="HP 100 CLR-72mm x 100m-24 rls/cs-S 7527.16" u="1"/>
        <s v="AP 180 CLR-72mm x 100m-24 rls/cs-H/A 5614.01" u="1"/>
        <s v="HP 200 CLR-48mm x 100m-36 rls/cs-S 1511.15" u="1"/>
        <s v="HP 100 CLR-53mm x 1500m-6 rls/cs-S 17482.49" u="1"/>
        <s v="HP 300 CLR-48mm x 100m-36 rls/cs-H/A 4731.23" u="1"/>
        <s v="HP 100 CLR-72mm x 1500m-4 rls/cs-H/T 1860.69" u="1"/>
        <s v="HP 200 RED-48mm x 914m-6 rls/cs-H 133.41" u="1"/>
        <s v="HP 200 CLR-72mm x 914m-4 rls/cs-S 3113.51" u="1"/>
        <s v="HP 500 CLR-72mm x 914m-4 rls/cs-S 55293.33" u="1"/>
        <s v="FP 115 BRN-48mm x 55m-24 rls/cs-H 355.45" u="1"/>
        <s v="HP 235 CLR-72mm x 100m-24 rls/cs-H 951.59" u="1"/>
        <s v="PE 444 RED- 48mm X 55m- 24 rls/cs-H/A 6365.32" u="1"/>
        <s v="CP 631 GRN-18mm x 55m-48 rls/cs-H 1006.48" u="1"/>
        <s v="HP 100 CLR-48mm x 100m-36 rls/cs-S 1211.76" u="1"/>
        <s v="GS 490 WHI-12mm x 55m-72 rls/cs-H/A 637.25" u="1"/>
        <s v="SD 932  PISTOL GRIP TAPE DISP. ECONOMY-S " u="1"/>
        <s v="GS 490 CLR-48mm x 55m-24 rls/cs-H/A 61.78" u="1"/>
        <s v="CP 105 NAT-18mm x 55m-48 rls/cs-S 11724.13" u="1"/>
        <s v="HP 200 TAN-72mm x 914m-4 rls/cs-H 6097.76" u="1"/>
        <s v="HP 132 CLR-72mm x 100m-24 rls/cs-H 12334.3" u="1"/>
        <s v="HP 200 WHI-72mm x 100m-24 rls/cs-NS 10692" u="1"/>
        <s v="HP 200 CLR-53mm x 1371m-6 rls/cs-H 51281.2" u="1"/>
        <s v="HP 100 CLR-53mm x 1500m-6 rls/cs-S 9567.2" u="1"/>
        <s v="HP 100 CLR-53mm x 1500m-6 rls/cs-S 46121" u="1"/>
        <s v="HP 200 GRN-48mm x 914m-6 rls/cs-H/A 667.06" u="1"/>
        <s v="CP 106 NAT-72mm x 55m-16 rls/cs-S 833.34" u="1"/>
        <s v="HP 200 CLR-48mm x 1371m-6 rls/cs-S 670.03" u="1"/>
        <s v="HP 200 CLR-48mm x 100m-36 rls/cs-S 6607.65" u="1"/>
        <s v="HP 200 CLR-72mm x 100m-24 rls/cs-S 20498.23" u="1"/>
        <s v="HP 100 CLR-72mm x 1371m-4 rls/cs-H/T 14017.92" u="1"/>
        <s v="HP 200 BLU-72mm x 914m-4 rls/cs-H 49348.24" u="1"/>
        <s v="FP 097 KFT-72mm x 55m-16 rls/cs-H/A 8316.01" u="1"/>
        <s v="AP 201 CLR-72mm x 914m-4 rls/cs-H 1921.71" u="1"/>
        <s v="SD 934  PISTOL GRIP TAPE DISPNSR PREM.-S 137.98" u="1"/>
        <s v="HP 200 CLR-48mm x 1371m-6 rls/cs-S 9840.92" u="1"/>
        <s v="HP 500 CLR-72mm x 50m-24 rls/cs-H/A 10585.08" u="1"/>
        <s v="HP 300 CLR-48mm x 50m-36 rls/cs-H 2987.34" u="1"/>
        <s v="HP 235 CLR-72mm x 100m-24 rls/cs-H 342.86" u="1"/>
        <s v="HP 200 CLR-48mm x 1371m-6 rls/cs-S 6115.84" u="1"/>
        <s v="P- 628 BLK-48mm x 50m-24 RLS/CS-S 845.38" u="1"/>
        <s v="AP 180 CLR-48mm x 100m-36 rls/cs-H/A 2501.93" u="1"/>
        <s v="HP 200 CLR-72mm x 914m-4 rls/cs-S 11015.13" u="1"/>
        <s v="HP 235 CLR-72mm x 1371m-4 rls/cs-H 139520.41" u="1"/>
        <s v="FP 097 KFT-18mm x 55m-48 rls/cs-H 509.4" u="1"/>
        <s v="HP 200 CLR-48mm x 100m-36 rls/cs-S 1381.42" u="1"/>
        <s v="HP 500 CLR-72mm x 50m-24 rls/cs-H/A 64323.07" u="1"/>
        <s v="HP 235 CR BISTOP-72mmx914m-4 rls/cs-NS " u="1"/>
        <s v="CP 106 NAT-72mm x 55m-16 rls/cs-S 471.4" u="1"/>
        <s v="FP 097 KFT-72mm x 55m-16 rls/cs-H/A 4069.94" u="1"/>
        <s v="HP 100 CLR-72mm x 100m-24 rls/cs-S 18347.48" u="1"/>
        <s v="HP 500 CLR-72mm x 914m-4 rls/cs-S 81111.58" u="1"/>
        <s v="GS 490 CLR-18mm x 55m-48 rls/cs-H/A 2010.09" u="1"/>
        <s v="HP 200 CLR-48mm x 100m-36 rls/cs-S 17064.44" u="1"/>
        <s v="PC 609 SIL-48mm x 55m-24 rls/cs-H/A 9353.37" u="1"/>
        <s v="HP 500 CLR-72mm x 50m-24 rls/cs-H/A 39717.22" u="1"/>
        <s v="AP 101 CLR-48mm x 914m-6 rls/cs-S 17345.51" u="1"/>
        <s v="HP 200 CLR-48mm x 914m-6 rls/cs-S 12482.53" u="1"/>
        <s v="GS 490 CLR-48mm x 55m-24 rls/cs-H/A 3679.95" u="1"/>
        <s v="HP 500 TAN-48mm x 50m-36 rls/cs-H 2891.11" u="1"/>
        <s v="HP 100 CLR-48mm x 1828m-6 rls/cs-S 35039.82" u="1"/>
        <s v="GS 490 CLR-18mm x 55m-48 rls/cs-H/A 20338.56" u="1"/>
        <s v="HP 500 CLR-72mm x 50m-24 rls/cs-H/A 118823.76" u="1"/>
        <s v="FP 097 KFT-72mm x 55m-16 rls/cs-H/A 1769" u="1"/>
        <s v="HP 200 CLR-72mm x 914m-4 rls/cs-S 16540.75" u="1"/>
        <s v="HP 200 GRN-48mm x 914m-6 rls/cs-H/A 157.47" u="1"/>
        <s v="HP 100 CLR-48mm x 100m-36 rls/cs-S 4127.12" u="1"/>
        <s v="HP 200 CLR-72mm x 914m-4 rls/cs-H/A " u="1"/>
        <s v="HP 100 CLR-48mm x 914m-6 rls/cs-S 889.57" u="1"/>
        <s v="HP 100 CLR-72mm x 100m-24 rls/cs-S 24235.2" u="1"/>
        <s v="HP 100 CLR-53mm x 1500m-6 rls/cs-S 68931.29" u="1"/>
        <s v="HP 200 CLR-48mm x 100m-36 rls/cs-S 11075.49" u="1"/>
        <s v="AP 180 CLR-72mm x 100m-24 rls/cs-H/A 20614.16" u="1"/>
        <s v="HP 235 CLR-72mm x 100m-24 rls/cs-H 17936.91" u="1"/>
        <s v="HP 100 CLR-72mm x 914m-4 rls/cs-S 1338.09" u="1"/>
        <s v="HP 100 CLR-72mm x 100m-24 rls/cs-S 2211.58" u="1"/>
        <s v="HP 200 CLR-48mm x 100m-36 rls/cs-S 7612.71" u="1"/>
        <s v="SD 932, PISTOL GRIP TAPE DISP. ECONOMY-S " u="1"/>
        <s v="HP 100 CLR-48mm x 1371m-6 rls/cs- S 1805.76" u="1"/>
        <s v="CP 66L NAT-4in x 240yd-3 rls/cs-H 18049.99" u="1"/>
        <s v="HP 200 CLR-48mm x 200m-36 rls/cs-H " u="1"/>
        <s v="AP 180 CLR-72mm x 100m-24 rls/cs-H/A 8239.97" u="1"/>
        <s v="P- 628 BLK-4in x 50m-12 rls/cs-H 19049.36" u="1"/>
        <s v="HP 500 CLR-72mm x 50m-24 rls/cs-H/A 38223.9" u="1"/>
        <s v="HP 200 CLR-48mm x 914m-6 rls/cs-S 997.93" u="1"/>
        <s v="HP 100 CLR-72mm x 1371m-4 rls/cs-H/T 3789.24" u="1"/>
        <s v="HP 200 CLR-48mm x 914m-6 rls/cs-S 12612.27" u="1"/>
        <s v="HM 014 CLR-48mm x 100m-36 rls/cs-S 9751.08" u="1"/>
        <s v="HP 400 CLR-72mm x 914m-4 rls/cs-H/A 624" u="1"/>
        <s v="HP 200 CLR-72mm x 100m-24 rls/cs-S 28179.84" u="1"/>
        <s v="HP 232 CLR-48mm x 100m-36 rls/cs-H/A 223.46" u="1"/>
        <s v="HP 200 CLR-72mm x 914m-4 rls/cs-S 4704.48" u="1"/>
        <s v="HP 100 CLR-53mm x 1500m-6 rls/cs-S 24341.23" u="1"/>
        <s v="HP 200 CLR-48mm x 1371m-6 rls/cs-S 36297.22" u="1"/>
        <s v="HP 200 CLR-48mm x 1371m-6 rls/cs-S 8925.68" u="1"/>
        <s v="CP 66L NAT-72mm x 55m-16 rls/cs-NS 8154.42" u="1"/>
        <s v="HP 400 CLR-72mm x 100m-24 rls/cs-H/A " u="1"/>
        <s v="HP 100 TAN-48mm x 100m-36 rls/cs-S 12063.07" u="1"/>
        <s v="HP 500 TAN-48mm x 50m-36 rls/cs-H 5837.83" u="1"/>
        <s v="HP 500 CLR-72mm x 914m-4 rls/cs-S 255247.97" u="1"/>
        <s v="GS 490 WHI-48mm x 55m-24 rls/cs-H/A 111.2" u="1"/>
        <s v="HM 016 CLR-48mm  *DO NOT USE* 4735.49" u="1"/>
        <s v="HP 200 CLR-72mm x 914m-4 rls/cs-S 3585.38" u="1"/>
        <s v="SD 935  PISTOL GRIP DISPNSR-3 IN. ROLL-S 70.21" u="1"/>
        <s v="HP 500 CLR-72mm x 50m-24 rls/cs-H/A 32133.02" u="1"/>
        <s v="AP 101 CLR-48mm x 100m-36 rls/cs-S 1871.1" u="1"/>
        <s v="HP 100 CLR-48mm x 1371m-6 rls/cs- S 5559.84" u="1"/>
        <s v="CP 105 NAT-12mm x 55m-72 rls/cs-H 109.06" u="1"/>
        <s v="DP 391 GLA-24mm x 50m-36 rls/cs-C 949.45" u="1"/>
        <s v="HP 100 CLR-48mm x 100m-36 rls/cs-S 1101.28" u="1"/>
        <s v="FP 097 KFT-72mm x 55m-16 rls/cs-H/A 1684.08" u="1"/>
        <s v="HP 300 CLR-48mm x 1371m-6 rls/cs-H/A 40369.01" u="1"/>
        <s v="HP 400 CLR-48mm x 914m-6 rls/cs-H/A 3847.21" u="1"/>
        <s v="HM 016 CLR-72mm x 100m-24 rls/cs-H/A 10046.7" u="1"/>
        <s v="DP 050 CLR-48mm x 50m-24 rls/cs-H 8286.3" u="1"/>
        <s v="FP 115 BRN-24mm x 55m-36 rls/cs-H 133.29" u="1"/>
        <s v="HP 200 CLR-72mm x 1371m-4 rls/cs-S 388" u="1"/>
        <s v="GS 521 WHI-18mm x 55m-48 rls/cs-H 551.23" u="1"/>
        <s v="HP 100 CLR-48mm x 1371m-6 rls/cs- S 58085.35" u="1"/>
        <s v="WP 300 NAT-76mmx138m(450ft)-10rls/cs-H/A 782.1" u="1"/>
        <s v="HP 200 CLR-48mm x 914m-6 rls/cs-S 12722.07" u="1"/>
        <s v="HP 200 CLR-48mm x 914m-6 rls/cs-S 12682.14" u="1"/>
        <s v="WP 100 NAT-72mmx138m(450ft)-10rls/cs-H/A 26309.71" u="1"/>
        <s v="DP 050 CLR-48mm x 50m-24 rls/cs-H 9612.37" u="1"/>
        <s v="GS 490 WHI-18mm x 55m-48 rls/cs-H/A 7626.96" u="1"/>
        <s v="HP 500 CLR-72mm x 914m-4 rls/cs-S 241279.93" u="1"/>
        <s v="HP 100 CLR-53mm x 1500m-6 rls/cs-S 3423.58" u="1"/>
        <s v="WP 100 NAT-70mmx138m(450ft)-10rls/cs-H/A 710.82" u="1"/>
        <s v="HP 500 TAN-48mm x 50m-36 rls/cs-H 240.93" u="1"/>
        <s v="PC 600 BLK-48mm x 55m-24 rls/cs-S 5775.11" u="1"/>
        <s v="HM 018 CLR-48mm x 100m-36 rls/cs-S 4618.95" u="1"/>
        <s v="AP 180 CLR-72mm x 100m-24 rls/cs-H/A 3079.3" u="1"/>
        <s v="FP 115 BRN-72mm x 55m-16 rls/cs-H 2273.18" u="1"/>
        <s v="FE-3 Folded-Edge Tape Dispenser - H 51.97" u="1"/>
        <s v="CP 105 NAT-18mm x 55m-48 rls/cs-S 30838.58" u="1"/>
        <s v="HP 500 CLR-72mm x 50m-24 rls/cs-H/A 54101.52" u="1"/>
        <s v="HP 200 ORG-48mm x 914m-6 rls/cs-H 1334.12" u="1"/>
        <s v="HP 200 CLR-48mm x 100m-36 rls/cs-S 3941.09" u="1"/>
        <s v="HP 200 CLR-72mm x 914m-4 rls/cs-S 12123" u="1"/>
        <s v="HP 200 CLR-48mm x 914m-6 rls/cs-S 6147.19" u="1"/>
        <s v="HP 200 RED-48mm x 100m-36 rls/cs-H 166.79" u="1"/>
        <s v="FP 097 KFT-72mm x 55m-16 rls/cs-H/A 650.07" u="1"/>
        <s v="HP 200 CLR-72mm x 914m-4 rls/cs-S 4955.39" u="1"/>
        <s v="HP 200 CLR-48mm x 914m-6 rls/cs-S 449.79" u="1"/>
        <s v="HP 100 CLR-48mm x 100m-36 rls/cs-S 7285" u="1"/>
        <s v="AP 180 CLR-72mm x 100m-24 rls/cs-H/A -940.9" u="1"/>
        <s v="HP 400 CLR-48mm x 914m-6 rls/cs-H/A 343.57" u="1"/>
        <s v="HM 016 CLR-48mm x 100m-36 rls/cs-S 1961.98" u="1"/>
        <s v="HP 400 CLR-48mm x 914m-6 rls/cs-H/A 963.36" u="1"/>
        <s v="HP 100 CLR-72mm x 100m-24 rls/cs-S 5927.64" u="1"/>
        <s v="CP 106 NAT-72mm x 55m-16 rls/cs-S 8805.45" u="1"/>
        <s v="HP 100 CLR-48mm x 1371m-6 rls/cs- S 3069.79" u="1"/>
        <s v="HP 200 CLR-72mm x 100m-24 rls/cs-S 5847.82" u="1"/>
        <s v="DP 050 CLR-48mm x 50m-24 rls/cs-H 8034.42" u="1"/>
        <s v="HP 200 CLR-48mm x 1828m-6 rls/cs-S 14145.51" u="1"/>
        <s v="HP 200 CLR-72mm x 914m-4 rls/cs-S 5755.62" u="1"/>
        <s v="HP 200 CLR-48mm x 914m-6 rls/cs-S 12612.28" u="1"/>
        <s v="SD 935, PISTOL GRIP DISPNSR-3 IN. ROLL-S 70.21" u="1"/>
        <s v="HP 100 CLR-53mm x 1500m-6 rls/cs-S 84298.57" u="1"/>
        <s v="HP 200 CLR-48mm x 914m-6 rls/cs-S 7527.17" u="1"/>
        <s v="FP 097 KFT-48mm x 50m-24 rls/cs-H 3284.6" u="1"/>
        <s v="HP 500 CLR-72mm x 50m-24 rls/cs-H/A 27050.76" u="1"/>
        <s v="HP 100 CLR-48mm x 100m-36 rls/cs-S " u="1"/>
        <s v="HP 200 CLR-72mm x 100m-24 rls/cs-S 9010" u="1"/>
        <s v="FE-2 Folded-Edge Tape Dispenser - H 213.84" u="1"/>
        <s v="HP 200 CLR-72mm x 1371m-4 rls/cs-S 172" u="1"/>
        <s v="HP 132 CLR-72mm x 100m-24 rls/cs-H 3632.42" u="1"/>
        <s v="FP 115 BRN-48mm x 55m-24 rls/cs-H 5656.75" u="1"/>
        <s v="HP 100 CLR-53mm x 1500m-6 rls/cs-S 22709.8" u="1"/>
        <s v="AP 101 CLR-48mm x 100m-36 rls/cs-S 274.78" u="1"/>
        <s v="HM 016 CLR-48mm x 100m-36 rls/cs-S 1271.98" u="1"/>
        <s v="VP 410 ORG-75mm x 33m-18 rls/cs-H 80.9" u="1"/>
        <s v="HP 100 CLR-72mm x 100m-24 rls/cs-S 13571.7" u="1"/>
        <s v="HP 100 CLR-72mm x 100m-24 rls/cs-S 16126.39" u="1"/>
        <s v="HP 100 CLR-72mm x 100m-24 rls/cs-S 2141.48" u="1"/>
        <s v="HP 500 CLR-72mm x 914m-4 rls/cs-S 2020167.87" u="1"/>
        <s v="HP 200 CLR-48mm x 914m-6 rls/cs-S 1873.95" u="1"/>
        <s v="HP 200 CLR-48mm x 914m-6 rls/cs-S 6398.09" u="1"/>
        <s v="HP 200 CLR-48mm x 914m-6 rls/cs-S 1863.96" u="1"/>
        <s v="CP 66L NAT-4in x 240yd-3 rls/cs-H 171452.2" u="1"/>
        <s v="HM 014 CLR-48mm x 100m-36 rls/cs-S 1970.89" u="1"/>
        <s v="DP 050 CLR-24mm x 50m-36 rls/cs-H 720.64" u="1"/>
        <s v="HM 016 CLR-48mm x 100m-36 rls/cs-S 8760.3" u="1"/>
        <s v="HP 200 CLR-72mm x 914m-4 rls/cs-S 2151.23" u="1"/>
        <s v="CP 450 NAT-36mm x 55m-24 rls/cs-H 26950.51" u="1"/>
        <s v="SD 932  PISTOL GRIP TAPE DISP. ECONOMY-S 11.14" u="1"/>
        <s v="GS 490 WHI-48mm x 55m-24 rls/cs-H/A 1046.39" u="1"/>
        <s v="HP 200 CLR-48mm x 100m-36 rls/cs-S 81.26" u="1"/>
        <s v="GP 100 NAT-3in x 600ft-10 rls/cs-C 968.22" u="1"/>
        <s v="HP 200 CLR-72mm x 914m-4 rls/cs-S 5736.61" u="1"/>
        <s v="HP 300 CLR-48mm x 100m-36 rls/cs-H/A 6989.73" u="1"/>
        <s v="SD 934, PISTOL GRIP TAPE DISPNSR PREM.-S 40.29" u="1"/>
        <s v="CP 106 NAT-48mm x 55m-24 rls/cs-S 380.16" u="1"/>
        <s v="HP 400 CLR-48mm x 914m-6 rls/cs-H/A 1442.7" u="1"/>
        <s v="HP 100 CLR-72mm x 100m-24 rls/cs-S 39874.01" u="1"/>
        <s v="HP 200 CLR-48mm x 914m-6 rls/cs-S 8907.16" u="1"/>
        <s v="HP 100 CLR-53mm x 1500m-6 rls/cs-S 13825.47" u="1"/>
        <s v="FP 097 KFT-48mm x 50m-24 rls/cs-H 135.43" u="1"/>
        <s v="GS 500 WHI-48mm x 55m-24 rls/cs-H/A 88.15" u="1"/>
        <s v="CP 106 NAT-48mm x 55m-24 rls/cs-S 167.27" u="1"/>
        <s v="HP 100 CLR-48mm x 1500m-6 rls/cs-H/A " u="1"/>
        <s v="HP 100 CLR-53mm x 1500m-6 rls/cs-S 9674.12" u="1"/>
        <s v="PE 444 RED- 48mm X 55m- 24 rls/cs-H/A 4199.09" u="1"/>
        <s v="HP 200 CLR-72mm x 914m-4 rls/cs-S 2739.05" u="1"/>
        <s v="HP 200 CLR-48mm x 914m-6 rls/cs-S 7778.07" u="1"/>
        <s v="HP 100 CLR-48mm x 100m-36 rls/cs-S 8197.18" u="1"/>
        <s v="HP 100 TAN-48mm x 100m-36 rls/cs-S 3487.37" u="1"/>
        <s v="CP 105 NAT-48mm x 55m-24 rls/cs-S 0" u="1"/>
        <s v="HP 100 CLR-48mm x 914m-6 rls/cs-S -222.39" u="1"/>
        <s v="WP 300 NAT-76mmx138m(450ft)-10rls/cs-H/A 1173.15" u="1"/>
        <s v="HP 400 CLR-72mm x 914m-4 rls/cs-H/A " u="1"/>
        <s v="HP 200 CLR-72mm x 914m-4 rls/cs-S 2569.17" u="1"/>
        <s v="HP 100 CLR-53mm x 1500m-6 rls/cs-S 12950.15" u="1"/>
        <s v="CP 106 NAT-24mm x 55m-36 rls/cs-S 359.25" u="1"/>
        <s v="HP 200 CLR-72mm x 100m-24 rls/cs-S 2171.66" u="1"/>
        <s v="GS 501 WHI-24mm x 55m-36 rls/cs-H/A 1561.04" u="1"/>
        <s v="SD 934  PISTOL GRIP TAPE DISPNSR PREM.-S 616.49" u="1"/>
        <s v="GS 490 WHI-48mm x 55m-24 rls/cs-H/A 241.4" u="1"/>
        <s v="AP 201 CLR-72mm x 100m-24 rls/cs-H/A 707.1" u="1"/>
        <s v="HP 200 CLR-53mm x 1371m-6 rls/cs-H 12253.02" u="1"/>
        <s v="GS 490 CLR-36mm x 55m-24 rls/cs-H/A 119.75" u="1"/>
        <s v="HP 200 CLR-48mm x 1500m-6 rls/cs-H 126020.17" u="1"/>
        <s v="HM 016 CLR-72mm x 100m-24 rls/cs-H/A 1782" u="1"/>
        <s v="HP 200 CLR-48mm x 914m-6 rls/cs-S 7139.31" u="1"/>
        <s v="AP 201 CLR-48mm x 914m-6 rls/cs-H/A 2033.25" u="1"/>
        <s v="HP 100 CLR-48mm x 100m-36 rls/cs-S 10700.91" u="1"/>
        <s v="HP 100 CLR-48mm x 100m-36 rls/cs-S 2117.01" u="1"/>
        <s v="HP 200 CLR-72mm x 1371m-4 rls/cs-H/A 13087.01" u="1"/>
        <s v="HP 300 CLR-48mm x 1371m-6 rls/cs-H/A 43854.32" u="1"/>
        <s v="HP 100 CLR-72mm x 1500m-4 rls/cs-H/T 10944.33" u="1"/>
        <s v="HP 100 CLR-48mm x 100m-36 rls/cs-S 5602.61" u="1"/>
        <s v="HP 100 CLR-72mm x 914m-4 rls/cs-S 560.33" u="1"/>
        <s v="HP 100 CLR-48mm x 1371m-6 rls/cs- S 3276.03" u="1"/>
        <s v="HP 200 CLR-48mm x 100m-36 rls/cs-S 7102.34" u="1"/>
        <s v="HP 200 CLR-48mm x 1828m-6 rls/cs-S 376.54" u="1"/>
        <s v="HP 200 CLR-48mm x 100m-36 rls/cs-S " u="1"/>
        <s v="CP 105 NAT-72mm x 55m-16 rls/cs-H 266.12" u="1"/>
        <s v="CP 106 NAT-48mm x 55m-24 rls/cs-S 193.88" u="1"/>
        <s v="WP 100 WHI-70mm x 138m(450ft)-10rls/cs-H 4890.6" u="1"/>
        <s v="HP 100 CLR-53mm x 1500m-6 rls/cs-S 9184.42" u="1"/>
        <s v="FP 097 KFT-4in x 60yd-12 rls/cs-H 564.53" u="1"/>
        <s v="HP 100 CLR-53mm x 1500m-6 rls/cs-S 9124.55" u="1"/>
        <s v="HP 132 CLR-72mm x 100m-24 rls/cs-H 3632.43" u="1"/>
        <s v="HP 200 CLR-48mm x 914m-6 rls/cs-S 9340.53" u="1"/>
        <s v="AP 180 CLR-48mm x 1371m-6 rls/cs-H 6567.74" u="1"/>
        <s v="HM 018 CLR-72mm x 100m-24 rls/cs-H 1938.82" u="1"/>
        <s v="HP 200 CLR-48mm x 100m-36 rls/cs-S 16077.24" u="1"/>
        <s v="HP 235 CLR-72mm x 1371m-4 rls/cs-H 92321.65" u="1"/>
        <s v="HP 500 CLR-72mm x 914m-4 rls/cs-S 423250.18" u="1"/>
        <s v="HM 018 CLR-72mm  *DO NOT USE* 18257.18" u="1"/>
        <s v="DP 380 GLA-24mm x 50m-36 rls/cs-H 1234.92" u="1"/>
        <s v="HP 240 WR STOP-48mm x 914m-6 rls/cs-H 634.75" u="1"/>
        <s v="HP 500 CLR-48mm x 100m-36 rls/cs-H " u="1"/>
        <s v="CP 225 GLD-48mm x 55m-24 rls/cs-H/T 570.24" u="1"/>
        <s v="HP 100 CLR-53mm x 1500m-6 rls/cs-S 61852.98" u="1"/>
        <s v="HP 200 CLR-48mm x 1371m-6 rls/cs-H/A 2603.26" u="1"/>
        <s v="HP 200 CLR-48mm x 914m-6 rls/cs-S 1881.8" u="1"/>
        <s v="HP 235 CLR-72mm x 100m-24 rls/cs-H 6529.25" u="1"/>
        <s v="AP 180 CLR-48mm x 100m-36 rls/cs-H/A 1003.62" u="1"/>
        <s v="HM 018 CLR-72mm  *DO NOT USE* 1444.61" u="1"/>
        <s v="HP 100 CLR-48mm x 914m-6 rls/cs-S 24952.74" u="1"/>
        <s v="CP 083 NAT-48mm x 55m-24 rls/cs-S 196.02" u="1"/>
        <s v="GS 490 CLR-48mm x 55m-24 rls/cs-H/A 10560.37" u="1"/>
        <s v="DP 391 GLA-24mm x 50m-36 rls/cs-C 1005" u="1"/>
        <s v="WP 150 BLU CWAV 72mm x 138M - NS 6849.31" u="1"/>
        <s v="FP 097 KFT-48mm x 55m-24 rls/cs-H/A 3771.18" u="1"/>
        <s v="SP B020, Cutter blade, 3&quot; 06-020 161.57" u="1"/>
        <s v="HP 200 CLR-48mm x 914m-6 rls/cs-S 12482.56" u="1"/>
        <s v="HP 100 CLR-53mm x 1500m-6 rls/cs-S 6919.86" u="1"/>
        <s v="SD 935  PISTOL GRIP DISPNSR-3 IN. ROLL-S 30.74" u="1"/>
        <s v="HP 200 TAN-72mm x 914m-4 rls/cs-H 4001.18" u="1"/>
        <s v="AP 401 CLR-72mm x 100m-24 rls/cs-H 949.45" u="1"/>
        <s v="FE-3 Folded-Edge Tape Dispenser - H 25.99" u="1"/>
        <s v="GP 100 NAT-3in x 600ft-10 rls/cs-H 968.22" u="1"/>
        <s v="HP 400 CLR-72mm x 914m-4 rls/cs-H/A 4891.22" u="1"/>
        <s v="HP 100 CLR-48mm x 914m-6 rls/cs-S 997.92" u="1"/>
        <s v="HP 100 CLR-48mm x 914m-6 rls/cs-S 8154.43" u="1"/>
        <s v="HP 200 CLR-48mm x 100m-36 rls/cs-S 8810.2" u="1"/>
        <s v="HP 200 CLR-48mm x 914m-6 rls/cs-S 23227.79" u="1"/>
        <s v="AP 201 RED 48mm x 100m-36 rls/cs-H/A 121.18" u="1"/>
        <s v="HP 500 CLR-72mm x 914m-4 rls/cs-H/A " u="1"/>
        <s v="HP 240 WR STOP-48mm x 914m-6 rls/cs-H 3656.66" u="1"/>
        <s v="HP 200 CLR-72mm x 914m-4 rls/cs-S 752.72" u="1"/>
        <s v="HP 500 CLR-72mm x 914m-4 rls/cs-S 166517.21" u="1"/>
        <s v="HP 200 CLR-72mm x 914m-4 rls/cs-S 5331.74" u="1"/>
        <s v="HP 232 CLR-48mm x 914m-6 rls/cs-H/A 649.36" u="1"/>
        <s v="GS 501 CLR-24mm x 55m-36 rls/cs-H/A 967.99" u="1"/>
        <s v="HP 232 CLR-48mm x 914m-6 rls/cs-H/A 169.65" u="1"/>
        <s v="FP 097 KFT-72mm x 55m-16 rls/cs-H/A 2514.76" u="1"/>
        <s v="FP 097 KFT-72mm x 55m-16 rls/cs-H/A 37225.74" u="1"/>
        <s v="AP 180 CLR-48mm x 914m-6 rls/cs-H/A 15670.21" u="1"/>
        <s v="HP 100 CLR-72mm x 100m-24 rls/cs-S 18989.01" u="1"/>
        <s v="WP 100 NAT-72mmx138m(450ft)-10rls/cs-H/A 509.85" u="1"/>
        <s v="HP 200 RED-48mm x 100m-36 rls/cs-H 333.59" u="1"/>
        <s v="SD 934, PISTOL GRIP TAPE DISPNSR PREM.-S 16.91" u="1"/>
        <s v="AP 201 BLU 48mm x 100m-36 rls/cs-H " u="1"/>
        <s v="HP 100 CLR-48mm x 100m-36 rls/cs-S 2117.02" u="1"/>
        <s v="CP 101 NAT-24mm x 55m-36 rls/cs-H/T 273.72" u="1"/>
        <s v="GS 490 CLR-48mm x 55m-24 rls/cs-H/A 2159.31" u="1"/>
        <s v="HP 200 CLR-72mm x 914m-4 rls/cs-S 5329.84" u="1"/>
        <s v="WP 100 NAT-70mmx138m(450ft)-10rls/cs-H/A 1085.04" u="1"/>
        <s v="HP 100 CLR-72mm x 1500m-4 rls/cs-H/T 6515" u="1"/>
        <s v="HP 200 CLR-48mm x 100m-36 rls/cs-S 5602.61" u="1"/>
        <s v="HP 200 WHI-48mm x 914m-6 rls/cs-H 251.86" u="1"/>
        <s v="HP 100 CLR-48mm x 914m-6 rls/cs-S 13138.32" u="1"/>
        <s v="HP 200 RED-48mm x 914m-6 rls/cs-H 6403.8" u="1"/>
        <s v="AP 180 CLR-48mm x 1371m-6 rls/cs-H " u="1"/>
        <s v="HP 100 CLR-48mm x 914m-6 rls/cs-S 561" u="1"/>
        <s v="P- 628 BLK-48mm x 50m-24 RLS/CS-S 845.37" u="1"/>
        <s v="AP 201 CLR-72mm x 914m-4 rls/cs-H 16661" u="1"/>
        <s v="GS 490 WHI-24mm x 55m-36 rls/cs-H/A 415.22" u="1"/>
        <s v="PC 600 SIL-48mm x 55m-24 rls/cs-S 249" u="1"/>
        <s v="CP 105 NAT-72mm x 55m-16 rls/cs-H 1768" u="1"/>
        <s v="GS 490 WHI-12mm x 55m-72 rls/cs-H/A 1171.11" u="1"/>
        <s v="HP 500 CLR-72mm x 914m-4 rls/cs-S 1509174.19" u="1"/>
        <s v="CP 106 NAT-72mm x 55m-16 rls/cs-S 35451.84" u="1"/>
        <s v="WP 150 BLU COMPND 70mmx138m-10rl/cs 14140.17" u="1"/>
        <s v="CP 106 NAT-72mm x 55m-16 rls/cs-S 655.3" u="1"/>
        <s v="FP 097 KFT-72mm x 55m-16 rls/cs-H/A 280.68" u="1"/>
        <s v="PC 609 SIL-48mm x 55m-24 rls/cs-H/A 8409.15" u="1"/>
        <s v="HP 200 CLR-72mm x 100m-24 rls/cs-S 6955.5" u="1"/>
        <s v="HP 200 CLR-48mm x 1371m-6 rls/cs-S 688.09" u="1"/>
        <s v="HP 235 CLR-72mm x 100m-24 rls/cs-H 326.7" u="1"/>
        <s v="HP 200 CLR-48mm x 100m-36 rls/cs-S 3891.89" u="1"/>
        <s v="HP 200 BLU-48mm x 914m-6 rls/cs-H 472.41" u="1"/>
        <s v="GS 490 WHI-24mm x 55m-36 rls/cs-H/A 44.19" u="1"/>
        <s v="HP 100 CLR-72mm x 100m-24 rls/cs-S 3147.72" u="1"/>
        <s v="HP 100 CLR-72mm x 914m-4 rls/cs-S 11975.05" u="1"/>
        <s v="HP 200 CLR-48mm x 914m-6 rls/cs-S 16313.52" u="1"/>
        <s v="HP 200 CLR-48mm x 1500m-6 rls/cs-H 42006.72" u="1"/>
        <s v="HP 200 CLR-48mm x 914m-6 rls/cs-S 62.73" u="1"/>
        <s v="HP 100 CLR-53mm x 1500m-6 rls/cs-S 24997.91" u="1"/>
        <s v="AP 201 CLR-72mm x 914m-4 rls/cs-H 1355.9" u="1"/>
        <s v="P- 628 BLK-48mm x 50m-24 RLS/CS-S 563.58" u="1"/>
        <s v="HP 100 CLR-53mm x 1500m-6 rls/cs-S 10046.21" u="1"/>
        <s v="HP 100 CLR-48mm x 914m-6 rls/cs-S 23467.29" u="1"/>
        <s v="FP 097 KFT-48mm x 50m-24 rls/cs-H 10184.49" u="1"/>
        <s v="FE-3 Folded-Edge Tape Dispenser - H 77.96" u="1"/>
        <s v="HP 132 CLR-72mm x 100m-24 rls/cs-H 2767.57" u="1"/>
        <s v="HP 200 TAN-72mm x 914m-4 rls/cs-H 4233.08" u="1"/>
        <s v="HP 232 CLR-72mm x 914m-4 rls/cs-H/A 5225.29" u="1"/>
        <s v="HP 200 CLR-48mm x 1371m-6 rls/cs-S 18578.43" u="1"/>
        <s v="WP 100 NAT-70mm x 153m(500ft)-6 rls/cs-H 805.46" u="1"/>
        <s v="AP 015 CLR-96mm x 66m-18 rls/cs-H 360.68" u="1"/>
        <s v="HP 200 CLR-72mm x 100m-24 rls/cs-S 81.74" u="1"/>
        <s v="VP 410 WHI- 50mm X 33m- 24 rls/cs-H 67.24" u="1"/>
        <s v="HP 100 CLR-53mm x 1500m-6 rls/cs-S 19269.1" u="1"/>
        <s v="HP 200 CLR-48mm x 1828m-6 rls/cs-S 40079.33" u="1"/>
        <s v="HP 300 CLR-48mm x 914m-6 rls/cs-H 520.64" u="1"/>
        <s v="HP 200 CLR-48mm x 914m-6 rls/cs-S 8154.43" u="1"/>
        <s v="HP 200 CLR-48mm x 914m-6 rls/cs-S 670.04" u="1"/>
        <s v="HP 400 CLR-72mm x 914m-4 rls/cs-H/A 9197.98" u="1"/>
        <s v="HP 500 CLR-72mm x 50m-24 rls/cs-H/A 56756.7" u="1"/>
        <s v="PC 618 SIL-4in x 60yd-12 rls/cs-H 2019.01" u="1"/>
        <s v="HP 132 CLR-72mm x 100m-24 rls/cs-H 5362.17" u="1"/>
        <s v="HP 100 CLR-48mm x 1371m-6 rls/cs- S 10401.18" u="1"/>
        <s v="HP 100 CLR-48mm x 914m-6 rls/cs-S 18613.57" u="1"/>
        <s v="HP 500 CLR-72mm x 914m-4 rls/cs-S 202438.05" u="1"/>
        <s v="FP 097 KFT-24mm x 55m-36 rls/cs-H 279.77" u="1"/>
        <s v="AP 180 CLR-72mm x 100m-24 rls/cs-H/A 14911.77" u="1"/>
        <s v="FP 097 KFT-72mm x 55m-16 rls/cs-H/A 1109.12" u="1"/>
        <s v="HP 100 CLR-72mm x 1500m-4 rls/cs-H/T 8063.2" u="1"/>
        <s v="GS 490 CLR-48mm x 55m-24 rls/cs-H/A 12493.96" u="1"/>
        <s v="CP 101 NAT-24mm x 55m-36 rls/cs-H/T 453.34" u="1"/>
        <s v="HP 100 CLR-72mm x 1500m-4 rls/cs-H/T 7632.66" u="1"/>
        <s v="SD 934  PISTOL GRIP TAPE DISPNSR PREM.-S 36.51" u="1"/>
        <s v="HP 100 CLR-48mm x 100m-36 rls/cs-S 2117.03" u="1"/>
        <s v="HM 018 CLR-72mm x 100m-24 rls/cs-H/A 1910.3" u="1"/>
        <s v="HP 500 CLR-72mm x 50m-24 rls/cs-H/A 11404.8" u="1"/>
        <s v="VP 410 YEL- 50MM X 33M- 24 RLS/CS-S 163.23" u="1"/>
        <s v="HM 018 CLR-72mm x 100m-24 rls/cs-H/A 7356.1" u="1"/>
        <s v="P- 628 BLK-48mm x 50m-24 RLS/CS-S 281.79" u="1"/>
        <s v="PC 609 SIL-48mm x 55m-24 rls/cs-H/A 13567.45" u="1"/>
        <s v="HP 400 CLR-72mm x 914m-4 rls/cs-H/A 4379.44" u="1"/>
        <s v="CP 106 NAT-18mm x 55m-48 rls/cs-S 1347.19" u="1"/>
        <s v="AP 180 CLR-72mm x 100m-24 rls/cs-H/A 1850" u="1"/>
        <s v="HP 200 CLR-48mm x 1371m-6 rls/cs-S 9680.55" u="1"/>
        <s v="HP 200 CLR-48mm x 914m-6 rls/cs-S 60103.3" u="1"/>
        <s v="HP 200 WHI-72mm x 914m-4 rls/cs-H 15724" u="1"/>
        <s v="FE 53 Folded-Edge Tape Dispenser 142.56" u="1"/>
        <s v="HP 200 CLR-48mm x 100m-36 rls/cs-S 23007.05" u="1"/>
        <s v="HP 100 CLR-48mm x 914m-6 rls/cs-S 2692" u="1"/>
        <s v="HP 200 CLR-48mm x 1371m-6 rls/cs-S 5643" u="1"/>
        <s v="HP 100 CLR-53mm x 1500m-6 rls/cs-S 22235" u="1"/>
        <s v="HP 235 CLR-48mm x 914m-6 rls/cs-H 2522.12" u="1"/>
        <s v="HP 200 ORG-48mm x 914m-6 rls/cs-H 508.23" u="1"/>
        <s v="AP 201 CLR-72mm x 100m-24 rls/cs-H/A 2124.14" u="1"/>
        <s v="HP 200 CLR-48mm x 1828m-6 rls/cs-S 36273.05" u="1"/>
        <s v="HP 100 CLR-48mm x 914m-6 rls/cs-S 8947.07" u="1"/>
        <s v="HP 100 CLR-53mm x 1500m-6 rls/cs-S 10480.29" u="1"/>
        <s v="HP 200 BLU-72mm x 914m-4 rls/cs-NS 30034.23" u="1"/>
        <s v="CP 106 NAT-48mm x 55m-24 rls/cs-S 325.04" u="1"/>
        <s v="HP 100 CLR-72mm x 914m-4 rls/cs-S 2509.06" u="1"/>
        <s v="HP 300 CLR-72mm x 100m-24 RLS/CS-H 1007.42" u="1"/>
        <s v="VP 410 BLK-50mm *DO NOT USE* 456.9" u="1"/>
        <s v="SD 934, PISTOL GRIP TAPE DISPNSR PREM.-S 16.12" u="1"/>
        <s v="GS 521 CLR-18mm x 55m-48 rls/cs-H 250.91" u="1"/>
        <s v="HP 200 CLR-48mm x 914m-6 rls/cs-S 2868" u="1"/>
        <s v="HP 200 CLR-48mm x 914m-6 rls/cs-S 62760.11" u="1"/>
        <s v="HP 100 CLR-53mm x 1500m-6 rls/cs-S 8212.4" u="1"/>
        <s v="HP 200 CLR-48mm x 100m-36 rls/cs-S 4457.84" u="1"/>
        <s v="CP 105 NAT-18mm x 55m-48 rls/cs-S 30.41" u="1"/>
        <s v="HP 100 CLR-48mm x 100m-36 rls/cs-S 6277.28" u="1"/>
        <s v="HP 100 CLR-72mm x 100m-24 rls/cs-S 48926.61" u="1"/>
        <s v="HM 016 CLR-72mm x 100m-24 rls/cs-H/A 11076.91" u="1"/>
        <s v="CP 106 NAT-48mm x 55m-24 rls/cs-S 35.64" u="1"/>
        <s v="DT 200 GLA-12mm x 50m-72 rls/cs-H 107" u="1"/>
        <s v="HP 232 CLR-72mm x 914m-4 rls/cs-H/A 7409.55" u="1"/>
        <s v="DT 200 GLA-48mm x 50m-24 rls/cs-H 23277.68" u="1"/>
        <s v="HP 100 CLR-48mm x 100m-36 rls/cs-S 1261.99" u="1"/>
        <s v="WP 100 WHI-70mm x 138m(450ft)-10rls/cs-H 9640.1" u="1"/>
        <s v="HP 100 CLR-48mm x 100m-36 rls/cs-S 7452.35" u="1"/>
        <s v="HP 500 CLR-72mm x 50m-24 rls/cs-H/A 71028.14" u="1"/>
        <s v="CP 106 NAT-48mm x 55m-24 rls/cs-S 401.07" u="1"/>
        <s v="HP 200 BLU-72mm x 914m-4 rls/cs-H " u="1"/>
        <s v="HP 235 CLR-48mm x 100m-36 rls/cs-H 253.76" u="1"/>
        <s v="HP 100 CLR-48mm x 1371m-6 rls/cs- S 3614.2" u="1"/>
        <s v="AP 201 CLR-48mm x 100m-36 rls/cs-H/A 33187.98" u="1"/>
        <s v="HP 200 CLR-48mm x 914m-6 rls/cs-S 8312.2" u="1"/>
        <s v="HP 100 CLR-48mm x 914m-6 rls/cs-S 8331.21" u="1"/>
        <s v="AP 180 TAN-48mm x 100m-36 rls/cs-H 1909.59" u="1"/>
        <s v="GS 490 CLR-48mm x 55m-24 rls/cs-H/A 517.5" u="1"/>
        <s v="HP 200 CLR-72mm x 914m-4 rls/cs-S 30222.7" u="1"/>
        <s v="HP 100 CLR-53mm x 1500m-6 rls/cs-S 6289.75" u="1"/>
        <s v="AP 201 CLR-72mm x 100m-24 rls/cs-H/A 374.22" u="1"/>
        <s v="CP 631 BLK-18mm x 55m-48 rls/cs-H 394.42" u="1"/>
        <s v="HP 235 CLR-72mm x 100m-24 rls/cs-H 1723.78" u="1"/>
        <s v="HP 200 CLR-53mm x 1371m-6 rls/cs-H 85346.16" u="1"/>
        <s v="CP 105 NAT-48mm x 55m-24 rls/cs-S 515.59" u="1"/>
        <s v="HP 200 CLR-72mm x 914m-4 rls/cs-S 1129.07" u="1"/>
        <s v="HP 200 CLR-48mm x 100m-36 rls/cs-S 6067.38" u="1"/>
        <s v="HP 100 CLR-72mm x 100m-24 rls/cs-S 3977.42" u="1"/>
        <s v="CP 106 NAT-12mm x 55m-72 rls/cs-H/A 1452.67" u="1"/>
        <s v="HP 200 CLR-48mm x 914m-6 rls/cs-S 7120.16" u="1"/>
        <s v="CP 107 NAT-48mm x 55m-24 rls/cs-H/A 3521.24" u="1"/>
        <s v="CP 631 GRN-24mm x 55m-36 rls/cs-H 653" u="1"/>
        <s v="GS 490 WHI-12mm x 55m-72 rls/cs-H/A 520" u="1"/>
        <s v="HP 232 CLR-48mm x 914m-6 rls/cs-H/A 1086.42" u="1"/>
        <s v="HP 500 TAN-48mm x 50m-36 rls/cs-H 183.9" u="1"/>
        <s v="TG 356 NAT-12mm x 33m-72 rls/cs-S 238.08" u="1"/>
        <s v="HP 200 CLR-48mm x 1371m-6 rls/cs-S 9220.79" u="1"/>
        <s v="CP 106 NAT-72mm x 55m-16 rls/cs-S 1782" u="1"/>
        <s v="HP 300 CLR-48mm x 914m-6 rls/cs-H 644.79" u="1"/>
        <s v="HP 200 BLU-48mm x 914m-6 rls/cs-H 5086.54" u="1"/>
        <s v="HP 200 CLR-48mm x 100m-36 rls/cs-S 16422.9" u="1"/>
        <s v="CP 225 GLD-18mm x 55m-64 rls/cs-H/T " u="1"/>
        <s v="HP 100 CLR-53mm x 1500m-6 rls/cs-S 62358.59" u="1"/>
        <s v="AP 180 CLR-72mm x 1371m-4 rls/cs-H 3025.13" u="1"/>
        <s v="HP 200 TAN-72mm x 914m-4 rls/cs-H 9602.84" u="1"/>
        <s v="AP 201 CLR-48mm x 914m-6 rls/cs-H/A 2507.27" u="1"/>
        <s v="HP 300 CLR-48mm x 100m-36 rls/cs-H/A 3932.89" u="1"/>
        <s v="HP 500 CLR-72mm x 50m-24 rls/cs-H/A 30436.56" u="1"/>
        <s v="HP 200 BLU-48mm x 914m-6 rls/cs-H 0" u="1"/>
        <s v="WP 150 WB NXG 70mmx138m(450FT)-10rl/cs " u="1"/>
        <s v="HP 200 TAN-72mm x 914m-4 rls/cs-H 9602.85" u="1"/>
        <s v="HP 200 CLR-72mm x 914m-4 rls/cs-S 2509.06" u="1"/>
        <s v="HP 100 CLR-48mm x 914m-6 rls/cs-S 21027.59" u="1"/>
        <s v="HP 100 CLR-53mm x 1500m-6 rls/cs-S 28034.44" u="1"/>
        <s v="HP 232 CLR-48mm x 914m-6 rls/cs-H/A 8530.79" u="1"/>
        <s v="HP 100 CLR-48mm x 914m-6 rls/cs-S 9981.11" u="1"/>
        <s v="HP 500 CLR-48mm x 914m-6 rls/cs-H 19799.45" u="1"/>
        <s v="HP 800 CLR-48mm x 50m-36 rls/cs-H 1543.21" u="1"/>
        <s v="HP 100 CLR-53mm x 1500m-6 rls/cs-S 1983.96" u="1"/>
        <s v="HP 200 CLR-48mm x 1828m-6 rls/cs-S 32614.38" u="1"/>
        <s v="HP 200 CLR-48mm x 100m-36 rls/cs-S 5485" u="1"/>
        <s v="HP 200 CLR-72mm x 1371m-4 rls/cs-S 3096.4" u="1"/>
        <s v="CP 66L NAT-4in x 240yd-3 rls/cs-H 37483.35" u="1"/>
        <s v="HP 100 CLR-48mm x 100m-36 rls/cs-S 11205.22" u="1"/>
        <s v="FP 097 KFT-48mm x 55m-24 rls/cs-H/A 24394.87" u="1"/>
        <s v="SD 934, PISTOL GRIP TAPE DISPNSR PREM.-S 80.59" u="1"/>
        <s v="HP 100 CLR-48mm x 100m-36 rls/cs-S 1881.79" u="1"/>
        <s v="HP 100 CLR-48mm x 100m-36 rls/cs-S 7912.08" u="1"/>
        <s v="GS 521 CLR-36mm *DO NOT USE* " u="1"/>
        <s v="CP 106 NAT-48mm x 55m-24 rls/cs-S 7455.42" u="1"/>
        <s v="HP 500 CLR-72mm x 914m-4 rls/cs-S 93291.26" u="1"/>
        <s v="HP 200 TAN-48mm x 914m-6 rls/cs-H 3199" u="1"/>
        <s v="HP 200 CLR-48mm x 1371m-6 rls/cs-S 15482.02" u="1"/>
        <s v="AP 201 CLR-72mm x 914m-4 rls/cs-H 2711.8" u="1"/>
        <s v="CP 083 NAT-18mm x 55m-48 rls/cs-S " u="1"/>
        <s v="CP 105 NAT-24mm x 55m- 36 rls/cs-S 544.92" u="1"/>
        <s v="DF 545 BLU-48mm x 33m-24 rls/cs-H 1374.27" u="1"/>
        <s v="HP 200 CLR-72mm x 914m-4 rls/cs-S 3541.19" u="1"/>
        <s v="HP 200 CLR-72mm x 914m-4 rls/cs-S 10500.02" u="1"/>
        <s v="HP 200 BLU-72mm x 914m-4 rls/cs-NS 5827.54" u="1"/>
        <s v="HP 400 CLR-48mm x 50m-36 rls/cs-H 639.74" u="1"/>
        <s v="HP 100 CLR-72mm x 1500m-4 rls/cs-H/T 29641.09" u="1"/>
        <s v="FE-3 Folded-Edge Tape Dispenser - H 133.07" u="1"/>
        <s v="AP 180 CLR-48mm x 100m-36 rls/cs-H/A 114.05" u="1"/>
        <s v="WP 300 NAT-76mmx138m(450ft)-10rls/cs-H/A 2033.46" u="1"/>
        <s v="HM 018 CLR-72mm x 100m-24 rls/cs-H/A 191.03" u="1"/>
        <s v="HP 200 RED-48mm x 100m-36 rls/cs-H 159.67" u="1"/>
        <s v="SD 934  PISTOL GRIP TAPE DISPNSR PREM.-S 36.52" u="1"/>
        <s v="HP 400 CLR-72mm x 50m-24 rls/cs-H 1992.97" u="1"/>
        <s v="AP 101 CLR-72mm x 100m-24 rls/cs-H/A 1596.67" u="1"/>
        <s v="HP 200 CLR-48mm x 1371m-6 rls/cs-S 4835.16" u="1"/>
        <s v="SD 934  PISTOL GRIP TAPE DISPNSR PREM.-S 180.25" u="1"/>
        <s v="HP 200 CLR-72mm x 1371m-4 rls/cs-S 5693.84" u="1"/>
        <s v="HP 200 ORG-48mm x 914m-6 rls/cs-H 16870.54" u="1"/>
        <s v="GS 490 CLR-48mm x 55m-24 rls/cs-H/A 80.55" u="1"/>
        <s v="HM 014 CLR-72mm x 100m-24 rls/cs-S 3376.27" u="1"/>
        <s v="HP 100 CLR-48mm x 914m-6 rls/cs-S 23950.1" u="1"/>
        <s v="HP 200 CLR-48mm x 914m-6 rls/cs-S 9380.46" u="1"/>
        <s v="HP 200 TAN-48mm x 914m-6 rls/cs-H 799.76" u="1"/>
        <s v="HP 100 CLR-72mm x 914m-4 rls/cs-S 2395.01" u="1"/>
        <s v="FP 097 KFT-48mm x 55m-24 rls/cs-H/A 130.68" u="1"/>
        <s v="HP 100 CLR-72mm x 914m-4 rls/cs-S 112.06" u="1"/>
        <s v="GS 490 WHI-24mm x 55m-36 rls/cs-H/A 195.31" u="1"/>
        <s v="AP 015 CLR-96mm x 66m-18 rls/cs-H 229.53" u="1"/>
        <s v="HP 200 CLR-48mm x 914m-6 rls/cs-S 1225" u="1"/>
        <s v="HP 100 CLR-48mm x 914m-6 rls/cs-S 480.61" u="1"/>
        <s v="CP 106 NAT-48mm x 55m-24 rls/cs-S 5238.12" u="1"/>
        <s v="HP 200 CLR-48mm x 914m-6 rls/cs-S 1255" u="1"/>
        <s v="SD 936  2&quot; PISTOL GRIP SILENT DISP-H/A/T " u="1"/>
        <s v="HP 400 CLR-72mm x 100m-24 rls/cs-H/A 7658" u="1"/>
        <s v="HP 500 CLR-72mm x 914m-4 rls/cs-S 442906.06" u="1"/>
        <s v="PC 460 SIL-48mm x 55m-24 *DO NOT USE* 133.06" u="1"/>
        <s v="SD 935  PISTOL GRIP DISPNSR-3 IN. ROLL-S 1180.4" u="1"/>
        <s v="HP 100 CLR-48mm x 914m-6 rls/cs-S 20442.71" u="1"/>
        <s v="HP 200 TAN-72mm x 914m-4 rls/cs-H 24076.59" u="1"/>
        <s v="AP 180 CLR-72mm x 100m-24 rls/cs-H/A 1425.6" u="1"/>
        <s v="CP 105 NAT-24mm x 55m- 36 rls/cs-S 511.8" u="1"/>
        <s v="HP 200 CLR-48mm x 1828m-6 rls/cs-S 5974.69" u="1"/>
        <s v="HP 100 CLR-48mm x 1371m-6 rls/cs- S 23116.11" u="1"/>
        <s v="CP 106 NAT-18mm x 55m-48 rls/cs-S 463.32" u="1"/>
        <s v="HP 100 CLR-48mm x 100m-36 rls/cs-S 6030.3" u="1"/>
        <s v="HP 200 CLR-48mm x 914m-6 rls/cs-S 1866.82" u="1"/>
        <s v="HM 018 CLR-72mm x 100m-24 rls/cs-H/A 19103.03" u="1"/>
        <s v="HP 200 CLR-48mm x 100m-36 rls/cs-S 1781.29" u="1"/>
        <s v="HM 016 CLR-72mm x 100m-24 rls/cs-H/A 4445.26" u="1"/>
        <s v="CP 450 NAT-36mm x 55m-24 rls/cs-H 4740.12" u="1"/>
        <s v="HP 300 CLR-72mm x 100m-24 RLS/CS-H 5177.78" u="1"/>
        <s v="GS 490 WHI-18mm x 55m-48 rls/cs-H/A 1930.75" u="1"/>
        <s v="5300 3IN STD RH 1122.01" u="1"/>
        <s v="AP 201 CLR-48mm x 100m-36 rls/cs-H/A 14305.9" u="1"/>
        <s v="HP 100 TAN-48mm x 100m-36 rls/cs-S 1187.88" u="1"/>
        <s v="AP 015 CLR-96mm x 66m-18 rls/cs-H 184.62" u="1"/>
        <s v="CP 083 NAT-24mm x 55m-36 rls/cs-S 256.61" u="1"/>
        <s v="FE-3 Folded-Edge Tape Dispenser - H 19.8" u="1"/>
        <s v="HP 200 CLR-72mm x 100m-24 rls/cs-S 13856.82" u="1"/>
        <s v="HP 200 CLR-48mm x 100m-36 rls/cs-S 5852.82" u="1"/>
        <s v="HP 100 CLR-48mm x 1371m-6 rls/cs- S 6556.34" u="1"/>
        <s v="GS 490 WHI-18mm x 55m-48 rls/cs-H/A 3878" u="1"/>
        <s v="HP 500 CLR-72mm x 50m-24 rls/cs-H/A 149650.95" u="1"/>
        <s v="DP 050 CLR-48mm x 50m-24 rls/cs-H 9247.42" u="1"/>
        <s v="FE-2 Folded-Edge Tape Dispenser - H 20.79" u="1"/>
        <s v="HP 300 CLR-48mm x 914m-6 rls/cs-H 2456.91" u="1"/>
        <s v="HP 100 CLR-72mm x 914m-4 rls/cs-S 3735.07" u="1"/>
        <s v="HP 200 CLR-72mm x 914m-4 rls/cs-S 3193.34" u="1"/>
        <s v="CP 631 RED-18mm x 55m-48 rls/cs-H 416.28" u="1"/>
        <s v="HP 200 CLR-72mm x 914m-4 rls/cs-S 71952.88" u="1"/>
        <s v="HP 500 TAN-72mm x 50m-24 rls/cs-H/A 213.84" u="1"/>
        <s v="HP 300 CLR-48mm x 100m-36 rls/cs-H/A 4601.84" u="1"/>
        <s v="HP 100 TAN-72mm x 914m-4 rls/cs-H 528.91" u="1"/>
        <s v="CP 106 NAT-24mm x 55m-36 rls/cs-S 1034.98" u="1"/>
        <s v="HM 016 CLR-72mm x 100m-24 rls/cs-H/A 148.5" u="1"/>
        <s v="PC 609 SIL-48mm x 55m-24 rls/cs-H/A 10104.19" u="1"/>
        <s v="AP 015 CLR-96mm x 66m-18 rls/cs-H 131.16" u="1"/>
        <s v="CP 105 NAT-72mm x 55m-16 rls/cs-H 447.16" u="1"/>
        <s v="HP 235 CLR-72mm x 1371m-4 rls/cs-H 233670.1" u="1"/>
        <s v="HP 235 CLR-72mm x 1371m-4 rls/cs-H 280278.56" u="1"/>
        <s v="HP 100 CLR-48mm x 100m-36 rls/cs-S 10235.8" u="1"/>
        <s v="HP 500 CLR-72mm x 50m-24 rls/cs-H/A 24121.16" u="1"/>
        <s v="CP 101 NAT-48mm x 55m-24 rls/cs-S 137.57" u="1"/>
        <s v="CP 450 NAT-72mm x 55m-16 rls/cs-NS 679.69" u="1"/>
        <s v="HP 200 CLR-48mm x 100m-36 rls/cs-S 9772.49" u="1"/>
        <s v="HP 200 CLR-72mm x 914m-4 rls/cs-S 10720.52" u="1"/>
        <s v="AP 401 CLR-48mm x 100m-36 rls/cs-H/A 137.57" u="1"/>
        <s v="HP 100 CLR-53mm x 1500m-6 rls/cs-S 7364.64" u="1"/>
        <s v="FP 115 BRN-72mm x 55m-16 rls/cs-H 887.99" u="1"/>
        <s v="SD 936, 2&quot; PISTOL GRIP SILENT DISP-H/A/T " u="1"/>
        <s v="DF 065 NAT-18mm x 33m-48 rls/cs-H/A 2253.88" u="1"/>
        <s v="HP 100 CLR-72mm x 100m-24 rls/cs-S 3877.64" u="1"/>
        <s v="GS 490 WHI-48mm x 55m-24 rls/cs-H/A 809.73" u="1"/>
        <s v="CP 106 NAT-12mm x 55m-72 rls/cs-H/A 2067.12" u="1"/>
        <s v="AP 180 CLR-48mm x 100m-36 rls/cs-H/A 5381.64" u="1"/>
        <s v="HP 100 CLR-72mm x 100m-24 rls/cs-S 10800.34" u="1"/>
        <s v="HP 200 TAN-72mm x 914m-4 rls/cs-H 6688.28" u="1"/>
        <s v="HM 018 CLR-48mm x 100m-36 rls/cs-S 384.91" u="1"/>
        <s v="HP 100 CLR-53mm x 1500m-6 rls/cs-S 12116.18" u="1"/>
        <s v="GS 501 WHI-24mm x 55m-36 rls/cs-H/A 2834.8" u="1"/>
        <s v="CP 105 NAT-48mm x 55m-24 rls/cs-S 810.22" u="1"/>
        <s v="HP 300 CLR-48mm x 914m-6 rls/cs-H 1090.88" u="1"/>
        <s v="AP 201 CLR-48mm x 1371m-6 rls/cs-H 3487.97" u="1"/>
        <s v="AP 101 CLR-48mm x 100m-36 rls/cs-S 3489.86" u="1"/>
        <s v="CP 106 NAT-12mm x 55m-72 rls/cs-H/A 1751.37" u="1"/>
        <s v="HP 100 CLR-72mm x 100m-24 rls/cs-S 14270.26" u="1"/>
        <s v="HP 200 CLR-72mm x 100m-24 rls/cs-S 36951.57" u="1"/>
        <s v="HP 100 CLR-53mm x 1500m-6 rls/cs-S 42293.51" u="1"/>
        <s v="FP 097 KFT-72mm x 55m-16 rls/cs-H/A 3278.89" u="1"/>
        <s v="CP 106 NAT-24mm x 55m-36 rls/cs-S 1285.88" u="1"/>
        <s v="FP 096 KFT-72mm x 55m-16 rls/cs-H 3772.13" u="1"/>
        <s v="FP 115 BRN-48mm x 55m-24 rls/cs-H 4690.2" u="1"/>
        <s v="HP 200 CLR-72mm x 1371m-4 rls/cs-S 18314.32" u="1"/>
        <s v="GS 490 WHI-48mm x 55m-24 rls/cs-H/A 319.33" u="1"/>
        <s v="HP 500 CLR-72mm x 914m-4 rls/cs-S 221173.28" u="1"/>
        <s v="FP 097 KFT-72mm x 55m-16 rls/cs-H/A 3438.4" u="1"/>
        <s v="HP 200 CLR-72mm x 100m-24 rls/cs-S 81.73" u="1"/>
        <s v="HP 300 CLR-48mm x 914m-6 rls/cs-H 1088.98" u="1"/>
        <s v="CP 105 NAT-72mm x 55m-16 rls/cs-H 1992.83" u="1"/>
        <s v="HP 200 CLR-72mm x 914m-4 rls/cs-S 2306.01" u="1"/>
        <s v="HP 200 CLR-72mm x 914m-4 rls/cs-S 6582.71" u="1"/>
        <s v="HP 200 CLR-48mm x 914m-6 rls/cs-S 670.03" u="1"/>
        <s v="GS 501 WHI-24mm x 55m-36 rls/cs-H/A 1561" u="1"/>
        <s v="HP 100 CLR-48mm x 100m-36 rls/cs-S 22838.09" u="1"/>
        <s v="HM 018 CLR-72mm x 100m-24 rls/cs-H/A 8596.38" u="1"/>
        <s v="WP 100 NAT-70mmx138m(450ft)-10rls/cs-H/A 193" u="1"/>
        <s v="GS 490 WHI-48mm x 55m-24 rls/cs-H/A 539.82" u="1"/>
        <s v="HP 235 CLR-48mm x 100m-36 rls/cs-H 441.58" u="1"/>
        <s v="HP 100 CLR-48mm x 100m-36 rls/cs-S 10777.54" u="1"/>
        <s v="HP 200 CLR-72mm x 914m-4 rls/cs-H/A 4020.2" u="1"/>
        <s v="FP 097 KFT-72mm x 55m-16 rls/cs-H/A 2328.01" u="1"/>
        <s v="CP 106 NAT-72mm x 55m-16 rls/cs-S 19856.4" u="1"/>
        <s v="CP 105 NAT-48mm x 55m-24 rls/cs-S 268.01" u="1"/>
        <s v="HP 200 WHI-72mm x 100m-24 rls/cs-NS 7311.9" u="1"/>
        <s v="HP 500 CLR-72mm x 914m-4 rls/cs-S 191013.29" u="1"/>
        <s v="HP 100 CLR-48mm x 1828m-6 rls/cs-S 49576.68" u="1"/>
        <s v="HP 200 CLR-48mm x 914m-6 rls/cs-S 765.54" u="1"/>
        <s v="FE 53 Folded-Edge Tape Dispenser 24.75" u="1"/>
        <s v="HP 100 CLR-53mm x 1500m-6 rls/cs-S 10950.75" u="1"/>
        <s v="GS 490 CLR-24mm x 55m-36 rls/cs-H/A 230.95" u="1"/>
        <s v="HP 200 CLR-48mm x 1371m-6 rls/cs-S 2935.14" u="1"/>
        <s v="CP 106 NAT-36mm x 55m-24 rls/cs-S 100.5" u="1"/>
        <s v="HP 200 CLR-48mm x 200m-36 rls/cs-H 1725" u="1"/>
        <s v="CP 106 NAT-18mm x 55m-48 rls/cs-S 149.69" u="1"/>
        <s v="HP 100 CLR-53mm x 1500m-6 rls/cs-S 23364.18" u="1"/>
        <s v="HP 200 CLR-48mm x 914m-6 rls/cs-S 1881.79" u="1"/>
        <s v="HP 200 BLU-48mm x 914m-6 rls/cs-H 119" u="1"/>
        <s v="HP 200 CLR-48mm x 914m-6 rls/cs-S 2450" u="1"/>
        <s v="HP 200 CLR-72mm x 914m-4 rls/cs-S 7349" u="1"/>
        <s v="HP 100 CLR-53mm x 1500m-6 rls/cs-S 7364.65" u="1"/>
        <s v="HP 235 CLR-72mm x 914m-4 rls/cs-H 12748.04" u="1"/>
        <s v="HP 200 CLR-72mm x 914m-4 rls/cs-S 3136.31" u="1"/>
        <s v="GS 490 WHI-18mm x 55m-48 rls/cs-H/A 1074.89" u="1"/>
        <s v="HP 200 CLR-72mm x 100m-24 rls/cs-S 3357.75" u="1"/>
        <s v="HP 200 CLR-72mm x 914m-4 rls/cs-S 3136.32" u="1"/>
        <s v="AP 201 CLR-72mm x 100m-24 rls/cs-H/A 672.87" u="1"/>
        <s v="GS 501 CLR-48mm x 55m-24 rls/cs-H/A " u="1"/>
        <s v="GS 490 WHI-48mm x 55m-24 rls/cs-H/A 269.91" u="1"/>
        <s v="SD 937 CUTTING BLD for TAPE P605B 18.78" u="1"/>
        <s v="HP 200 CLR-48mm x 914m-6 rls/cs-S 800.59" u="1"/>
        <s v="CP 066 NAT-24mm x 55m-36 rls/cs-X 3122.06" u="1"/>
        <s v="AP 201 CLR-48mm x 100m-36 rls/cs-H/A 15866.94" u="1"/>
        <s v="CP 105 NAT-12mm x 55m-72 rls/cs-H 508.95" u="1"/>
        <s v="HP 200 CLR-72mm x 100m-24 rls/cs-S 13258.08" u="1"/>
        <s v="CP 106 NAT-36mm x 55m-24 rls/cs-S 63.68" u="1"/>
        <s v="HP 100 CLR-53mm x 1500m-6 rls/cs-S 36149.17" u="1"/>
        <s v="FE 53 Folded-Edge Tape Dispenser 44.55" u="1"/>
        <s v="HP 200 BLU-48mm x 914m-6 rls/cs-H 740.96" u="1"/>
        <s v="HP 200 CLR-48mm x 914m-6 rls/cs-S 27228.96" u="1"/>
        <s v="CP 106 NAT-48mm x 55m-24 rls/cs-S 93.61" u="1"/>
        <s v="HP 200 CLR-72mm x 914m-4 rls/cs-H/A 1898.43" u="1"/>
        <s v="HP 100 CLR-72mm x 914m-4 rls/cs-S 4740.12" u="1"/>
        <s v="AP 180 CLR-48mm x 1371m-6 rls/cs-H 3335.9" u="1"/>
        <s v="FP 096 KFT-72mm x 55m-16 rls/cs-H 2335.13" u="1"/>
        <s v="HP 200 CLR-48mm x 100m-36 rls/cs-S 4697.36" u="1"/>
        <s v="CP 106 NAT-48mm x 55m-24 rls/cs-S 829.7" u="1"/>
        <s v="HP 100 CLR-48mm x 914m-6 rls/cs-S 11028.44" u="1"/>
        <s v="HP 500 CLR-72mm x 50m-24 rls/cs-H/A 8040.38" u="1"/>
        <s v="HP 400 TAN-48mm x 914m-6 rls/cs-NS " u="1"/>
        <s v="HP 200 CLR-72mm x 914m-4 rls/cs-S 4516.32" u="1"/>
        <s v="AP 201 CLR-72mm x 1371m-4 rls/cs-H 1220.31" u="1"/>
        <s v="HP 100 CLR-53mm x 1500m-6 rls/cs-S 17631.11" u="1"/>
        <s v="CP 631 RED-24mm x 55m-36 rls/cs-H 141.13" u="1"/>
        <s v="CP 105 NAT-18mm x 55m-48 rls/cs-S 3147.72" u="1"/>
        <s v="HP 200 CLR-48mm x 100m-36 rls/cs-S 7092.36" u="1"/>
        <s v="HP 100 CLR-48mm x 100m-36 rls/cs-S 14819.12" u="1"/>
        <s v="HP 100 CLR-48mm x 100m-36 rls/cs-S 15474.89" u="1"/>
        <s v="HP 100 CLR-48mm x 100m-36 rls/cs-S 1415" u="1"/>
        <s v="HP 100 CLR-48mm x 914m-6 rls/cs-S 16753.66" u="1"/>
        <s v="HP 200 RED-48mm x 914m-6 rls/cs-H 140.18" u="1"/>
        <s v="5200 2IN STD RH " u="1"/>
        <s v="VP 410 GRN-75mm x 33m-18 rls/cs-H " u="1"/>
        <s v="HP 240 CR STOP-48mm x 914m-6 rls/cs-H -1272.35" u="1"/>
        <s v="FP 097 KFT-48mm x 55m-24 rls/cs-H/A 480.68" u="1"/>
        <s v="AP 180 CLR-48mm x 1371m-6 rls/cs-H 20449.93" u="1"/>
        <s v="CP 450 NAT-36mm x 55m-24 rls/cs-H 140.66" u="1"/>
        <s v="HP 200 CLR-48mm x 914m-6 rls/cs-S 1493.91" u="1"/>
        <s v="SD 937, Bag Sealer MetalDisp-9MM Rol-H/A 199.77" u="1"/>
        <s v="HM 016 CLR-48mm x 100m-36 rls/cs-S 1775" u="1"/>
        <s v="AP 180 CLR-72mm x 1371m-4 rls/cs-H 111199.67" u="1"/>
        <s v="HP 235 CLR-72mm x 100m-24 rls/cs-H 4239.97" u="1"/>
        <s v="HP 400 CLR-48mm x 914m-6 rls/cs-H/A 3639.32" u="1"/>
        <s v="HP 100 CLR-48mm x 914m-6 rls/cs-S 3813" u="1"/>
        <s v="HP 200 BLU-48mm x 914m-6 rls/cs-H 381.17" u="1"/>
        <s v="AP 201 CLR-48mm x 100m-36 rls/cs-H/A 26751" u="1"/>
        <s v="HP 100 CLR-48mm x 100m-36 rls/cs-S 4367.69" u="1"/>
        <s v="HP 200 CLR-72mm x 914m-4 rls/cs-S 3350.15" u="1"/>
        <s v="HP 200 CLR-72mm x 914m-4 rls/cs-H/A 7984.53" u="1"/>
        <s v="HP 500 TAN-48mm x 50m-36 rls/cs-H 367.8" u="1"/>
        <s v="FP 097 KFT-48mm x 50m-24 rls/cs-H 12305.76" u="1"/>
        <s v="GS 501 WHI-24mm x 55m-36 rls/cs-H/A 4428.27" u="1"/>
        <s v="GS 490 CLR-12mm x 55m-72 rls/cs-H/A 306.5" u="1"/>
        <s v="AP 101 CLR-48mm x 100m-36 rls/cs-S 1049.96" u="1"/>
        <s v="CP 66L NAT-4in x 240yd-3 rls/cs-H 97990.08" u="1"/>
        <s v="FP 097 KFT-72mm x 55m-16 rls/cs-H/A 11389.6" u="1"/>
        <s v="GS 490 WHI-48mm x 55m-24 rls/cs-H/A 269.92" u="1"/>
        <s v="HP 500 TAN-72mm x 914m-4 rls/cs-H/A 9614" u="1"/>
        <s v="HP 200 CLR-72mm x 914m-4 rls/cs-S 7994.76" u="1"/>
        <s v="AP 180 CLR-72mm x 100m-24 rls/cs-H/A 1796.26" u="1"/>
        <s v="AP 201 CLR-48mm x 100m-36 rls/cs-H/A 8553.6" u="1"/>
        <s v="HP 100 CLR-48mm x 100m-36 rls/cs-S 1925" u="1"/>
        <s v="CP 106 NAT-36mm x 55m-24 rls/cs-S 977.95" u="1"/>
        <s v="HM 016 CLR-48mm x 100m-36 rls/cs-S 1212.83" u="1"/>
        <s v="SD 934, PISTOL GRIP TAPE DISPNSR PREM.-S 1027.49" u="1"/>
        <s v="HP 300 CLR-48mm x 914m-6 rls/cs-H 1624.59" u="1"/>
        <s v="HP 500 CLR-72mm x 50m-24 rls/cs-H/A 11761.2" u="1"/>
        <s v="HP 235 CLR-72mm x 100m-24 rls/cs-H 507.52" u="1"/>
        <s v="AP 101 CLR-48mm x 100m-36 rls/cs-S 3669.49" u="1"/>
        <s v="HP 200 CLR-48mm x 100m-36 rls/cs-S 3032.62" u="1"/>
        <s v="HP 200 CLR-53mm x 1371m-6 rls/cs-H 25288.24" u="1"/>
        <s v="HP 200 WHI-72mm x 100m-24 rls/cs-NS 22667.51" u="1"/>
        <s v="AP 180 CLR-48mm x 1371m-6 rls/cs-H 19725.11" u="1"/>
        <s v="HP 232 CLR-48mm x 914m-6 rls/cs-H/A 7886.42" u="1"/>
        <s v="HP 200 CLR-72mm x 100m-24 rls/cs-S 2002.51" u="1"/>
        <s v="GS 490 CLR-24mm x 55m-36 rls/cs-H/A 220.97" u="1"/>
        <s v="CP 106 NAT-24mm x 55m-36 rls/cs-S 737.04" u="1"/>
        <s v="HP 100 CLR-72mm x 100m-24 rls/cs-S 9408.95" u="1"/>
        <s v="HP 100 CLR-48mm x 100m-36 rls/cs-S 4020" u="1"/>
        <s v="HP 100 CLR-53mm x 1500m-6 rls/cs-S 24078.38" u="1"/>
        <s v="CP 105 NAT-12mm x 55m-72 rls/cs-H 176.77" u="1"/>
        <s v="HP 200 CLR-48mm x 914m-6 rls/cs-S 11028.44" u="1"/>
        <s v="GS 490 WHI-24mm x 55m-36 rls/cs-H/A 835.77" u="1"/>
        <s v="HP 100 CLR-48mm x 914m-6 rls/cs-S 29788.39" u="1"/>
        <s v="HP 100 CLR-53mm x 1500m-6 rls/cs-S 73328.58" u="1"/>
        <s v="HP 200 CLR-72mm x 100m-24 rls/cs-S 2335" u="1"/>
        <s v="HP 200 CLR-48mm x 1371m-6 rls/cs-S 7170.77" u="1"/>
        <s v="VP 410 WHI- 50mm X 33m- 24 rls/cs-H 205.76" u="1"/>
        <s v="HP 500 CLR-72mm x 914m-4 rls/cs-S 52809.92" u="1"/>
        <s v="HP 200 CLR-72mm x 100m-24 rls/cs-S 15879.27" u="1"/>
        <s v="SD 935  PISTOL GRIP DISPNSR-3 IN. ROLL-S 254.64" u="1"/>
        <s v="CP 631 GRN-18mm x 55m-48 rls/cs-H 473.31" u="1"/>
        <s v="HP 100 CLR-48mm x 100m-36 rls/cs-S 5292.54" u="1"/>
        <s v="HP 400 CLR-72mm x 914m-4 rls/cs-H/A 3850.54" u="1"/>
        <s v="SD 937 TRIM SET for BG SLR P605TS 17" u="1"/>
        <s v="DT 200 GLA-48mm x 50m-24 rls/cs-H 11518.84" u="1"/>
        <s v="HP 200 CLR-48mm x 1371m-6 rls/cs-S 3763.6" u="1"/>
        <s v="HP 100 CLR-53mm x 1500m-6 rls/cs-S 20567.13" u="1"/>
        <s v="DT 200 GLA-48mm x 50m-24 rls/cs-H 11758.82" u="1"/>
        <s v="HP 200 BLU-48mm x 100m-36 rls/cs-H 156.1" u="1"/>
        <s v="CP 66L NAT-72mm x 55m-16 rls/cs-NS 1539.65" u="1"/>
        <s v="HP 500 CLR-72mm x 914m-4 rls/cs-S 176033.08" u="1"/>
        <s v="CP 105 NAT-24mm x 55m- 36 rls/cs-S 384.92" u="1"/>
        <s v="CP 631 RED-18mm x 55m-48 rls/cs-H 1231.72" u="1"/>
        <s v="HP 100 CLR-48mm x 100m-36 rls/cs-S 4020.2" u="1"/>
        <s v="HP 200 CLR-72mm x 100m-24 rls/cs-S 3707.99" u="1"/>
        <s v="PE 444 RED- 48mm X 55m- 24 rls/cs-H/A 390.62" u="1"/>
        <s v="HP 200 CLR-48mm x 914m-6 rls/cs-S 9383.3" u="1"/>
        <s v="HP 235 CLR-72mm x 914m-4 rls/cs-H 12638.66" u="1"/>
        <s v="FP 097 KFT-72mm x 55m-16 rls/cs-H/A " u="1"/>
        <s v="HP 100 CLR-48mm x 914m-6 rls/cs-S 1457.92" u="1"/>
        <s v="HP 100 CLR-72mm x 100m-24 rls/cs-S 1657.24" u="1"/>
        <s v="HP 100 CLR-72mm x 100m-24 rls/cs-S 13300.84" u="1"/>
        <s v="HP 200 CLR-72mm x 914m-4 rls/cs-S 4388.47" u="1"/>
        <s v="HP 100 CLR-48mm x 1371m-6 rls/cs- S 117013.25" u="1"/>
        <s v="WP 150 BLU WISDOM 72mm x 138M - NS " u="1"/>
        <s v="HP 500 CLR-72mm x 50m-24 rls/cs-H/A 6842.88" u="1"/>
        <s v="GS 490 CLR-18mm x 55m-48 rls/cs-H/A 20243.52" u="1"/>
        <s v="HP 100 CLR-48mm x 1371m-6 rls/cs- S 3099.08" u="1"/>
        <s v="WP 100 NAT-72mmx138m(450ft)-10rls/cs-H/A 117.02" u="1"/>
        <s v="HP 200 YEL-48mm x 914m-6 rls/cs-H 800.49" u="1"/>
        <s v="AP 401 CLR-72mm x 100m-24 rls/cs-H 791.21" u="1"/>
        <s v="HP 200 CLR-72mm x 914m-4 rls/cs-H/A 12079.59" u="1"/>
        <s v="HP 100 CLR-48mm x 1371m-6 rls/cs- S 117013.27" u="1"/>
        <s v="HP 100 CLR-48mm x 914m-6 rls/cs-S 1620.73" u="1"/>
        <s v="HP 200 CLR-48mm x 914m-6 rls/cs-S 19319.74" u="1"/>
        <s v="HP 400 CLR-48mm x 914m-6 rls/cs-H/A 2957.76" u="1"/>
        <s v="HM 014 CLR-72mm x 100m-24 rls/cs-S 1596.66" u="1"/>
        <s v="HP 300 CLR-48mm x 100m-36 rls/cs-H/A 5407.31" u="1"/>
        <s v="VP 410 WHI- 50mm X 33m- 24 rls/cs-H 615.86" u="1"/>
        <s v="HP 200 CLR-48mm x 100m-36 rls/cs-S 2397.14" u="1"/>
        <s v="HP 200 CLR-48mm x 1371m-6 rls/cs-S 49846.12" u="1"/>
        <s v="CP 631 RED-24mm x 55m-36 rls/cs-H 466.18" u="1"/>
        <s v="AP 101 CLR-48mm x 100m-36 rls/cs-S 2004.75" u="1"/>
        <s v="CP 083 NAT-6mm x 55m-144 rls/cs-H " u="1"/>
        <s v="HP 200 CLR-48mm x 914m-6 rls/cs-S 26136" u="1"/>
        <s v="HP 200 CLR-48mm x 1828m-6 rls/cs-S 16555.86" u="1"/>
        <s v="HP 200 CLR-48mm x 1828m-6 rls/cs-S 1004.09" u="1"/>
        <s v="HP 200 CLR-48mm x 100m-36 rls/cs-S 1625" u="1"/>
        <s v="HP 232 CLR-48mm x 100m-36 rls/cs-H/A 1238.84" u="1"/>
        <s v="HP 100 CLR-48mm x 100m-36 rls/cs-S 2437.78" u="1"/>
        <s v="HP 200 CLR-48mm x 100m-36 rls/cs-S 2437.77" u="1"/>
        <s v="CP 105 NAT-72mm x 55m-16 rls/cs-H 273.72" u="1"/>
        <s v="CP 106 NAT-24mm x 55m-36 rls/cs-S 376.36" u="1"/>
        <s v="HP 100 CLR-72mm x 100m-24 rls/cs-S 2642.11" u="1"/>
        <s v="HP 200 BLU-72mm x 914m-4 rls/cs-H 57908.65" u="1"/>
        <s v="HP 200 WHI-48mm x 100m-36 rls/cs-H 1947.02" u="1"/>
        <s v="HM 016 CLR-48mm x 100m-36 rls/cs-S 532" u="1"/>
        <s v="HP 100 CLR-72mm x 100m-24 rls/cs-S 1967.34" u="1"/>
        <s v="HP 500 CLR-72mm x 914m-4 rls/cs-S 83962.14" u="1"/>
        <s v="HP 232 CLR-72mm x 914m-4 rls/cs-H/A 15313.08" u="1"/>
        <s v="HP 100 CLR-48mm x 914m-6 rls/cs-S 7185.02" u="1"/>
        <s v="HP 200 CLR-48mm x 914m-6 rls/cs-S 1686.85" u="1"/>
        <s v="AP 180 CLR-48mm x 1371m-6 rls/cs-H 2817.87" u="1"/>
        <s v="DF 065 NAT-18mm x 33m-48 rls/cs-H/A 409.62" u="1"/>
        <s v="HP 200 CLR-72mm x 100m-24 rls/cs-S 47315.67" u="1"/>
        <s v="HP 100 CLR-48mm x 914m-6 rls/cs-S 7185.03" u="1"/>
        <s v="VP 410 WHI- 50mm X 33m- 24 rls/cs-H 75.08" u="1"/>
        <s v="PC 590 SIL-48mm x 914cm-*DO NOT USE* 150.16" u="1"/>
        <s v="HP 100 CLR-48mm x 100m-36 rls/cs-S 24463.27" u="1"/>
        <s v="HP 200 CLR-48mm x 100m-36 rls/cs-S 1625.2" u="1"/>
        <s v="CT 109 NAT- 18MM X 66M- 96 RLS/CS-H " u="1"/>
        <s v="HP 200 CLR-72mm x 1371m-4 rls/cs-S 1453.53" u="1"/>
        <s v="HP 400 CLR-48mm x 100m-36 rls/cs-H/A 2159.79" u="1"/>
        <s v="DT 200 GLA-48mm x 50m-24 rls/cs-H 11518.85" u="1"/>
        <s v="HP 100 CLR-48mm x 914m-6 rls/cs-S 504.66" u="1"/>
        <s v="HP 235 CLR-72mm x 100m-24 rls/cs-H 979.39" u="1"/>
        <s v="HP 100 CLR-72mm x 1500m-4 rls/cs-H/T 31953.44" u="1"/>
        <s v="HM 018 CLR-48mm x 100m-36 rls/cs-H 581.64" u="1"/>
        <s v="HM 016 CLR-48mm x 100m-36 rls/cs-S 1582.41" u="1"/>
        <s v="CP 083 NAT-48mm x 55m-24 rls/cs-S 578.8" u="1"/>
        <s v="CP 450 NAT-24mm x 55m-36 rls/cs-H 889.58" u="1"/>
        <s v="HP 200 CLR-72mm x 1371m-4 rls/cs-S 49149" u="1"/>
        <s v="HP 100 CLR-48mm x 1371m-6 rls/cs- S 6640.04" u="1"/>
        <s v="CP 106 NAT-24mm x 55m-36 rls/cs-S 878.18" u="1"/>
        <s v="FP 097 KFT-72mm x 55m-16 rls/cs-H/A 531.12" u="1"/>
        <s v="CP 083 NAT-24mm x 55m-36 rls/cs-S 753.42" u="1"/>
        <s v="PC 600 SIL-72mm x 55m-16 rls/cs-H 79.99" u="1"/>
        <s v="WP 150 RED SIMP-72mmx138m(450FT)-10rl/cs 13495.68" u="1"/>
        <s v="HP 500 CLR-72mm x 50m-24 rls/cs-H/A 13995.83" u="1"/>
        <s v="HP 100 CLR-72mm x 100m-24 rls/cs-S 2032.92" u="1"/>
        <s v="HP 500 TAN-48mm x 50m-36 rls/cs-H 3270.33" u="1"/>
        <s v="HP 100 CLR-48mm x 100m-36 rls/cs-S 46982.06" u="1"/>
        <s v="SD 934  PISTOL GRIP TAPE DISPNSR PREM.-S 66.53" u="1"/>
        <s v="CP 105 NAT-24mm x 55m- 36 rls/cs-S 307.92" u="1"/>
        <s v="DP 380 GLA-48mm x 50m-24 rls/cs-H 9237.87" u="1"/>
        <s v="HP 100 CLR-48mm x 914m-6 rls/cs-S 11158.65" u="1"/>
        <s v="HP 100 CLR-53mm x 1500m-6 rls/cs-S 7444.49" u="1"/>
        <s v="HP 200 WHI-72mm x 914m-4 rls/cs-H 10346.42" u="1"/>
        <s v="AP 201 CLR-48mm x 914m-6 rls/cs-H/A 4151.34" u="1"/>
        <s v="HP 100 CLR-72mm x 100m-24 rls/cs-S 3277.68" u="1"/>
        <s v="SD 934  PISTOL GRIP TAPE DISPNSR PREM.-S 86.62" u="1"/>
        <s v="HP 200 CLR-48mm x 914m-6 rls/cs-S 1610.76" u="1"/>
        <s v="HM 014 CLR-72mm x 100m-24 rls/cs-S 1496.87" u="1"/>
        <s v="HP 200 WHI-72mm x 100m-24 rls/cs-NS " u="1"/>
        <s v="HP 200 CLR-48mm x 100m-36 rls/cs-S 2337.28" u="1"/>
        <s v="AP 101 CLR-48mm x 100m-36 rls/cs-S 3742.2" u="1"/>
        <s v="HP 200 CLR-72mm x 914m-4 rls/cs-S 250.9" u="1"/>
        <s v="AP 101 CLR-48mm x 100m-36 rls/cs-S 1389.96" u="1"/>
        <s v="HP 100 CLR-48mm x 1371m-6 rls/cs- S 22709.8" u="1"/>
        <s v="AP 201 CLR-48mm x 914m-6 rls/cs-H/A 2623.1" u="1"/>
        <s v="AP 180 CLR-72mm x 100m-24 rls/cs-H/A 14968.79" u="1"/>
        <s v="HP 500 CLR-72mm x 914m-4 rls/cs-S 518604.78" u="1"/>
        <s v="HP 200 CLR-72mm x 100m-24 rls/cs-S 14897.5" u="1"/>
        <s v="HP 200 CLR-72mm x 100m-24 rls/cs-S 4352.84" u="1"/>
        <s v="HP 200 WHI-48mm x 914m-6 rls/cs-H 1543.63" u="1"/>
        <s v="HP 100 CLR-48mm x 914m-6 rls/cs-S 13201" u="1"/>
        <s v="FP 097 KFT-72mm x 55m-16 rls/cs-H/A 421.03" u="1"/>
        <s v="HP 232 CLR-72mm x 914m-4 rls/cs-H/A 3951.77" u="1"/>
        <s v="HP 100 CLR-53mm x 1500m-6 rls/cs-S 41119.06" u="1"/>
        <s v="HP 232 CLR-48mm x 1371m-6 rls/cs-H/T 9323.41" u="1"/>
        <s v="HP 200 CLR-48mm x 100m-36 rls/cs-S 2437.78" u="1"/>
        <s v="SD 934  PISTOL GRIP TAPE DISPNSR PREM.-S 829.39" u="1"/>
        <s v="HP 200 CLR-48mm x 100m-36 rls/cs-S 940.9" u="1"/>
        <s v="CP 105 NAT-24mm x 55m- 36 rls/cs-S 183.9" u="1"/>
        <s v="HP 200 CLR-48mm x 914m-6 rls/cs-S 670.02" u="1"/>
        <s v="CP 105 NAT-24mm x 55m- 36 rls/cs-S 29.22" u="1"/>
        <s v="AP 101 CLR-48mm x 100m-36 rls/cs-S 422.34" u="1"/>
        <s v="HP 100 CLR-53mm x 1500m-6 rls/cs-S 15182.64" u="1"/>
        <s v="VP 415 BKY- 50MM X 33M- 24 RLS/CS-H/T 76.03" u="1"/>
        <s v="CP 083 NAT-48mm x 55m-24 rls/cs-S 255.18" u="1"/>
        <s v="HP 500 CLR-72mm x 914m-4 rls/cs-S 258883.25" u="1"/>
        <s v="HP 300 CLR-48mm x 914m-6 rls/cs-H 928.42" u="1"/>
        <s v="SD 969/SD 937 TRIM SET for BG SLR P605TS " u="1"/>
        <s v="HP 100 CLR-53mm x 1500m-6 rls/cs-S 3464.21" u="1"/>
        <s v="FP 097 KFT-24mm x 55m-36 rls/cs-H 473" u="1"/>
        <s v="HP 500 CLR-72mm x 50m-24 rls/cs-H/A 21287.77" u="1"/>
        <s v="CP 083 NAT-24mm x 55m-36 rls/cs-S 481.14" u="1"/>
        <s v="HP 100 CLR-72mm x 914m-4 rls/cs-S 784.48" u="1"/>
        <s v="HM 016 CLR-48mm x 100m-36 rls/cs-S 1582.42" u="1"/>
        <s v="FP 097 KFT-72mm x 55m-16 rls/cs-H/A 6245.55" u="1"/>
        <s v="CP 105 NAT-18mm x 55m-48 rls/cs-S 2372.2" u="1"/>
        <s v="HM 016 CLR-48mm x 914m-6 rls/cs-H/A 49.42" u="1"/>
        <s v="HP 200 CLR-48mm x 100m-36 rls/cs-S 2587.46" u="1"/>
        <s v="GS 490 CLR-12mm x 55m-72 rls/cs-H/A 1667.95" u="1"/>
        <s v="HP 300 CLR-48mm x 914m-6 rls/cs-H 2258.99" u="1"/>
        <s v="EV 057 BLK-3/4in x 60ft-100 rls/cs-H 62.37" u="1"/>
        <s v="HP 200 TAN-48mm x 100m-36 rls/cs-H/A 1924.56" u="1"/>
        <s v="HP 100 CLR-53mm x 1500m-6 rls/cs-S 20308.86" u="1"/>
        <s v="HP 200 CLR-72mm x 1371m-4 rls/cs-S 15697.99" u="1"/>
        <s v="HP 100 TAN-48mm x 100m-36 rls/cs-S 3708.35" u="1"/>
        <s v="HM 018 CLR-72mm x 100m-24 rls/cs-H 8154.42" u="1"/>
        <s v="HP 235 CLR-72mm x 1371m-4 rls/cs-H 29424.38" u="1"/>
        <s v="HP 200 CLR-53mm x 1371m-6 rls/cs-H 45133.66" u="1"/>
        <s v="HP 200 WHI-48mm x 914m-6 rls/cs-H 1524.68" u="1"/>
        <s v="HP 200 CLR-48mm x 914m-6 rls/cs-S 20452.55" u="1"/>
        <s v="HP 200 CLR-48mm x 1500m-6 rls/cs-H 65948.26" u="1"/>
        <s v="CP 66L NAT-48mm x 165m- 6 rls/cs-C 10929.6" u="1"/>
        <s v="HP 200 WHI-72mm x 100m-24 rls/cs-NS 5059.45" u="1"/>
        <s v="HP 200 CLR-48mm x 914m-6 rls/cs-S 8525.08" u="1"/>
        <s v="AP 201 CLR-48mm x 914m-6 rls/cs-H/A 2705.07" u="1"/>
        <s v="CP 105 NAT-48mm x 55m-24 rls/cs-S 35" u="1"/>
        <s v="GS 490 WHI-48mm x 55m-24 rls/cs-H/A 2112.25" u="1"/>
        <s v="HP 500 CLR-72mm x 914m-4 rls/cs-S 89663.11" u="1"/>
        <s v="HP 200 CLR-48mm x 100m-36 rls/cs-S 12616.57" u="1"/>
        <s v="HP 232 CLR-48mm x 914m-6 rls/cs-H/A 7019.66" u="1"/>
        <s v="CP 105 NAT-18mm x 55m-48 rls/cs-S 2737.15" u="1"/>
        <s v="HP 200 BLU-48mm x 914m-6 rls/cs-H 617.46" u="1"/>
        <s v="HP 300 CLR-48mm x 100m-36 rls/cs-H/A 1995.85" u="1"/>
        <s v="GS 490 WHI-48mm x 55m-24 rls/cs-H/A 169.65" u="1"/>
        <s v="GS 490 WHI-48mm x 55m-24 rls/cs-H/A 9294.91" u="1"/>
        <s v="SD 932  PISTOL GRIP TAPE DISP. ECONOMY-S 278" u="1"/>
        <s v="CP 66L NAT-4in x 240yd-3 rls/cs-H 146985.12" u="1"/>
        <s v="GS 490 WHI-48mm x 55m-24 rls/cs-H/A 1890.36" u="1"/>
        <s v="GS 490 CLR-48mm x 55m-24 rls/cs-H/A 134.96" u="1"/>
        <s v="AP 180 TAN-48mm x 100m-36 rls/cs-H 4508.1" u="1"/>
        <s v="CP 105 NAT-24mm x 55m- 36 rls/cs-S 379.91" u="1"/>
        <s v="HP 100 CLR-72mm x 100m-24 rls/cs-S 33359.03" u="1"/>
        <s v="HP 100 CLR-48mm x 1371m-6 rls/cs- S 6169" u="1"/>
        <s v="DT 200 GLA-36mm x 50m-24 rls/cs-H 851.55" u="1"/>
        <s v="HP 100 CLR-48mm x 914m-6 rls/cs-S 52011.84" u="1"/>
        <s v="HP 500 CLR-72mm x 50m-24 rls/cs-H/A 1176.12" u="1"/>
        <s v="HP 800 CLR-48mm x 50m-36 rls/cs-H 6997.9" u="1"/>
        <s v="HP 100 CLR-48mm x 914m-6 rls/cs-S 12653.62" u="1"/>
        <s v="AP 201 CLR-48mm x 100m-36 rls/cs-H/A 12445.49" u="1"/>
        <s v="FE-2 Folded-Edge Tape Dispenser 405" u="1"/>
        <s v="AP 180 CLR-72mm x 1371m-4 rls/cs-H 27742" u="1"/>
        <s v="HP 100 CLR-53mm x 1500m-6 rls/cs-S 3797.8" u="1"/>
        <s v="HP 100 CLR-72mm x 914m-4 rls/cs-S 4790.02" u="1"/>
        <s v="HP 100 TAN-48mm x 100m-36 rls/cs-S 5628.98" u="1"/>
        <s v="PC 609 SIL-48mm x 55m-24 rls/cs-H/A 6254.82" u="1"/>
        <s v="HP 200 CLR-48mm x 1371m-6 rls/cs-S 109372.75" u="1"/>
        <s v="HP 100 CLR-72mm x 1500m-4 rls/cs-H/T 18289.03" u="1"/>
        <s v="HP 200 CLR-48mm x 100m-36 rls/cs-S 6928.41" u="1"/>
        <s v="HP 200 CLR-72mm x 914m-4 rls/cs-S 16911.43" u="1"/>
        <s v="GS 490 CLR-18mm x 55m-48 rls/cs-H/A 24914.74" u="1"/>
        <s v="HP 100 CLR-53mm x 1500m-6 rls/cs-S 772.2" u="1"/>
        <s v="CP 105 NAT-24mm x 55m- 36 rls/cs-S 799.76" u="1"/>
        <s v="HP 200 CLR-48mm x 914m-6 rls/cs-S 7147.01" u="1"/>
        <s v="GS 521 WHI-18mm x 55m-48 rls/cs-H 434.33" u="1"/>
        <s v="CP 106 NAT-24mm x 55m-36 rls/cs-S 1000.77" u="1"/>
        <s v="AP 101 CLR-48mm x 100m-36 rls/cs-S 8215.72" u="1"/>
        <s v="HM 014 CLR-48mm x 100m-36 rls/cs-S 12915.91" u="1"/>
        <s v="HP 200 CLR-48mm x 914m-6 rls/cs-S 418.29" u="1"/>
        <s v="HP 100 TAN-72mm x 914m-4 rls/cs-H 470" u="1"/>
        <s v="HP 100 CLR-53mm x 1500m-6 rls/cs-S 6192.8" u="1"/>
        <s v="HP 200 CLR-72mm x 100m-24 rls/cs-S 2195" u="1"/>
        <s v="HP 200 CLR-72mm x 1371m-4 rls/cs-S 4749.51" u="1"/>
        <s v="HP 100 CLR-48mm x 100m-36 rls/cs-S 12224.51" u="1"/>
        <s v="HP 200 CLR-48mm x 1371m-6 rls/cs-S 3440.44" u="1"/>
        <s v="HP 100 CLR-72mm x 100m-24 rls/cs-S 1667.96" u="1"/>
        <s v="HP 200 CLR-36mm x 1371m-8 rls/cs-H 1366.99" u="1"/>
        <s v="HP 100 CLR-48mm x 100m-36 rls/cs-S 5752.29" u="1"/>
        <s v="GS 490 WHI-48mm x 55m-24 rls/cs-H/A 5714.75" u="1"/>
        <s v="HP 100 CLR-72mm x 100m-24 rls/cs-S 613" u="1"/>
        <s v="CP 105 NAT-48mm x 55m-24 rls/cs-S 351.65" u="1"/>
        <s v="CP 106 NAT-18mm x 55m-48 rls/cs-S 2528.06" u="1"/>
        <s v="HP 200 CLR-72mm x 914m-4 rls/cs-S 4516.29" u="1"/>
        <s v="FP 097 KFT-72mm x 55m-16 rls/cs-H/A 641.83" u="1"/>
        <s v="HP 200 CLR-72mm x 100m-24 rls/cs-S 2762.81" u="1"/>
        <s v="HP 200 TAN-48mm x 914m-6 rls/cs-H 11274.73" u="1"/>
        <s v="HP 100 CLR-48mm x 100m-36 rls/cs-S 14342.95" u="1"/>
        <s v="AP 201 CLR-48mm x 914m-6 rls/cs-H/A " u="1"/>
        <s v="CP 66L NAT-18mm x 55m-48 rls/cs-H 302.22" u="1"/>
        <s v="GS 490 CLR-48mm x 55m-24 rls/cs-H/A 404.88" u="1"/>
        <s v="AP 180 CLR-72mm x 100m-24 rls/cs-H/A 11975.04" u="1"/>
        <s v="AP 180 CLR-48mm x 100m-36 rls/cs-H/A 89.81" u="1"/>
        <s v="HP 100  EZ 53mm x 100m CLR-36 rls/cs-H/A 36.71" u="1"/>
        <s v="GS 490 WHI-18mm x 55m-48 rls/cs-H/A 365" u="1"/>
        <s v="HP 100 CLR-72mm x 100m-24 rls/cs-S 7638.83" u="1"/>
        <s v="HP 100 CLR-48mm x 100m-36 rls/cs-S 2010" u="1"/>
        <s v="HP 100 CLR-48mm x 100m-36 rls/cs-S 2187.58" u="1"/>
        <s v="HP 200 CLR-48mm x 1828m-6 rls/cs-S 10291.99" u="1"/>
        <s v="HP 500 CLR-72mm x 50m-24 rls/cs-H/A 62075.39" u="1"/>
        <s v="HP 200 CLR-48mm x 100m-36 rls/cs-S 1775" u="1"/>
        <s v="HP 200 CLR-48mm x 100m-36 rls/cs-S 1742.81" u="1"/>
        <s v="HP 200 CLR-48mm x 1500m-6 rls/cs-H 40180.53" u="1"/>
        <s v="FE-2 Folded-Edge Tape Dispenser - H 207.9" u="1"/>
        <s v="HP 100 CLR-72mm x 100m-24 rls/cs-S 35796.8" u="1"/>
        <s v="HP 200 CLR-72mm x 100m-24 rls/cs-S 2452.02" u="1"/>
        <s v="HP 500 CLR-72mm x 914m-4 rls/cs-S 92417.35" u="1"/>
        <s v="CP 106 NAT-72mm x 55m-16 rls/cs-S 24710" u="1"/>
        <s v="HP 200 CLR-72mm x 100m-24 rls/cs-S 15938.19" u="1"/>
        <s v="CP 106 NAT-72mm x 55m-16 rls/cs-S 22077.15" u="1"/>
        <s v="HP 200 CLR-72mm x 1371m-4 rls/cs-S 25736" u="1"/>
        <s v="CP 105 NAT-24mm x 55m- 36 rls/cs-S 91.95" u="1"/>
        <s v="CP 106 NAT-24mm x 55m-36 rls/cs-S 345.71" u="1"/>
        <s v="SD 932  PISTOL GRIP TAPE DISP. ECONOMY-S 294.38" u="1"/>
        <s v="DF 065 NAT-18mm x 33m-48 rls/cs-H/A 819.24" u="1"/>
        <s v="HP 200 BLU-48mm x 914m-6 rls/cs-H 6295.45" u="1"/>
        <s v="HP 200 TAN-72mm x 100m-24 rls/cs-H/A 2150.29" u="1"/>
        <s v="HM 018 CLR-48mm x 100m-36 rls/cs-S 320.76" u="1"/>
        <s v="CP 450 NAT-36mm x 55m-24 rls/cs-H 31015.83" u="1"/>
        <s v="SD 934, PISTOL GRIP TAPE DISPNSR PREM.-S 24" u="1"/>
        <s v="HP 232 CLR-48mm x 1371m-6 rls/cs-H/T 38223.9" u="1"/>
        <s v="HM 016 CLR-48mm x 100m-36 rls/cs-S 960.86" u="1"/>
        <s v="HP 100 CLR-48mm x 100m-36 rls/cs-S 2010.1" u="1"/>
        <s v="HP 100 CLR-72mm x 100m-24 rls/cs-S 4272.06" u="1"/>
        <s v="GG 200 NAT-48mm x 33m-24 rls/cs-H 6536.39" u="1"/>
        <s v="AP 180 CLR-48mm x 1371m-6 rls/cs-H 25943.08" u="1"/>
        <s v="HP 100 CLR-48mm x 914m-6 rls/cs-S 28933.97" u="1"/>
        <s v="5651 PA-1C TAPE MONIT RECE C/W TOW LIGHT " u="1"/>
        <s v="HP 400 CLR-48mm x 100m-36 rls/cs-H/A 769.82" u="1"/>
        <s v="P- 628 WHI-48mm x 50m-24 rls/cs-H/A 1183.24" u="1"/>
        <s v="HP 200 CLR-72mm x 100m-24 rls/cs-S 34642.08" u="1"/>
        <s v="HP 200 CLR-36mm x 1371m-8 rls/cs-H/A " u="1"/>
        <s v="HP 200 CLR-48mm x 914m-6 rls/cs-S 1884.64" u="1"/>
        <s v="DP 050 CLR-48mm x 50m-24 rls/cs-H 3948.91" u="1"/>
        <s v="HP 200 CLR-48mm x 1371m-6 rls/cs-S 5250.48" u="1"/>
        <s v="HP 500 CLR-72mm x 914m-4 rls/cs-S 723644.53" u="1"/>
        <s v="HP 200 CLR-48mm x 1371m-6 rls/cs-S 1720.22" u="1"/>
        <s v="HM 018 CLR-72mm x 100m-24 rls/cs-H/A 1711" u="1"/>
        <s v="HP 100 CLR-48mm x 100m-36 rls/cs-S 2310.9" u="1"/>
        <s v="HP 200 CLR-48mm x 100m-36 rls/cs-S 6928.42" u="1"/>
        <s v="HP 200 CLR-72mm x 914m-4 rls/cs-S 15796.84" u="1"/>
        <s v="HP 100 CLR-48mm x 1371m-6 rls/cs- S 3184.08" u="1"/>
        <s v="HP 100 CLR-48mm x 914m-6 rls/cs-S 1496.88" u="1"/>
        <s v="HP 200 CLR-48mm x 1371m-6 rls/cs-S 78393.72" u="1"/>
        <s v="FP 097 KFT-72mm x 55m-16 rls/cs-H/A 3279" u="1"/>
        <s v="HP 200 CLR-48mm x 914m-6 rls/cs-S 43737.43" u="1"/>
        <s v="HM 016 CLR-72mm x 100m-24 rls/cs-H/A 1753" u="1"/>
        <s v="HP 100 CLR-48mm x 100m-36 rls/cs-S 10585.09" u="1"/>
        <s v="PS 748 BLK-18mm x 55m-96 rls/cs-H 2166.92" u="1"/>
        <s v="WP 100 NAT-72mmx138m(450ft)-10rls/cs-H/A 585.09" u="1"/>
        <s v="HM 014 CLR-48mm x 100m-36 rls/cs-S " u="1"/>
        <s v="CP 225 GLD-48mm x 55m-24 rls/cs-H/T " u="1"/>
        <s v="FP 097 KFT-18mm x 55m-48 rls/cs-H " u="1"/>
        <s v="HM 018 CLR-48mm x 100m-36 rls/cs-S 581.64" u="1"/>
        <s v="HP 500 CLR-72mm x 914m-4 rls/cs-S 307861.18" u="1"/>
        <s v="HP 200 CLR-72mm x 914m-4 rls/cs-S 6506.68" u="1"/>
        <s v="HM 018 CLR-48mm x 100m-36 rls/cs-S 1283.03" u="1"/>
        <s v="HP 300 CLR-48mm x 914m-6 rls/cs-H " u="1"/>
        <s v="DP 380 GLA-48mm x 50m-24 rls/cs-H 1739" u="1"/>
        <s v="HP 200 CLR-48mm x 914m-6 rls/cs-S 28643.86" u="1"/>
        <s v="50386 3&quot; RH/LH HUB " u="1"/>
        <s v="HP 200 CLR-48mm x 100m-36 rls/cs-S 9323.42" u="1"/>
        <s v="HP 200 CLR-72mm x 100m-24 rls/cs-S 613" u="1"/>
        <s v="HP 200 RED-48mm x 100m-36 rls/cs-H 312.21" u="1"/>
        <s v="HP 100 CLR-48mm x 100m-36 rls/cs-S 14516.87" u="1"/>
        <s v="AP 180 CLR-72mm x 1371m-4 rls/cs-H 143935.01" u="1"/>
        <s v="CP 105 NAT-18mm x 55m-48 rls/cs-S 4744.4" u="1"/>
        <s v="HP 500 CLR-48mm x 50m-36 rls/cs-H/A 140.42" u="1"/>
        <s v="HP 100 CLR-48mm x 100m-36 rls/cs-S 15054.35" u="1"/>
        <s v="CP 631 RED-18mm x 55m-48 rls/cs-H 2050.97" u="1"/>
        <s v="SD 935, PISTOL GRIP DISPNSR-3 IN. ROLL-S 29" u="1"/>
        <s v="AP 101 CLR-48mm x 914m-6 rls/cs-H 4552.17" u="1"/>
        <s v="HP 300 CLR-72mm x 914m-4 rls/cs-H 4121.08" u="1"/>
        <s v="FP 097 KFT-48mm x 50m-24 rls/cs-H 2010.1" u="1"/>
        <s v="GS 490 WHI-18mm x 55m-48 rls/cs-H/A 752.71" u="1"/>
        <s v="HP 100 CLR-72mm x 1371m-4 rls/cs-H/T 14572.48" u="1"/>
        <s v="CP 105 NAT-72mm x 55m-16 rls/cs-H 139.71" u="1"/>
        <s v="AP 201 CLR-48mm x 100m-36 rls/cs-H/A 13942.36" u="1"/>
        <s v="HP 100 CLR-48mm x 914m-6 rls/cs-S 534.01" u="1"/>
        <s v="HP 500 CLR-72mm x 50m-24 rls/cs-H/A 34214.4" u="1"/>
        <s v="HP 500 CLR-72mm x 914m-4 rls/cs-S 222022.95" u="1"/>
        <s v="HP 200 YEL-48mm x 914m-6 rls/cs-H 800.48" u="1"/>
        <s v="HP 400 CLR-48mm x 914m-6 rls/cs-H/A 584.02" u="1"/>
        <s v="HP 100 CLR-72mm x 1371m-4 rls/cs-H/T 13657.25" u="1"/>
        <s v="HP 500 CLR-72mm x 914m-4 rls/cs-S 92417.36" u="1"/>
        <s v="FP 097 KFT-48mm x 55m-24 rls/cs-H/A 2030.05" u="1"/>
        <s v="WP 150 WB TR 70mmx138m(450FT)-10rl/cs-NS 12425.49" u="1"/>
        <s v="CP 106 NAT-36mm x 55m-24 rls/cs-S 73.18" u="1"/>
        <s v="HP 100 CLR-48mm x 100m-36 rls/cs-S 2730" u="1"/>
        <s v="CP 631 BLK-48mm x 55m-24 rls/cs-H/T 497" u="1"/>
        <s v="CP 631 RED-24mm x 55m-36 rls/cs-H 282.26" u="1"/>
        <s v="AP 201 RED 72mm x 100m-24 rls/cs-H/A " u="1"/>
        <s v="HP 400 CLR-72mm x 50m-24 rls/cs-H 1533.94" u="1"/>
        <s v="CP 106 NAT-48mm x 55m-24 rls/cs-S 368.28" u="1"/>
        <s v="AP 180 CLR-48mm x 914m-6 rls/cs-H/A 7424.53" u="1"/>
        <s v="HP 100 CLR-53mm x 1500m-6 rls/cs-S 3154.14" u="1"/>
        <s v="CP 107 NAT-48mm x 55m-24 rls/cs-H/A 1760.62" u="1"/>
        <s v="CP 631 RED-18mm x 55m-48 rls/cs-H 600.65" u="1"/>
        <s v="HP 235 CLR-72mm x 1371m-4 rls/cs-H 138294.6" u="1"/>
        <s v="HP 200 CLR-48mm x 100m-36 rls/cs-S 2010.1" u="1"/>
        <s v="HP 500 CLR-72mm x 914m-4 rls/cs-S 506105.1" u="1"/>
        <s v="CP 650 NAT-18mm x 55m-48 rls/cs-NS " u="1"/>
        <s v="HP 100 CLR-72mm x 914m-4 rls/cs-S 5706.2" u="1"/>
        <s v="HP 100 CLR-53mm x 1500m-6 rls/cs-S 51952.5" u="1"/>
        <s v="HP 200 CLR-48mm x 100m-36 rls/cs-S 32332.6" u="1"/>
        <s v="HP 500 CLR-72mm x 50m-24 rls/cs-H/A 16465.68" u="1"/>
        <s v="WP 100 NAT-70mm x 153m(500ft)-6 rls/cs-H 4539.22" u="1"/>
        <s v="DP 050 CLR-48mm x 50m-24 rls/cs-H 1104.84" u="1"/>
        <s v="HP 100 CLR-48mm x 100m-36 rls/cs-S 8418.88" u="1"/>
        <s v="HP 200 CLR-72mm x 100m-24 rls/cs-S 2492.91" u="1"/>
        <s v="CP 66L NAT-4in x 240yd-3 rls/cs-H 188597.42" u="1"/>
        <s v="HP 200 CLR-53mm x 1371m-6 rls/cs-H 28590.38" u="1"/>
        <s v="CP 106 NAT-48mm x 55m-24 rls/cs-S 79.83" u="1"/>
        <s v="HP 500 CLR-72mm x 914m-4 rls/cs-S 7798.82" u="1"/>
        <s v="AP 180 CLR-48mm x 100m-36 rls/cs-H/A 1480" u="1"/>
        <s v="CP 631 BLK-48mm x 55m-24 rls/cs-H/T 497.3" u="1"/>
        <s v="FE-2 Folded-Edge Tape Dispenser - H 237.6" u="1"/>
        <s v="WP 100 NAT-72mmx138m(450ft)-10rls/cs-H/A 13918.88" u="1"/>
        <s v="HP 235 CLR-72mm x 100m-24 rls/cs-H 3264.63" u="1"/>
        <s v="AP 180 CLR-48mm x 100m-36 rls/cs-H/A 2420.68" u="1"/>
        <s v="FP 115 BRN-48mm x 55m-24 rls/cs-H 422.93" u="1"/>
        <s v="HP 200 CLR-48mm x 1828m-6 rls/cs-S 22771.82" u="1"/>
        <s v="FE-3 Folded-Edge Tape Dispenser - H 39.6" u="1"/>
        <s v="HP 200 CLR-48mm x 1371m-6 rls/cs-H/A 33166.58" u="1"/>
        <s v="FP 097 KFT-72mm x 55m-16 rls/cs-H/A 401.07" u="1"/>
        <s v="AP 201 CLR-48mm x 914m-6 rls/cs-H/A 3392.92" u="1"/>
        <s v="HP 100 CLR-48mm x 100m-36 rls/cs-S 8468.06" u="1"/>
        <s v="HP 100 CLR-72mm x 100m-24 rls/cs-S 22424.71" u="1"/>
        <s v="HP 100 CLR-48mm x 1371m-6 rls/cs- S 75931.46" u="1"/>
        <s v="DP 380 GLA-24mm x 50m-36 rls/cs-H " u="1"/>
        <s v="HP 200 CLR-48mm x 914m-6 rls/cs-S 43737.44" u="1"/>
        <s v="HM 016 CLR-72mm x 100m-24 rls/cs-H/A 10341.3" u="1"/>
        <s v="HP 200 CLR-48mm x 100m-36 rls/cs-S 592" u="1"/>
        <s v="AP 101 CLR-48mm x 100m-36 rls/cs-S 1732.1" u="1"/>
        <s v="HP 100 CLR-53mm x 1500m-6 rls/cs-S 21854.93" u="1"/>
        <s v="HP 200 CLR-72mm x 100m-24 rls/cs-S 1847.58" u="1"/>
        <s v="HM 016 CLR-48mm x 914m-6 rls/cs-H/A 3568.76" u="1"/>
        <s v="HP 200 CLR-48mm x 1828m-6 rls/cs-S 28761.48" u="1"/>
        <s v="HM 018 CLR-48mm x 100m-36 rls/cs-S 1283.04" u="1"/>
        <s v="HP 200 CLR-48mm x 100m-36 rls/cs-S 3772.85" u="1"/>
        <s v="HP 500 CLR-72mm x 914m-4 rls/cs-S 115281.15" u="1"/>
        <s v="AP 101 CLR-48mm x 100m-36 rls/cs-S 448.36" u="1"/>
        <s v="FP 097 KFT-48mm x 50m-24 rls/cs-H 4824.23" u="1"/>
        <s v="HP 500 CLR-72mm x 914m-4 rls/cs-S 494006.04" u="1"/>
        <s v="PC 590 SIL-48mm x 914cm *DO NOT USE* 191.51" u="1"/>
        <s v="HP 200 TAN-48mm x 914m-6 rls/cs-H 266.59" u="1"/>
        <s v="HP 232 CLR-48mm x 914m-6 rls/cs-H/A 5339.75" u="1"/>
        <s v="GS 490 WHI-36mm x 55m-24 rls/cs-H " u="1"/>
        <s v="CP 106 NAT-72mm x 55m-16 rls/cs-S 9231.55" u="1"/>
        <s v="HM 016 CLR-48mm x 100m-36 rls/cs-H 709.93" u="1"/>
        <s v="AP 201 CLR-48mm x 100m-36 rls/cs-H/A 25660.8" u="1"/>
        <s v="HP 200 CLR-72mm x 1371m-4 rls/cs-S 9314.88" u="1"/>
        <s v="HP 200 CLR-72mm x 1371m-4 rls/cs-S 4549.93" u="1"/>
        <s v="AP 180 CLR-72mm x 100m-24 rls/cs-H/A 8553.6" u="1"/>
        <s v="HP 200 CLR-72mm x 1371m-4 rls/cs-S 16910.47" u="1"/>
        <s v="HP 500 CLR-72mm x 50m-24 rls/cs-H/A 9123.84" u="1"/>
        <s v="PS 748 BLK-18mm x 55m-96 rls/cs-H 1582.41" u="1"/>
        <s v="HP 100 CLR-48mm x 100m-36 rls/cs-S 6718.15" u="1"/>
        <s v="HP 200 CLR-72mm x 914m-4 rls/cs-S 15586.56" u="1"/>
        <s v="DP 380 GLA-24mm x 50m-36 rls/cs-H 488.99" u="1"/>
        <s v="HM 018 CLR-48mm x 100m-36 rls/cs-X 581.64" u="1"/>
        <s v="HP 100 CLR-72mm x 914m-4 rls/cs-S 6163.74" u="1"/>
        <s v="HP 132 CLR-48mm x 100m-36 rls/cs-H 692.84" u="1"/>
        <s v="HP 100 CLR-72mm x 914m-4 rls/cs-S 5124.56" u="1"/>
        <s v="GS 490 WHI-12mm x 55m-72 rls/cs-H/A 748.44" u="1"/>
        <s v="FP 097 KFT-72mm x 55m-16 rls/cs-H/A 191.03" u="1"/>
        <s v="HP 200 CLR-48mm x 914m-6 rls/cs-S 16593.99" u="1"/>
        <s v="HP 132 CLR-72mm x 100m-24 rls/cs-H 12713.47" u="1"/>
        <s v="HP 400 CLR-48mm x 50m-36 rls/cs-H 974.76" u="1"/>
        <s v="AP 180 CLR-72mm x 100m-24 rls/cs-H/A 2166.91" u="1"/>
        <s v="FP 097 KFT-72mm x 55m-16 rls/cs-H/A 1579" u="1"/>
        <s v="AP 101 CLR-48mm x 914m-6 rls/cs-S 3133.47" u="1"/>
        <s v="FE-2 Folded-Edge Tape Dispenser - H 41.58" u="1"/>
        <s v="HP 100 CLR-48mm x 1371m-6 rls/cs- S 12308.63" u="1"/>
        <s v="HP 200 CLR-48mm x 100m-36 rls/cs-S 2387.89" u="1"/>
        <s v="CP 106 NAT-24mm x 55m-36 rls/cs-S " u="1"/>
        <s v="HP 100 CLR-72mm x 100m-24 rls/cs-S 39831.23" u="1"/>
        <s v="DF 065 NAT-18mm x 33m-48 rls/cs-H/A 779.33" u="1"/>
        <s v="HP 100 CLR-48mm x 1371m-6 rls/cs- S 7450.19" u="1"/>
        <s v="HP 100 CLR-72mm x 100m-24 rls/cs-S 1800" u="1"/>
        <s v="HP 200 CLR-72mm x 914m-4 rls/cs-S 7348.96" u="1"/>
        <s v="HP 200 WHI-48mm x 914m-6 rls/cs-H 4727" u="1"/>
        <s v="HP 200 WHI-72mm x 914m-4 rls/cs-H 6864.26" u="1"/>
        <s v="FP 097 KFT-72mm x 55m-16 rls/cs-H/A 151.75" u="1"/>
        <s v="HP 200 CLR-72mm x 914m-4 rls/cs-S 6359.76" u="1"/>
        <s v="HP 232 CLR-48mm x 100m-36 rls/cs-H/A 320.76" u="1"/>
        <s v="CP 450 NAT-72mm x 55m-16 rls/cs-NS 5162" u="1"/>
        <s v="HP 100 CLR-53mm x 1500m-6 rls/cs-S 11354.9" u="1"/>
        <s v="HP 100 CLR-53mm x 1500m-6 rls/cs-S 3894.03" u="1"/>
        <s v="FP 115 BRN-48mm x 55m-24 rls/cs-H 781.7" u="1"/>
        <s v="AP 180 CLR-48mm x 914m-6 rls/cs-H/A 9654.17" u="1"/>
        <s v="WP 150 BLU CWAV 72mm x 138M - NS " u="1"/>
        <s v="HM 014 CLR-48mm x 100m-36 rls/cs-S 8040" u="1"/>
        <s v="GS 490 WHI-48mm x 55m-24 rls/cs-H/A 749.39" u="1"/>
        <s v="FP 097 KFT-48mm x 55m-24 rls/cs-H/A " u="1"/>
        <s v="HP 200 CLR-72mm x 100m-24 rls/cs-S 50138.34" u="1"/>
        <s v="HP 200 CLR-72mm x 914m-4 rls/cs-S 15856.28" u="1"/>
        <s v="HP 232 CLR-48mm x 914m-6 rls/cs-H/A 8625.75" u="1"/>
        <s v="HP 200 WHI-72mm x 914m-4 rls/cs-H 10566.55" u="1"/>
        <s v="FP 097 KFT-72mm x 55m-16 rls/cs-H/A 2385.83" u="1"/>
        <s v="VP 410 BLK- 50MM X 33M- 24 RLS/CS-H/T 371.85" u="1"/>
        <s v="CP 105 NAT-72mm x 55m-16 rls/cs-H 1922.67" u="1"/>
        <s v="HP 100 CLR-53mm x 1500m-6 rls/cs-S 3414.67" u="1"/>
        <s v="HP 235 CLR-72mm x 100m-24 rls/cs-H 63.44" u="1"/>
        <s v="HP 200 CLR-48mm x 1828m-6 rls/cs-S 502.05" u="1"/>
        <s v="VP 415 BKW- 50MM X 33M- 24 RLS/CS-H " u="1"/>
        <s v="FP 097 KFT-48mm x 50m-24 rls/cs-H 293.67" u="1"/>
        <s v="FP 115 BRN-48mm x 55m-24 rls/cs-H 845.86" u="1"/>
        <s v="HP 100 CLR-53mm x 1500m-6 rls/cs-S 3934.66" u="1"/>
        <s v="HP 200 CLR-48mm x 100m-36 rls/cs-S 3372.26" u="1"/>
        <s v="HP 100 CLR-53mm x 1500m-6 rls/cs-S 26633.74" u="1"/>
        <s v="HP 200 WHI-72mm x 100m-24 rls/cs-NS 4666.94" u="1"/>
        <s v="HP 200 CLR-48mm x 914m-6 rls/cs-S 1621.62" u="1"/>
        <s v="CP 500 NAT-24mm x 55m-36 rls/cs-H 972.97" u="1"/>
        <s v="HP 100 CLR-48mm x 100m-36 rls/cs-S 8468.07" u="1"/>
        <s v="HP 200 CLR-48mm x 914m-6 rls/cs-S 1451.72" u="1"/>
        <s v="HP 200 CLR-48mm x 914m-6 rls/cs-S 43297.72" u="1"/>
        <s v="HP 500 CLR-72mm x 914m-4 rls/cs-S 22493" u="1"/>
        <s v="DT 200 GLA-48mm x 50m-24 rls/cs-H 24556" u="1"/>
        <s v="HP 100 CLR-72mm x 914m-4 rls/cs-S 784.47" u="1"/>
        <s v="HP 500 CLR-72mm x 50m-24 rls/cs-H/A 2280.96" u="1"/>
        <s v="HP 200 CLR-72mm x 914m-4 rls/cs-S 86398.96" u="1"/>
        <s v="HP 100 CLR-53mm x 1500m-6 rls/cs-S 43932" u="1"/>
        <s v="HP 200 WHI-72mm x 100m-24 rls/cs-NS 5139.76" u="1"/>
        <s v="HP 500 CLR-48mm x 914m-6 rls/cs-H " u="1"/>
        <s v="CP 106 NAT-18mm x 55m-48 rls/cs-S 585.45" u="1"/>
        <s v="CP 105 NAT-24mm x 55m- 36 rls/cs-S 168.94" u="1"/>
        <s v="HP 100 CLR-48mm x 100m-36 rls/cs-S 1762.04" u="1"/>
        <s v="HP 200 RED-48mm x 914m-6 rls/cs-H 472.41" u="1"/>
        <s v="HP 100 CLR-48mm x 100m-36 rls/cs-S 4918.32" u="1"/>
        <s v="HP 200 CLR-48mm x 1500m-6 rls/cs-H 19784.46" u="1"/>
        <s v="FP 115 BRN-48mm x 55m-24 rls/cs-H 3486.07" u="1"/>
        <s v="FP 115 BRN-48mm x 55m-24 rls/cs-H 4265.39" u="1"/>
        <s v="HP 200 CLR-72mm x 914m-4 rls/cs-H/A 502.52" u="1"/>
        <s v="HP 800 CLR-48mm x 50m-36 rls/cs-H 3979.2" u="1"/>
        <s v="CP 66L NAT-4in x 240yd-3 rls/cs-H 142902.2" u="1"/>
        <s v="SD 932, PISTOL GRIP TAPE DISP. ECONOMY-S 81.67" u="1"/>
        <s v="HP 100 CLR-53mm x 1500m-6 rls/cs-S 3344.46" u="1"/>
        <s v="GS 490 WHI-24mm x 55m-36 rls/cs-H/A 1003.99" u="1"/>
        <s v="HP 200 CLR-48mm x 1371m-6 rls/cs-S 14241.74" u="1"/>
        <s v="HP 232 CLR-72mm x 914m-4 rls/cs-H/A 43469.41" u="1"/>
        <s v="AP 015 CLR-96mm x 66m-18 rls/cs-H 422.69" u="1"/>
        <s v="HP 200 CLR-48mm x 100m-36 rls/cs-S 6398.11" u="1"/>
        <s v="CP 631 RED-18mm x 55m-48 rls/cs-H " u="1"/>
        <s v="AP 180 CLR-48mm x 1371m-6 rls/cs-H 15054.35" u="1"/>
        <s v="FE-3 Folded-Edge Tape Dispenser - H 247.5" u="1"/>
        <s v="HM 018 CLR-72mm x 100m-24 rls/cs-H/A 318.38" u="1"/>
        <s v="CP 631 RED-36mm x 55m-24 rls/cs-C 479" u="1"/>
        <s v="HP 400 CLR-72mm x 50m-24 rls/cs-H 110.72" u="1"/>
        <s v="HP 232 CLR-48mm x 914m-6 rls/cs-H/A 3129.2" u="1"/>
        <s v="HP 235 CLR-72mm x 100m-24 rls/cs-H 20893.61" u="1"/>
        <s v="SD 935  PISTOL GRIP DISPNSR-3 IN. ROLL-S 209.02" u="1"/>
        <s v="HP 300 CLR-48mm x 914m-6 rls/cs-H 668.61" u="1"/>
        <s v="HP 200 CLR-72mm x 914m-4 rls/cs-S 21155.89" u="1"/>
        <s v="AP 180 CLR-48mm x 914m-6 rls/cs-H/A 7555.67" u="1"/>
        <s v="5200 2IN STD RH 957" u="1"/>
        <s v="HP 200 CLR-48mm x 200m-36 rls/cs-H 362" u="1"/>
        <s v="HP 200 CLR-48mm x 914m-6 rls/cs-S 3657" u="1"/>
        <s v="CP 105 NAT-24mm x 55m- 36 rls/cs-S 571.66" u="1"/>
        <s v="AP 201 CLR-48mm x 100m-36 rls/cs-H/A 4276.8" u="1"/>
        <s v="HM 018 CLR-72mm  *DO NOT USE* 2076.15" u="1"/>
        <s v="HP 200 CLR-48mm x 914m-6 rls/cs-S 2258" u="1"/>
        <s v="HP 200 CLR-72mm x 100m-24 rls/cs-S 2252.45" u="1"/>
        <s v="AP 180 CLR-48mm x 914m-6 rls/cs-H/A 43033.17" u="1"/>
        <s v="HP 100 CLR-53mm x 1500m-6 rls/cs-S 22503.1" u="1"/>
        <s v="HP 300 CLR-48mm x 914m-6 rls/cs-H 1872.29" u="1"/>
        <s v="HP 200 CLR-72mm x 100m-24 rls/cs-S 490" u="1"/>
        <s v="HP 200 CLR-48mm x 100m-36 rls/cs-S 8218.59" u="1"/>
        <s v="HP 400 CLR-48mm x 914m-6 rls/cs-H/A 824.47" u="1"/>
        <s v="SD 935  PISTOL GRIP DISPNSR-3 IN. ROLL-S 147.55" u="1"/>
        <s v="HP 200 CLR-48mm x 1828m-6 rls/cs-S 6700.32" u="1"/>
        <s v="HP 100 CLR-53mm x 1500m-6 rls/cs-S 33436.02" u="1"/>
        <s v="HP 232 CLR-53mm x 1371m-6 rls/cs-H 199" u="1"/>
        <s v="HP 200 CLR-72mm x 914m-4 rls/cs-S 7903.52" u="1"/>
        <s v="HP 200 CLR-72mm x 100m-24 rls/cs-S 40.87" u="1"/>
        <s v="HM 018 CLR-48mm x 100m-36 rls/cs-H 994.36" u="1"/>
        <s v="HP 200 CLR-48mm x 1500m-6 rls/cs-H 1587.76" u="1"/>
        <s v="HP 200 CLR-72mm x 914m-4 rls/cs-S 7903.53" u="1"/>
        <s v="HP 100 CLR-48mm x 100m-36 rls/cs-S 9173.73" u="1"/>
        <s v="HP 300 CLR-48mm x 100m-36 rls/cs-H/A 3135" u="1"/>
        <s v="HP 100 CLR-48mm x 914m-6 rls/cs-S 11698.48" u="1"/>
        <s v="HP 100 CLR-48mm x 1371m-6 rls/cs- S 23402.65" u="1"/>
        <s v="HP 100 CLR-53mm x 1500m-6 rls/cs-S 15995.24" u="1"/>
        <s v="HP 800 CLR-48mm x 914m-6 rls/cs-NS 0" u="1"/>
        <s v="HP 100 CLR-48mm x 914m-6 rls/cs-S 897.18" u="1"/>
        <s v="HP 200 CLR-48mm x 1371m-6 rls/cs-S 4516.31" u="1"/>
        <s v="HP 200 CLR-72mm x 914m-4 rls/cs-S 979.86" u="1"/>
        <s v="HP 200 WHI-48mm x 100m-36 rls/cs-H 654" u="1"/>
        <s v="SD 932/934/936  BLADE - P103B " u="1"/>
        <s v="HP 100 CLR-72mm x 914m-4 rls/cs-S 11946.53" u="1"/>
        <s v="HP 200 CLR-48mm x 100m-36 rls/cs-S 72.71" u="1"/>
        <s v="CP 105 NAT-48mm x 55m-24 rls/cs-S 390.62" u="1"/>
        <s v="HP 100 CLR-48mm x 100m-36 rls/cs-S 8468.08" u="1"/>
        <s v="CP 106 NAT-48mm x 55m-24 rls/cs-S 920.7" u="1"/>
        <s v="HP 200 CLR-72mm x 914m-4 rls/cs-S 6774.48" u="1"/>
        <s v="CP 106 NAT-72mm x 55m-16 rls/cs-S 32427.03" u="1"/>
        <s v="HP 100 CLR-48mm x 914m-6 rls/cs-S 1035.94" u="1"/>
        <s v="CP 101 NAT-18mm x 55m-48 rls/cs-H/T 210.99" u="1"/>
        <s v="CP 106 NAT-48mm x 55m-24 rls/cs-S 758.42" u="1"/>
        <s v="HP 100 CLR-48mm x 914m-6 rls/cs-S 9580.04" u="1"/>
        <s v="HP 200 CLR-48mm x 1828m-6 rls/cs-S 15312.48" u="1"/>
        <s v="AP 201 CLR-48mm x 100m-36 rls/cs-H/A 719.93" u="1"/>
        <s v="HP 100 CLR-48mm x 1371m-6 rls/cs-H/A/T 5538.46" u="1"/>
        <s v="HP 100 CLR-48mm x 914m-6 rls/cs-S 12143.27" u="1"/>
        <s v="WP 100 NAT-70mm x 153m(500ft)-6 rls/cs-H 150.16" u="1"/>
        <s v="HP 100 CLR-53mm x 1500m-6 rls/cs-S 22162.38" u="1"/>
        <s v="HP 240 CK PULL EDGE 53mmX1371m-6r/cs-H " u="1"/>
        <s v="HP 200 CLR-48mm x 100m-36 rls/cs-S 997.93" u="1"/>
        <s v="HP 200 CLR-48mm x 914m-6 rls/cs-S 12043.46" u="1"/>
        <s v="HP 500 CLR-72mm x 914m-4 rls/cs-S 376145.22" u="1"/>
        <s v="HP 500 CLR-72mm x 914m-4 rls/cs-S 390022.78" u="1"/>
        <s v="HP 200 CLR-72mm x 1371m-4 rls/cs-S 7264.14" u="1"/>
        <s v="HP 100 CLR-53mm x 1500m-6 rls/cs-S 16703.03" u="1"/>
        <s v="HP 200 BLU-72mm x 914m-4 rls/cs-NS 41936.96" u="1"/>
        <s v="CP 105 NAT-24mm x 55m- 36 rls/cs-S 166.8" u="1"/>
        <s v="HP 300 CLR-48mm x 914m-6 rls/cs-H 624.77" u="1"/>
        <s v="CP 66L NAT-4in x 240yd-3 rls/cs-H 17145.22" u="1"/>
        <s v="HP 240 WR STOP-48mm x 914m-6 rls/cs-H 4634.63" u="1"/>
        <s v="HP 100 CLR-72mm x 100m-24 rls/cs-S 25347.16" u="1"/>
        <s v="HP 200 CLR-72mm x 914m-4 rls/cs-S 9799" u="1"/>
        <s v="HP 500 CLR-72mm x 50m-24 rls/cs-H/A 11878.81" u="1"/>
        <s v="GS 490 WHI-48mm x 55m-24 rls/cs-H/A 822" u="1"/>
        <s v="HP 200 CLR-72mm x 1371m-4 rls/cs-S 2519.43" u="1"/>
        <s v="WP 100 NAT-70mm x 153m(500ft)-6 rls/cs-H 178.8" u="1"/>
        <s v="HP 500 CLR-72mm x 914m-4 rls/cs-S 144601.51" u="1"/>
        <s v="HP 200 CLR-48mm x 1828m-6 rls/cs-S 31127.03" u="1"/>
        <s v="HP 100 CLR-48mm x 100m-36 rls/cs-S 7313.33" u="1"/>
        <s v="FE 72 Folded-Edge Tape Dispenser 207.9" u="1"/>
        <s v="HM 016 CLR-48mm x 100m-36 rls/cs-S 6478.27" u="1"/>
        <s v="HP 500 CLR-72mm x 50m-24 rls/cs-H/A 44692.56" u="1"/>
        <s v="HP 200 CLR-72mm x 100m-24 rls/cs-S 13895.3" u="1"/>
        <s v="CP 083 NAT-72mm x 548m-4 rls/cs-C " u="1"/>
        <s v="HP 200 CLR-48mm x 914m-6 rls/cs-S 1224.82" u="1"/>
        <s v="HP 200 CLR-48mm x 100m-36 rls/cs-S 567" u="1"/>
        <s v="HP 200 CLR-48mm x 100m-36 rls/cs-S 19937.01" u="1"/>
        <s v="HP 200 CLR-48mm x 100m-36 rls/cs-S 8238.19" u="1"/>
        <s v="AP 180 CLR-48mm x 100m-36 rls/cs-H/A 2851.2" u="1"/>
        <s v="HP 100 CLR-72mm x 914m-4 rls/cs-S 5588.36" u="1"/>
        <s v="HP 200 CLR-48mm x 100m-36 rls/cs-S 2870" u="1"/>
        <s v="HP 200 CLR-48mm x 914m-6 rls/cs-S 1054.94" u="1"/>
        <s v="P- 628 WHI-48mm x 50m-24 rls/cs-H/A 563.59" u="1"/>
        <s v="HP 100 CLR-53mm x 1500m-6 rls/cs-S 19953.4" u="1"/>
        <s v="DP 050 CLR-48mm x 50m-24 rls/cs-H 1502.58" u="1"/>
        <s v="HP 200 CLR-72mm x 1371m-4 rls/cs-S 387.6" u="1"/>
        <s v="GS 490 WHI-48mm x 55m-24 rls/cs-H/A 222.4" u="1"/>
        <s v="HP 100 TAN-48mm x 100m-36 rls/cs-S 467.95" u="1"/>
        <s v="HP 200 CLR-72mm x 100m-24 rls/cs-S 2052.86" u="1"/>
        <s v="HP 100 CLR-72mm x 914m-4 rls/cs-S 7907.51" u="1"/>
        <s v="HP 200 BLU-72mm x 914m-4 rls/cs-NS 51611.44" u="1"/>
        <s v="FP 097 KFT-72mm x 55m-16 rls/cs-H/A 6876.79" u="1"/>
        <s v="CP 66L NAT-4in x 240yd-3 rls/cs-H 30621.9" u="1"/>
        <s v="GG 200 NAT-24mm x 33m-36 rls/cs-H 2532.95" u="1"/>
        <s v="HP 200 CLR-48mm x 100m-36 rls/cs-S 1672.24" u="1"/>
        <s v="HP 200 CLR-48mm x 100m-36 rls/cs-S 89.1" u="1"/>
        <s v="HP 200 YEL-48mm x 914m-6 rls/cs-H 781.41" u="1"/>
        <s v="GS 490 WHI-36mm x 55m-24 rls/cs-H/A 50.37" u="1"/>
        <s v="FP 097 KFT-72mm x 55m-16 rls/cs-H/A 1111.01" u="1"/>
        <s v="HP 200 ORG-48mm x 914m-6 rls/cs-H 5336.5" u="1"/>
        <s v="HP 200 CLR-48mm x 100m-36 rls/cs-S 6308.27" u="1"/>
        <s v="HP 200 CLR-48mm x 1371m-6 rls/cs-S 4516.32" u="1"/>
        <s v="HP 100 CLR-53mm x 1500m-6 rls/cs-S 3854.47" u="1"/>
        <s v="GS 521 CLR-18mm x 55m-48 rls/cs-H 664.33" u="1"/>
        <s v="HP 100 CLR-53mm x 1500m-6 rls/cs-S 3594.65" u="1"/>
        <s v="HP 100 CLR-72mm x 100m-24 rls/cs-S 43452.25" u="1"/>
        <s v="CT 109 NAT- 18MM X 66M- 96 RLS/CS-H 101.69" u="1"/>
        <s v="HP 235 CLR-72mm x 100m-24 rls/cs-H 7128" u="1"/>
        <s v="HP 300 CLR-72mm x 100m-24 RLS/CS-H 2972.37" u="1"/>
        <s v="HP 100 CLR-48mm x 914m-6 rls/cs-S 18584.11" u="1"/>
        <s v="HP 200 CLR-48mm x 100m-36 rls/cs-S 13529.67" u="1"/>
        <s v="HP 300 CLR-48mm x 1371m-6 rls/cs-H/A 35396.88" u="1"/>
        <s v="HM 016 CLR-48mm x 100m-36 rls/cs-S 709.93" u="1"/>
        <s v="HP 200 CLR-48mm x 1828m-6 rls/cs-S 26443.44" u="1"/>
        <s v="HP 300 CLR-48mm x 100m-36 rls/cs-H/A 1108.4" u="1"/>
        <s v="HP 500 CLR-72mm x 914m-4 rls/cs-S 55974.76" u="1"/>
        <s v="HP 500 CLR-72mm x 50m-24 rls/cs-H/A 2566.08" u="1"/>
        <s v="PC 745 MSL-48mm x 35yd-6 rls/cs-H 73.3" u="1"/>
        <s v="HM 016 CLR-48mm x 100m-36 rls/cs-S 709.94" u="1"/>
        <s v="PS 748 BLK-18mm x 55m-96 rls/cs-H 4334" u="1"/>
        <s v="SD 934  PISTOL GRIP TAPE DISPNSR PREM.-S " u="1"/>
        <s v="HP 200 CLR-48mm x 100m-36 rls/cs-S 771.97" u="1"/>
        <s v="HP 500 CLR-72mm x 914m-4 rls/cs-S 4392.27" u="1"/>
        <s v="FP 097 KFT-72mm x 55m-16 rls/cs-H/A 561.37" u="1"/>
        <s v="Phoenix E-1 Electric WAT Dispenser " u="1"/>
        <s v="HP 500 CLR-72mm x 914m-4 rls/cs-S 360867.79" u="1"/>
        <s v="HP 200 RED-48mm x 914m-6 rls/cs-H 0" u="1"/>
        <s v="HP 100 CLR-53mm x 1500m-6 rls/cs-S 13839.72" u="1"/>
        <s v="HP 242 WR SECURITY-72mm x 914m-4rl/cs-NS 11932.27" u="1"/>
        <s v="CP 106 NAT-48mm x 55m-24 rls/cs-S 570" u="1"/>
        <s v="CP 106 NAT-24mm x 55m-36 rls/cs-S 1003.62" u="1"/>
        <s v="GS 490 WHI-18mm x 55m-48 rls/cs-H/A 332.16" u="1"/>
        <s v="HP 200 CLR-48mm x 1500m-6 rls/cs-H 45507.28" u="1"/>
        <s v="DP 391 GLA-24mm x 50m-36 rls/cs-C " u="1"/>
        <s v="HP 100 CLR-72mm x 100m-24 rls/cs-S 2822.69" u="1"/>
        <s v="PP 803 CLR- 48mm X 50m- 36 rls/cs-H 439.44" u="1"/>
        <s v="SD 935, PISTOL GRIP DISPNSR-3 IN. ROLL-S 16.72" u="1"/>
        <s v="FP 097 KFT-18mm x 55m-48 rls/cs-X 63.68" u="1"/>
        <s v="HP 200 CLR-72mm x 1371m-4 rls/cs-S 535.55" u="1"/>
        <s v="HP 200 CLR-48mm x 914m-6 rls/cs-S 12043.47" u="1"/>
        <s v="HP 235 CLR-72mm x 914m-4 rls/cs-H 10158.99" u="1"/>
        <s v="HP 100 CLR-53mm x 1500m-6 rls/cs-S 40478.13" u="1"/>
        <s v="CP 631 GRN-18mm x 55m-48 rls/cs-H 375.41" u="1"/>
        <s v="HP 500 CLR-72mm x 914m-4 rls/cs-S 7593.7" u="1"/>
        <s v="HP 100 CLR-48mm x 914m-6 rls/cs-S 1850.42" u="1"/>
        <s v="CP 105 NAT-18mm x 55m-48 rls/cs-S 13685.76" u="1"/>
        <s v="HP 100 CLR-53mm x 1500m-6 rls/cs-S 3684.46" u="1"/>
        <s v="AP 180 CLR-48mm x 1371m-6 rls/cs-H 7356.1" u="1"/>
        <s v="HP 200 CLR-72mm x 914m-4 rls/cs-S 9964.96" u="1"/>
        <s v="SD 935, PISTOL GRIP DISPNSR-3 IN. ROLL-S 267.54" u="1"/>
        <s v="HP 100 TAN-48mm x 100m-36 rls/cs-S 2266.7" u="1"/>
        <s v="HP 200 CLR-48mm x 914m-6 rls/cs-S 9398.25" u="1"/>
        <s v="HP 500 CLR-72mm x 914m-4 rls/cs-S 4563.13" u="1"/>
        <s v="HP 200 CLR-48mm x 100m-36 rls/cs-S 7313.33" u="1"/>
        <s v="CP 631 RED-24mm x 55m-36 rls/cs-H 310.79" u="1"/>
        <s v="HP 132 CLR-72mm x 100m-24 rls/cs-H 15221.61" u="1"/>
        <s v="HP 200 CLR-72mm x 914m-4 rls/cs-S 8781.7" u="1"/>
        <s v="CP 66L NAT-4in x 240yd-3 rls/cs-H 57543.63" u="1"/>
        <s v="FP 115 BRN-72mm x 55m-16 rls/cs-H 439.56" u="1"/>
        <s v="HP 100 CLR-48mm x 100m-36 rls/cs-S 9153.06" u="1"/>
        <s v="SD 935  PISTOL GRIP DISPNSR-3 IN. ROLL-S 46.81" u="1"/>
        <s v="HP 200 WHI-72mm x 914m-4 rls/cs-H 5283.28" u="1"/>
        <s v="HP 300 CLR-48mm x 914m-6 rls/cs-H 2691.4" u="1"/>
        <s v="AP 201 CLR-48mm x 914m-6 rls/cs-H/A 491.83" u="1"/>
        <s v="GG 200 NAT-24mm x 33m-36 rls/cs-H 1325.81" u="1"/>
        <s v="HP 200 CLR-48mm x 100m-36 rls/cs-S 23094.7" u="1"/>
        <s v="HP 200 CLR-48mm x 914m-6 rls/cs-S 1822.4" u="1"/>
        <s v="CP 450 NAT-36mm x 55m-24 rls/cs-H 27366.29" u="1"/>
        <s v="HP 100 CLR-48mm x 100m-36 rls/cs-S 4968.22" u="1"/>
        <s v="SD 932  PISTOL GRIP TAPE DISP. ECONOMY-S 71.99" u="1"/>
        <s v="FP 097 KFT-48mm x 50m-24 rls/cs-H 3484.17" u="1"/>
        <s v="CP 083 NAT-48mm x 55m-24 rls/cs-S 822.1" u="1"/>
        <s v="EV 057 BLK-3/4in x 60ft-100 rls/cs-H/A " u="1"/>
        <s v="CP 106 NAT-24mm x 55m-36 rls/cs-S 1254.52" u="1"/>
        <s v="HP 400 CLR-48mm x 100m-36 rls/cs-H/A 2159.78" u="1"/>
        <s v="CP 631 GRN-24mm x 55m-36 rls/cs-H 388.48" u="1"/>
        <s v="HP 100 CLR-48mm x 100m-36 rls/cs-S 5136" u="1"/>
        <s v="HP 200 CLR-48mm x 1371m-6 rls/cs-S 1340.06" u="1"/>
        <s v="HP 200 CLR-72mm x 100m-24 rls/cs-S 55681.56" u="1"/>
        <s v="CP 083 NAT-48mm x 55m-24 rls/cs-S 760.32" u="1"/>
        <s v="SD 934, PISTOL GRIP TAPE DISPNSR PREM.-S " u="1"/>
        <s v="HP 100 CLR-48mm x 100m-36 rls/cs-S 7463.02" u="1"/>
        <s v="HP 235 CLR-72mm x 1371m-4 rls/cs-H 46688.4" u="1"/>
        <s v="HP 300 CLR-48mm x 100m-36 rls/cs-H/A 1247.4" u="1"/>
        <s v="HP 200 CLR-48mm x 914m-6 rls/cs-S 37008.59" u="1"/>
        <s v="HP 100 CLR-48mm x 1371m-6 rls/cs- S 3032.25" u="1"/>
        <s v="HP 200 CLR-48mm x 914m-6 rls/cs-S 17249.77" u="1"/>
        <s v="GS 490 WHI-24mm x 55m-36 rls/cs-H/A 239.5" u="1"/>
        <s v="HP 400 CLR-48mm x 914m-6 rls/cs-H/A 954.08" u="1"/>
        <s v="HP 400 CLR-48mm x 914m-6 rls/cs-H/A 4568.56" u="1"/>
        <s v="HP 100 CLR-72mm x 914m-4 rls/cs-S 5514.22" u="1"/>
        <s v="HP 235 CLR-72mm x 1371m-4 rls/cs-H 111987.8" u="1"/>
        <s v="HP 132 CLR-72mm x 914m-4 rls/cs-H/T 3849" u="1"/>
        <s v="HP 100 CLR-48mm x 100m-36 rls/cs-S 12771.59" u="1"/>
        <s v="AP 180 CLR-48mm x 914m-6 rls/cs-H/A 10355.56" u="1"/>
        <s v="HP 200 CLR-72mm x 1371m-4 rls/cs-S 387.61" u="1"/>
        <s v="AP 180 CLR-48mm x 100m-36 rls/cs-H/A 678.58" u="1"/>
        <s v="HP 200 CLR-72mm x 914m-4 rls/cs-H/A 2680.13" u="1"/>
        <s v="HP 400 CLR-48mm x 100m-36 rls/cs-H/A 1079.89" u="1"/>
        <s v="HP 100 CLR-48mm x 914m-6 rls/cs-S 2494.8" u="1"/>
        <s v="AP 201 CLR-48mm x 914m-6 rls/cs-H/A 1475.49" u="1"/>
        <s v="CP 101 NAT-24mm x 55m-36 rls/cs-H/T 604.45" u="1"/>
        <s v="HP 232 CLR-48mm x 914m-6 rls/cs-H/A 7897.12" u="1"/>
        <s v="AP 180 CLR-48mm x 914m-6 rls/cs-H/A 1389.96" u="1"/>
        <s v="SD 935, PISTOL GRIP DISPNSR-3 IN. ROLL-S 46.81" u="1"/>
        <s v="HP 100 CLR-48mm x 100m-36 rls/cs-S 5346" u="1"/>
        <s v="CP 66L NAT-4in x 240yd-3 rls/cs-H 51952.68" u="1"/>
        <s v="HP 200 CLR-48mm x 100m-36 rls/cs-S 4618.94" u="1"/>
        <s v="HP 100 CLR-53mm x 1500m-6 rls/cs-S 154.44" u="1"/>
        <s v="CP 105 NAT-72mm x 55m-16 rls/cs-H 37.7" u="1"/>
        <s v="DF 545 BLU-48mm x 33m-24 rls/cs-H 546.48" u="1"/>
        <s v="FP 096 KFT-48mm x 55m-24 rls/cs-S 479.95" u="1"/>
        <s v="PS 748 BLK-18mm x 55m-96 rls/cs-H 2109.88" u="1"/>
        <s v="FP 115 BRN-72mm x 55m-16 rls/cs-H 678.58" u="1"/>
        <s v="HP 200 CLR-48mm x 100m-36 rls/cs-S 2908.21" u="1"/>
        <s v="HP 200 CLR-48mm x 100m-36 rls/cs-S 13669.75" u="1"/>
        <s v="HP 232 CLR-48mm x 1371m-6 rls/cs-H/T 3474.9" u="1"/>
        <s v="HM 018 CLR-48mm x 100m-36 rls/cs-S 994.36" u="1"/>
        <s v="DF 065 NAT-18mm x 33m-48 rls/cs-H/A 1598.57" u="1"/>
        <s v="SD 934, PISTOL GRIP TAPE DISPNSR PREM.-S 1128.22" u="1"/>
        <s v="HP 100 CLR-48mm x 100m-36 rls/cs-S 786.93" u="1"/>
        <s v="FP 097 KFT-72mm x 55m-16 rls/cs-H/A 271.18" u="1"/>
        <s v="HP 100 CLR-53mm x 1500m-6 rls/cs-S 1934.06" u="1"/>
        <s v="HP 235 CLR-72mm x 100m-24 rls/cs-H 1164.24" u="1"/>
        <s v="HP 200 CLR-48mm x 1371m-6 rls/cs-H/A 21106.01" u="1"/>
        <s v="WP 150 WB NXG 70mmx138m(450FT)-10rl/cs 5287.19" u="1"/>
        <s v="CP 105 NAT-24mm x 55m- 36 rls/cs-S 333.6" u="1"/>
        <s v="HP 200 CLR-48mm x 914m-6 rls/cs-S 1060.89" u="1"/>
        <s v="HP 100 CLR-72mm x 100m-24 rls/cs-S 1770.6" u="1"/>
        <s v="HP 200 CLR-48mm x 100m-36 rls/cs-S 10285.69" u="1"/>
        <s v="HP 100 CLR-53mm x 1500m-6 rls/cs-S 18065.2" u="1"/>
        <s v="SD 934, PISTOL GRIP TAPE DISPNSR PREM.-S 120.88" u="1"/>
        <s v="HP 800 CLR-48mm x 914m-6 rls/cs-NS 6415.2" u="1"/>
        <s v="HP 200 CLR-48mm x 1828m-6 rls/cs-S 35645.47" u="1"/>
        <s v="HP 200 CLR-72mm x 100m-24 rls/cs-S 11319.25" u="1"/>
        <s v="HP 100 CLR-72mm x 100m-24 rls/cs-S 6543.51" u="1"/>
        <s v="HP 200 CLR-72mm x 1371m-4 rls/cs-S 5034.44" u="1"/>
        <s v="HP 100 CLR-72mm x 100m-24 rls/cs-S 2872.58" u="1"/>
        <s v="HP 100 CLR-53mm x 1500m-6 rls/cs-S 34128.88" u="1"/>
        <s v="AP 101 CLR-48mm x 100m-36 rls/cs-S 292.25" u="1"/>
        <s v="HP 100 CLR-48mm x 914m-6 rls/cs-S 2242.94" u="1"/>
        <s v="HP 200 CLR-72mm x 914m-4 rls/cs-S 11746.15" u="1"/>
        <s v="HP 100 CLR-53mm x 1500m-6 rls/cs-S 120718.14" u="1"/>
        <s v="HP 100 CLR-48mm x 914m-6 rls/cs-S 12773.38" u="1"/>
        <s v="HP 100 CLR-53mm x 1500m-6 rls/cs-S 9225.06" u="1"/>
        <s v="HP 200 CLR-48mm x 914m-6 rls/cs-S 1211.76" u="1"/>
        <s v="HP 100 CLR-72mm x 100m-24 rls/cs-S 1180.4" u="1"/>
        <s v="HP 300 CLR-48mm x 914m-6 rls/cs-H 1249.54" u="1"/>
        <s v="HP 100 CLR-72mm x 914m-4 rls/cs-S 13066.09" u="1"/>
        <s v="PE 444 RED- 48mm X 55m- 24 rls/cs-H/A 301.51" u="1"/>
        <s v="GG 200 NAT-24mm x 33m-36 rls/cs-H 1357.89" u="1"/>
        <s v="AP 180 CLR-48mm x 100m-36 rls/cs-H/A 8275.61" u="1"/>
        <s v="HP 200 CLR-72mm x 1371m-4 rls/cs-S 581.41" u="1"/>
        <s v="GS 490 WHI-18mm x 55m-48 rls/cs-H/A 16819.69" u="1"/>
        <s v="HP 100 CLR-72mm x 914m-4 rls/cs-S 873.97" u="1"/>
        <s v="HP 200 BLU-48mm x 914m-6 rls/cs-H 847.81" u="1"/>
        <s v="HP 500 CLR-72mm x 914m-4 rls/cs-S 55974.78" u="1"/>
        <s v="CP 631 RED-12mm x 55m-72 rls/cs-H 56.31" u="1"/>
        <s v="HP 200 CLR-72mm x 914m-4 rls/cs-H/A 9715.47" u="1"/>
        <s v="10977 SPARE BLADE (FILAMENT) FOR FE-3 " u="1"/>
        <s v="HP 500 CLR-72mm x 914m-4 rls/cs-S 14484.1" u="1"/>
        <s v="HP 235 CLR-72mm x 914m-4 rls/cs-H 3784.97" u="1"/>
        <s v="CP 106 NAT-72mm x 55m-16 rls/cs-S 20787.77" u="1"/>
        <s v="CP 106 NAT-36mm x 55m-24 rls/cs-S 34.45" u="1"/>
        <s v="CP 105 NAT-72mm x 55m-16 rls/cs-H 1363.84" u="1"/>
        <s v="HP 200 CLR-48mm x 914m-6 rls/cs-S 1659.64" u="1"/>
        <s v="HP 235 CLR-48mm x 100m-36 rls/cs-H 252.33" u="1"/>
        <s v="SD 932, PISTOL GRIP TAPE DISP. ECONOMY-S 27.22" u="1"/>
        <s v="HP 200 RED-48mm x 914m-6 rls/cs-H 520.93" u="1"/>
        <s v="HP 100 CLR-53mm x 1500m-6 rls/cs-S 9585.73" u="1"/>
        <s v="HP 100 TAN-48mm x 100m-36 rls/cs-S 3978.49" u="1"/>
        <s v="HP 100 CLR-48mm x 100m-36 rls/cs-S 9443.18" u="1"/>
        <s v="FP 097 KFT-36mm x 55m-24 rls/cs-H 0" u="1"/>
        <s v="HP 500 CLR-72mm x 914m-4 rls/cs-S 338863.7" u="1"/>
        <s v="HP 200 CLR-72mm x 914m-4 rls/cs-S 125" u="1"/>
        <s v="AP 180 CLR-72mm x 100m-24 rls/cs-H/A 4333.82" u="1"/>
        <s v="GS 490 WHI-48mm x 55m-24 rls/cs-H/A 772.2" u="1"/>
        <s v="HP 100 CLR-72mm x 100m-24 rls/cs-S 16879.12" u="1"/>
        <s v="HP 200 CLR-48mm x 914m-6 rls/cs-S 2494.8" u="1"/>
        <s v="CP 101 NAT-24mm x 55m-36 rls/cs-H/T 604.46" u="1"/>
        <s v="HP 100 CLR-48mm x 914m-6 rls/cs-S 2223.94" u="1"/>
        <s v="PC 609 SIL-48mm x 55m-24 rls/cs-H/A 5543.68" u="1"/>
        <s v="CP 106 NAT-72mm x 55m-16 rls/cs-S 578.63" u="1"/>
        <s v="DP 380 GLA-48mm x 50m-24 rls/cs-H 134.72" u="1"/>
        <s v="HP 100 CLR-53mm x 1500m-6 rls/cs-S 10380" u="1"/>
        <s v="HP 300 CLR-48mm x 100m-36 rls/cs-H/A 1995.84" u="1"/>
        <s v="WP 100 NAT-72mmx138m(450ft)-10rls/cs-H/A 668.25" u="1"/>
        <s v="GS 490 WHI-18mm x 55m-48 rls/cs-H/A 912.39" u="1"/>
        <s v="HP 200 CLR-48mm x 100m-36 rls/cs-S 1942.38" u="1"/>
        <s v="WP 100 NAT-70mmx138m(450ft)-10rls/cs-H/A 3106.12" u="1"/>
        <s v="HP 500 CLR-72mm x 50m-24 rls/cs-H/A 94089.6" u="1"/>
        <s v="GS 490 CLR-24mm x 55m-36 rls/cs-H/A " u="1"/>
        <s v="CP 083 NAT-24mm x 55m-36 rls/cs-S 539" u="1"/>
        <s v="HP 100 CLR-72mm x 1500m-4 rls/cs-H/T 14572" u="1"/>
        <s v="HP 200 CLR-48mm x 100m-36 rls/cs-S 4618.95" u="1"/>
        <s v="HP 100 CLR-48mm x 1371m-6 rls/cs- S 18167.84" u="1"/>
        <s v="HP 100 CLR-48mm x 1371m-6 rls/cs- S 9539.4" u="1"/>
        <s v="HP 500 TAN-72mm x 914m-4 rls/cs-H/A 24035.62" u="1"/>
        <s v="HM 016 CLR-72mm x 100m-24 rls/cs-H/A 445.5" u="1"/>
        <s v="HM 016 CLR-72mm x 100m-24 rls/cs-H/A 12885.52" u="1"/>
        <s v="AP 180 CLR-48mm x 100m-36 rls/cs-H/A 285.12" u="1"/>
        <s v="CP 105 NAT-24mm x 55m- 36 rls/cs-S 949.45" u="1"/>
        <s v="HP 200 CLR-48mm x 100m-36 rls/cs-S 2908.22" u="1"/>
        <s v="AP 201 CLR-72mm x 100m-24 rls/cs-H/A 625.35" u="1"/>
        <s v="HP 100 CLR-72mm x 100m-24 rls/cs-S 14652.82" u="1"/>
        <s v="DT 200 GLA-48mm x 50m-24 rls/cs-H 132.34" u="1"/>
        <s v="HP 100 CLR-48mm x 100m-36 rls/cs-S 2328.72" u="1"/>
        <s v="03042 SPARE CLEAR WIPER FOR FE-3 65.83" u="1"/>
        <s v="HP 200 BLU-48mm x 914m-6 rls/cs-H 441.04" u="1"/>
        <s v="HP 200 CLR-48mm x 100m-36 rls/cs-S 776.95" u="1"/>
        <s v="HP 200 CLR-72mm x 100m-24 rls/cs-S 2892.07" u="1"/>
        <s v="HP 200 CLR-72mm x 914m-4 rls/cs-S 14471.04" u="1"/>
        <s v="DP 401 GLA-13in x 36yd-4 *DO NOT USE* 1174.06" u="1"/>
        <s v="SD 935  PISTOL GRIP DISPNSR-3 IN. ROLL-S 66.81" u="1"/>
        <s v="HP 200 CLR-48mm x 914m-6 rls/cs-S 627" u="1"/>
        <s v="HP 200 TAN-48mm x 914m-6 rls/cs-H 2911.08" u="1"/>
        <s v="HP 100 CLR-72mm x 100m-24 rls/cs-S 7268.19" u="1"/>
        <s v="AP 201 CLR-48mm x 100m-36 rls/cs-H/A 23094.72" u="1"/>
        <s v="SD 935  PISTOL GRIP DISPNSR-3 IN. ROLL-S 245.92" u="1"/>
        <s v="AP 180 TAN-48mm x 100m-36 rls/cs-H 2245.32" u="1"/>
        <s v="HP 100 CLR-53mm x 1500m-6 rls/cs-S 14900.38" u="1"/>
        <s v="WP 100 NAT-70mm x 153m(500ft)-6 rls/cs-H 1861.12" u="1"/>
        <s v="WP 300 NAT-76mmx138m(450ft)-10rls/cs-H/A 576.27" u="1"/>
        <s v="AP 180 CLR-72mm x 100m-24 rls/cs-H/A 940.9" u="1"/>
        <s v="HP 240 WR STOP-48mm x 914m-6 rls/cs-H 6989.95" u="1"/>
        <s v="HP 200 BLU-48mm x 914m-6 rls/cs-H 1976" u="1"/>
        <s v="HP 100 CLR-72mm x 100m-24 rls/cs-S 883.87" u="1"/>
        <s v="HM 018 CLR-48mm x 100m-36 rls/cs-X 994.36" u="1"/>
        <s v="HP 232 CLR-48mm x 1371m-6 rls/cs-H/T 8425.3" u="1"/>
        <s v="HP 200 RED-48mm x 914m-6 rls/cs-H 119" u="1"/>
        <s v="HP 100 CLR-72mm x 100m-24 rls/cs-S 17477.87" u="1"/>
        <s v="HP 232 CLR-72mm x 914m-4 rls/cs-H/A 40061.26" u="1"/>
        <s v="HP 100 CLR-48mm x 100m-36 rls/cs-S 5176" u="1"/>
        <s v="HP 500 CLR-72mm x 914m-4 rls/cs-S 66012.4" u="1"/>
        <s v="HP 200 CLR-48mm x 914m-6 rls/cs-S 12773.38" u="1"/>
        <s v="HP 100 CLR-48mm x 914m-6 rls/cs-S 16244.72" u="1"/>
        <s v="HP 100 CLR-53mm x 1500m-6 rls/cs-S 967.03" u="1"/>
        <s v="GS 490 CLR-18mm x 55m-48 rls/cs-H/A 658.63" u="1"/>
        <s v="HP 200 CLR-48mm x 914m-6 rls/cs-S 2822.68" u="1"/>
        <s v="HP 500 CLR-48mm x 914m-6 rls/cs-H 4864.86" u="1"/>
        <s v="CP 105 NAT-12mm x 55m-72 rls/cs-H 430.54" u="1"/>
        <s v="HM 016 CLR-72mm x 100m-24 rls/cs-H/A 7912.08" u="1"/>
        <s v="DP 050 CLR-48mm x 50m-24 rls/cs-H 1581.45" u="1"/>
        <s v="HP 200 CLR-48mm x 914m-6 rls/cs-S 2822.69" u="1"/>
        <s v="HP 100 CLR-48mm x 914m-6 rls/cs-S 22653.72" u="1"/>
        <s v="HP 100 CLR-48mm x 1371m-6 rls/cs- S 22258.6" u="1"/>
        <s v="HP 132 CLR-48mm x 914m-6 rls/cs-H/T " u="1"/>
        <s v="HP 500 CLR-72mm x 914m-4 rls/cs-S 3149.16" u="1"/>
        <s v="HP 200 RED-48mm x 914m-6 rls/cs-H 740.96" u="1"/>
        <s v="GS 490 WHI-12mm x 55m-72 rls/cs-H/A 24999.34" u="1"/>
        <s v="HP 100 CLR-72mm x 1371m-4 rls/cs-H/T 6198.51" u="1"/>
        <s v="HP 100 CLR-72mm x 1500m-4 rls/cs-H/T 13030" u="1"/>
        <s v="CP 631 RED-24mm x 55m-36 rls/cs-H 908.83" u="1"/>
        <s v="AP 201 CLR-48mm x 914m-6 rls/cs-H/A 1736.5" u="1"/>
        <s v="AP 180 CLR-72mm x 1371m-4 rls/cs-H 42853.54" u="1"/>
        <s v="HP 200 CLR-48mm x 914m-6 rls/cs-S 376.36" u="1"/>
        <s v="HP 100 CLR-48mm x 1371m-6 rls/cs- S 17682" u="1"/>
        <s v="CP 450 NAT-36mm x 55m-24 rls/cs-H 19487.96" u="1"/>
        <s v="HP 200 TAN-72mm x 100m-24 rls/cs-H/A 1268.78" u="1"/>
        <s v="WP 100 NAT-72mmx138m(450ft)-10rls/cs-H/A 1462.72" u="1"/>
        <s v="HM 016 CLR-48mm x 914m-6 rls/cs-H/A 13382.8" u="1"/>
        <s v="HP 100 CLR-48mm x 100m-36 rls/cs-S 16936.11" u="1"/>
        <s v="HP 200 RED-48mm x 100m-36 rls/cs-H 148.26" u="1"/>
        <s v="HM 016 CLR-72mm x 100m-24 rls/cs-H 1288.03" u="1"/>
        <s v="CP 66L NAT-4in x 240yd-3 rls/cs-H 49377.8" u="1"/>
        <s v="HM 016 CLR-72mm x 100m-24 rls/cs-H/A 5345.99" u="1"/>
        <s v="HP 100 CLR-53mm x 1500m-6 rls/cs-S 10133.37" u="1"/>
        <s v="GS 490 CLR-18mm x 55m-48 rls/cs-H/A 508.46" u="1"/>
        <s v="GS 501 WHI-24mm x 55m-36 rls/cs-H/A 513.22" u="1"/>
        <s v="HP 200 CLR-48mm x 914m-6 rls/cs-S 56652.41" u="1"/>
        <s v="HP 100 CLR-72mm x 914m-4 rls/cs-S 20830.88" u="1"/>
        <s v="HP 200 CLR-48mm x 100m-36 rls/cs-S 6158.58" u="1"/>
        <s v="CP 106 NAT-48mm x 55m-24 rls/cs-S 1938.81" u="1"/>
        <s v="SD 934  PISTOL GRIP TAPE DISPNSR PREM.-S 21.14" u="1"/>
        <s v="HP 200 CLR-72mm x 100m-24 rls/cs-S 4216" u="1"/>
        <s v="CP 106 NAT-72mm x 55m-16 rls/cs-S 982.08" u="1"/>
        <s v="FP 202 NAT-48mm x 55m-24 rls/cs-H " u="1"/>
        <s v="HP 200 CLR-48mm x 914m-6 rls/cs-S 10093.24" u="1"/>
        <s v="HP 500 TAN-48mm x 50m-36 rls/cs-H 214.55" u="1"/>
        <s v="HP 400 CLR-48mm x 914m-6 rls/cs-H/A 17312.48" u="1"/>
        <s v="HP 400 CLR-48mm x 914m-6 rls/cs-H/A 3228.98" u="1"/>
        <s v="GS 521 WHI-18mm x 55m-48 rls/cs-H 463.8" u="1"/>
        <s v="FP 097 KFT-72mm x 55m-16 rls/cs-H/A 491.19" u="1"/>
        <s v="HP 200 CLR-48mm x 1500m-6 rls/cs-H 56056.03" u="1"/>
        <s v="HP 500 CLR-72mm x 914m-4 rls/cs-S 304975.78" u="1"/>
        <s v="HP 100 CLR-48mm x 1828m-6 rls/cs-H/T 2093.26" u="1"/>
        <s v="HP 100 CLR-48mm x 1371m-6 rls/cs- S 9552.24" u="1"/>
        <s v="HM 018 CLR-72mm x 100m-24 rls/cs-H/A 12602.3" u="1"/>
        <s v="HP 200 BLU-48mm x 914m-6 rls/cs-H 667.07" u="1"/>
        <s v="FE-2 Folded-Edge Tape Dispenser 142.56" u="1"/>
        <s v="HP 500 CLR-72mm x 914m-4 rls/cs-S 326519.41" u="1"/>
        <s v="HM 016 CLR-48mm x 100m-36 rls/cs-S 148" u="1"/>
        <s v="HP 100 CLR-48mm x 100m-36 rls/cs-S 523.91" u="1"/>
        <s v="GS 521 CLR-18mm x 55m-48 rls/cs-H 231.9" u="1"/>
        <s v="HP 200 CLR-72mm x 914m-4 rls/cs-S 4328.13" u="1"/>
        <s v="HP 200 CLR-48mm x 914m-6 rls/cs-S 49338.36" u="1"/>
        <s v="CP 105 NAT-24mm x 55m- 36 rls/cs-S 124.74" u="1"/>
        <s v="HP 500 CLR-48mm x 914m-6 rls/cs-H 2680.43" u="1"/>
        <s v="FP 097 KFT-36mm x 55m-24 rls/cs-H 824.71" u="1"/>
        <s v="HP 200 CLR-48mm x 200m-36 rls/cs-H 995.78" u="1"/>
        <s v="HP 200 CLR-48mm x 100m-36 rls/cs-S 4248.65" u="1"/>
        <s v="CP 105 NAT-18mm x 55m-48 rls/cs-S 26960.92" u="1"/>
        <s v="HP 200 CLR-48mm x 100m-36 rls/cs-S 9273.57" u="1"/>
        <s v="HP 200 CLR-48mm x 1828m-6 rls/cs-S 31754.61" u="1"/>
        <s v="HP 100 CLR-72mm x 1500m-4 rls/cs-H/T 29219.13" u="1"/>
        <s v="AP 180 CLR-48mm x 100m-36 rls/cs-H/A 456.19" u="1"/>
        <s v="HP 100 CLR-72mm x 1500m-4 rls/cs-H/T 13451.97" u="1"/>
        <s v="HP 100 CLR-72mm x 914m-4 rls/cs-S 504.31" u="1"/>
        <s v="HP 200 CLR-48mm x 100m-36 rls/cs-S 4768.64" u="1"/>
        <s v="HP 232 CLR-48mm x 914m-6 rls/cs-H/A 3983.42" u="1"/>
        <s v="HP 300 CLR-48mm x 100m-36 rls/cs-H/A 759.13" u="1"/>
        <s v="HP 200 CLR-48mm x 1371m-6 rls/cs-S 4056.54" u="1"/>
        <s v="HP 100 CLR-72mm x 1500m-4 rls/cs-H/T 41259.77" u="1"/>
        <s v="AP 101 CLR-48mm x 100m-36 rls/cs-S 456.19" u="1"/>
        <s v="HP 100 CLR-53mm x 1500m-6 rls/cs-S 5138.1" u="1"/>
        <s v="HP 200 CLR-48mm x 1828m-6 rls/cs-S 9346.01" u="1"/>
        <s v="GS 490 WHI-12mm x 55m-72 rls/cs-H/A 778.39" u="1"/>
        <s v="CP 106 NAT-12mm x 55m-72 rls/cs-H/A 718.51" u="1"/>
        <s v="HP 200 ORG-48mm x 914m-6 rls/cs-H 381.53" u="1"/>
        <s v="HP 500 CLR-72mm x 914m-4 rls/cs-S 323668.89" u="1"/>
        <s v="HP 200 YEL-48mm x 914m-6 rls/cs-H 1600.94" u="1"/>
        <s v="HP 232 CLR-48mm x 914m-6 rls/cs-H/A 1643" u="1"/>
        <s v="HP 200 WHI-48mm x 100m-36 rls/cs-H 2262.08" u="1"/>
        <s v="HP 500 CLR-48mm x 914m-6 rls/cs-H 1045.5" u="1"/>
        <s v="HP 200 CLR-72mm x 914m-4 rls/cs-S 5360.26" u="1"/>
        <s v="HP 100 CLR-53mm x 1500m-6 rls/cs-S 9665.56" u="1"/>
        <s v="HP 200 GRN-48mm x 914m-6 rls/cs-H/A 361.8" u="1"/>
        <s v="AP 180 CLR-48mm x 1371m-6 rls/cs-H 17321.01" u="1"/>
        <s v="GS 490 WHI-18mm x 55m-48 rls/cs-H/A 1938.81" u="1"/>
        <s v="HP 400 CLR-72mm x 50m-24 rls/cs-H 1363.82" u="1"/>
        <s v="HP 232 CLR-72mm x 914m-4 rls/cs-H/A 8424.34" u="1"/>
        <s v="CP 631 GRN-24mm x 55m-36 rls/cs-H 80.19" u="1"/>
        <s v="HP 100 CLR-72mm x 914m-4 rls/cs-S 18445" u="1"/>
        <s v="HM 018 CLR-48mm x 100m-36 rls/cs-S 962.28" u="1"/>
        <s v="HP 232 CLR-48mm x 100m-36 rls/cs-H/A 1069.91" u="1"/>
        <s v="CP 106 NAT-48mm x 55m-24 rls/cs-S 2941.96" u="1"/>
        <s v="CP 101 NAT-24mm x 55m-36 rls/cs-H/T 944.46" u="1"/>
        <s v="HP 100 CLR-48mm x 1371m-6 rls/cs-H/A/T 5388.76" u="1"/>
        <s v="WP 100 NAT-70mmx138m(450ft)-10rls/cs-H/A 582.12" u="1"/>
        <s v="HP 200 CLR-48mm x 100m-36 rls/cs-S 6158.59" u="1"/>
        <s v="HM 018 CLR-72mm x 100m-24 rls/cs-H 11689.92" u="1"/>
        <s v="HP 232 CLR-72mm x 914m-4 rls/cs-H/A 5485.71" u="1"/>
        <s v="HP 100 CLR-48mm x 1371m-6 rls/cs- S 65007.36" u="1"/>
        <s v="CP 083 NAT-48mm x 55m-24 rls/cs-S 518.92" u="1"/>
        <s v="HM 016 CLR-72mm x 100m-24 rls/cs-H/A 2197.8" u="1"/>
        <s v="HM 016 CLR-72mm x 100m-24 rls/cs-H/A 866.05" u="1"/>
        <s v="HP 100 CLR-48mm x 1371m-6 rls/cs- S 39496.26" u="1"/>
        <s v="HP 100 CLR-48mm x 100m-36 rls/cs-S 7253.46" u="1"/>
        <s v="HP 200 CLR-48mm x 100m-36 rls/cs-S 7253.45" u="1"/>
        <s v="HP 200 CLR-48mm x 100m-36 rls/cs-S 11547.36" u="1"/>
        <s v="HP 200 CLR-48mm x 1828m-6 rls/cs-S 1255.12" u="1"/>
        <s v="HP 200 CLR-48mm x 914m-6 rls/cs-S 10093.25" u="1"/>
        <s v="HP 200 CLR-72mm x 914m-4 rls/cs-S 17647.03" u="1"/>
        <s v="HP 200 CLR-72mm x 100m-24 rls/cs-S 3928.94" u="1"/>
        <s v="HP 200 TAN-48mm x 914m-6 rls/cs-H 4153.85" u="1"/>
        <s v="FE 53 Folded-Edge Tape Dispenser 49.5" u="1"/>
        <s v="HM 018 CLR-72mm x 100m-24 rls/cs-H 4124.26" u="1"/>
        <s v="WP 100 NAT-72mmx138m(450ft)-10rls/cs-H/A 1607" u="1"/>
        <s v="CP 631 GRN-18mm x 55m-48 rls/cs-H 277.52" u="1"/>
        <s v="FE-3 Folded-Edge Tape Dispenser - H 59.4" u="1"/>
        <s v="CP 066 NAT-24mm x 55m-36 rls/cs-X 8332.64" u="1"/>
        <s v="HP 200 BLU-72mm x 914m-4 rls/cs-NS 57654.08" u="1"/>
        <s v="SD 934  PISTOL GRIP TAPE DISPNSR PREM.-S 188.86" u="1"/>
        <s v="HP 100 CLR-72mm x 100m-24 rls/cs-S 11979.32" u="1"/>
        <s v="HP 300 CLR-48mm x 100m-36 rls/cs-H/A 3596.07" u="1"/>
        <s v="AP 101 CLR-48mm x 100m-36 rls/cs-S 5613.3" u="1"/>
        <s v="HP 100 CLR-48mm x 100m-36 rls/cs-S 3303.81" u="1"/>
        <s v="HP 300 CLR-48mm x 1371m-6 rls/cs-H/A 86644.82" u="1"/>
        <s v="HP 200 GRN-48mm x 914m-6 rls/cs-H/A 781" u="1"/>
        <s v="HP 200 CLR-72mm x 100m-24 rls/cs-S 8083.15" u="1"/>
        <s v="HP 200 CLR-72mm x 100m-24 rls/cs-S 3098.31" u="1"/>
        <s v="HP 100 CLR-53mm x 1500m-6 rls/cs-S 21390.41" u="1"/>
        <s v="DP 050 CLR-48mm x 50m-24 rls/cs-H 954.68" u="1"/>
        <s v="HP 232 CLR-72mm x 914m-4 rls/cs-H/A 6593.4" u="1"/>
        <s v="HP 100 CLR-53mm x 1500m-6 rls/cs-S 59409.54" u="1"/>
        <s v="HP 100 CLR-48mm x 100m-36 rls/cs-S 4588.65" u="1"/>
        <s v="FP 115 BRN-72mm x 55m-16 rls/cs-H 10486.08" u="1"/>
        <s v="HP 200 BLU-72mm x 914m-4 rls/cs-NS 19545.13" u="1"/>
        <s v="HP 200 CLR-72mm x 100m-24 rls/cs-S 245" u="1"/>
        <s v="HP 200 CLR-72mm x 1371m-4 rls/cs-S 90441.51" u="1"/>
        <s v="HP 500 CLR-72mm x 914m-4 rls/cs-S 200249.75" u="1"/>
        <s v="WP 100 WHI-70mm x 138m(450ft)-10rls/cs-H " u="1"/>
        <s v="HP 100 CLR-72mm x 1500m-4 rls/cs-H/T 33629.93" u="1"/>
        <s v="HP 500 CLR-72mm x 914m-4 rls/cs-S 110020.68" u="1"/>
        <s v="WP 100 NAT-70mmx138m(450ft)-10rls/cs-H/A 2363.13" u="1"/>
        <s v="AP 180 CLR-48mm x 100m-36 rls/cs-H/A 125.45" u="1"/>
        <s v="HP 500 CLR-72mm x 914m-4 rls/cs-S 406659.54" u="1"/>
        <s v="HP 100 CLR-53mm x 1500m-6 rls/cs-S 5158.3" u="1"/>
        <s v="VP 410 BLK-50mm x 33m-24 rls/cs-H 300.33" u="1"/>
        <s v="HP 500 CLR-72mm x 50m-24 rls/cs-H/A 32931.36" u="1"/>
        <s v="HP 200 CLR-48mm x 1371m-6 rls/cs-S 2489.1" u="1"/>
        <s v="HP 232 CLR-48mm x 914m-6 rls/cs-H/A 1462.43" u="1"/>
        <s v="HP 100 CLR-48mm x 100m-36 rls/cs-S 21417.15" u="1"/>
        <s v="AP 180 CLR-72mm x 100m-24 rls/cs-H/A 13771.3" u="1"/>
        <s v="HP 200 CLR-48mm x 914m-6 rls/cs-S 1020.73" u="1"/>
        <s v="WP 150 BLU HEART-72mmx138m(450FT)-10r/cs 3738.24" u="1"/>
        <s v="HP 500 CLR-72mm x 50m-24 rls/cs-H/A 176452.23" u="1"/>
        <s v="CP 631 GRN-18mm x 55m-48 rls/cs-H 150" u="1"/>
        <s v="HM 016 CLR-72mm x 100m-24 rls/cs-H 674.78" u="1"/>
        <s v="AP 101 CLR-48mm x 100m-36 rls/cs-S 409.15" u="1"/>
        <s v="HP 200 CLR-48mm x 1371m-6 rls/cs-S 10001.31" u="1"/>
        <s v="CP 105 NAT-72mm x 55m-16 rls/cs-H 1769.66" u="1"/>
        <s v="HP 200 ORG-48mm x 914m-6 rls/cs-H 7704.65" u="1"/>
        <s v="HM 018 CLR-72mm x 100m-24 rls/cs-H/A 3877.63" u="1"/>
        <s v="WP 150 BLU PURINA 72mmx138m-10rl/cs-NS 3712.5" u="1"/>
        <s v="HM 016 CLR-48mm x 100m-36 rls/cs-S 354.97" u="1"/>
        <s v="CP 450 NAT-72mm x 55m-16 rls/cs-NS 2294.26" u="1"/>
        <s v="HP 500 CLR-72mm x 914m-4 rls/cs-S 363965.49" u="1"/>
        <s v="HP 100 CLR-48mm x 914m-6 rls/cs-S 3888.81" u="1"/>
        <s v="HP 200 CLR-48mm x 1371m-6 rls/cs-S 21674.8" u="1"/>
        <s v="HP 500 CLR-72mm x 50m-24 rls/cs-H/A 81359" u="1"/>
        <s v="HP 200 CLR-72mm x 100m-24 rls/cs-S 7741" u="1"/>
        <s v="HP 100 CLR-72mm x 100m-24 rls/cs-S 441.94" u="1"/>
        <s v="HP 200 GRN-72mm x 100m-24 rls/cs-H " u="1"/>
        <s v="GS 531 WHI-36mm x 55m-24 rls/cs-H 6812.47" u="1"/>
        <s v="HP 200 CLR-48mm x 914m-6 rls/cs-S 2613.6" u="1"/>
        <s v="HP 300 CLR-48mm x 100m-36 rls/cs-H/A 411.64" u="1"/>
        <s v="AP 101 CLR-48mm x 914m-6 rls/cs-H 461.54" u="1"/>
        <s v="HP 200 CLR-48mm x 914m-6 rls/cs-S 10093.26" u="1"/>
        <s v="HP 200 CLR-72mm x 914m-4 rls/cs-S 12231.65" u="1"/>
        <s v="HP 100 CLR-48mm x 914m-6 rls/cs-S 560.74" u="1"/>
        <s v="HP 100 CLR-48mm x 914m-6 rls/cs-S 1233.61" u="1"/>
        <s v="HP 200 CLR-48mm x 100m-36 rls/cs-S 6821" u="1"/>
        <s v="CP 106 NAT-72mm x 55m-16 rls/cs-S 254.71" u="1"/>
        <s v="HP 100 CLR-48mm x 914m-6 rls/cs-S 1233.62" u="1"/>
        <s v="HP 200 BLU-72mm x 914m-4 rls/cs-NS 6546.2" u="1"/>
        <s v="HP 200 CLR-48mm x 100m-36 rls/cs-S 8191.5" u="1"/>
        <s v="HP 100 CLR-48mm x 1828m-6 rls/cs-S 1175.53" u="1"/>
        <s v="HP 100 CLR-72mm x 100m-24 rls/cs-S 6603.37" u="1"/>
        <s v="WP 150 GRN CAP 72mm x 138m - 10rls/cs NS 6985.44" u="1"/>
        <s v="HP 100 CLR-48mm x 100m-36 rls/cs-S 36.71" u="1"/>
        <s v="FP 115 BRN-72mm x 55m-16 rls/cs-H 193.88" u="1"/>
        <s v="HP 200 CLR-72mm x 914m-4 rls/cs-S 239.03" u="1"/>
        <s v="HM 016 CLR-72mm x 100m-24 rls/cs-H/A 1753.01" u="1"/>
        <s v="HP 200 CLR-53mm x 1371m-6 rls/cs-H 114361.66" u="1"/>
        <s v="HP 200 CLR-48mm x 914m-6 rls/cs-S 345.71" u="1"/>
        <s v="HP 500 CLR-72mm x 914m-4 rls/cs-S 559747.57" u="1"/>
        <s v="FP 115 BRN-96mm x 55m-12 rls/cs-H " u="1"/>
        <s v="HP 100 CLR-48mm x 100m-36 rls/cs-S 917.73" u="1"/>
        <s v="GS 490 CLR-48mm x 55m-24 rls/cs-H/A 13172.54" u="1"/>
        <s v="HP 100 CLR-53mm x 1500m-6 rls/cs-S 34036.92" u="1"/>
        <s v="CP 66L NAT-4in x 240yd-3 rls/cs-H 131531.37" u="1"/>
        <s v="WP 100 WHI-70mm x 138m(450ft)-10rls/cs-H 17735.85" u="1"/>
        <s v="CP 450 NAT-72mm x 55m-16 rls/cs-NS 6158.6" u="1"/>
        <s v="HP 200 CLR-48mm x 100m-36 rls/cs-S 4268.96" u="1"/>
        <s v="HP 100 CLR-48mm x 100m-36 rls/cs-S 5003.86" u="1"/>
        <s v="CP 66L NAT-18mm x 55m-48 rls/cs-H 1360.02" u="1"/>
        <s v="HP 200 CLR-48mm x 1500m-6 rls/cs-H 7411.7" u="1"/>
        <s v="AP 401 CLR-48mm x 50m-36 rls/cs-H 54.89" u="1"/>
        <s v="HM 016 CLR-48mm x 914m-6 rls/cs-H/A 4639.38" u="1"/>
        <s v="HP 235 CLR-72mm x 1371m-4 rls/cs-H 98330.75" u="1"/>
        <s v="HP 100 CLR-72mm x 100m-24 rls/cs-S 4433.62" u="1"/>
        <s v="HP 100 CLR-48mm x 100m-36 rls/cs-S 26564.62" u="1"/>
        <s v="HP 100 CLR-72mm x 100m-24 rls/cs-S 4276.8" u="1"/>
        <s v="HP 100 CLR-72mm x 914m-4 rls/cs-S 56.03" u="1"/>
        <s v="HP 300 CLR-72mm x 100m-24 RLS/CS-H 73766.28" u="1"/>
        <s v="HP 200 CLR-48mm x 100m-36 rls/cs-S 12047.76" u="1"/>
        <s v="AP 180 CLR-48mm x 100m-36 rls/cs-H/A 1603.8" u="1"/>
        <s v="HP 200 CLR-72mm x 100m-24 rls/cs-S 38063.52" u="1"/>
        <s v="CP 106 NAT-72mm x 55m-16 rls/cs-S 117.85" u="1"/>
        <s v="HP 100 CLR-72mm x 100m-24 rls/cs-S 2506.2" u="1"/>
        <s v="HP 200 CLR-72mm x 914m-4 rls/cs-S 8781.69" u="1"/>
        <s v="HP 100 CLR-48mm x 100m-36 rls/cs-S 2438.85" u="1"/>
        <s v="HP 200 CLR-72mm x 1371m-4 rls/cs-S 3104.96" u="1"/>
        <s v="HP 235 CLR-72mm x 1371m-4 rls/cs-H 47881.55" u="1"/>
        <s v="50558 2&quot; RH CLUTCH ROLLER " u="1"/>
        <s v="AP 201 CLR-48mm x 1371m-6 rls/cs-H/A 22752.56" u="1"/>
        <s v="HP 300 CLR-48mm x 1371m-6 rls/cs-H/A 13614.18" u="1"/>
        <s v="HP 500 CLR-72mm x 50m-24 rls/cs-H/A 6030.29" u="1"/>
        <s v="HP 232 CLR-48mm x 1371m-6 rls/cs-H/T 17374.5" u="1"/>
        <s v="HP 200 BLU-48mm x 914m-6 rls/cs-H 944.82" u="1"/>
        <s v="HP 232 CLR-48mm x 914m-6 rls/cs-H/A 3877.63" u="1"/>
        <s v="AP 180 CLR-72mm x 100m-24 rls/cs-H/A 11205.21" u="1"/>
        <s v="GS 490 WHI-9mm x 55m-96 rls/cs-H 3869.08" u="1"/>
        <s v="HP 100 CLR-72mm x 914m-4 rls/cs-S 8124.93" u="1"/>
        <s v="HP 240 WR STOP-48mm x 100m-36 rls/cs-H 1040.69" u="1"/>
        <s v="HP 100 CLR-72mm x 100m-24 rls/cs-S 833.74" u="1"/>
        <s v="HP 100 CLR-48mm x 1371m-6 rls/cs-H/A/T 5388.77" u="1"/>
        <s v="SD 934, PISTOL GRIP TAPE DISPNSR PREM.-S 926.76" u="1"/>
        <s v="HP 100 CLR-48mm x 1371m-6 rls/cs- S 13610.9" u="1"/>
        <s v="HP 200 CLR-48mm x 1828m-6 rls/cs-S 3765.37" u="1"/>
        <s v="HP 100 CLR-53mm x 1500m-6 rls/cs-S 17973.25" u="1"/>
        <s v="HP 200 CLR-48mm x 1371m-6 rls/cs-S 12908.67" u="1"/>
        <s v="HP 400 TAN-48mm x 100m-36 rls/cs-H 285.83" u="1"/>
        <s v="GG 200 NAT-24mm x 33m-36 rls/cs-H 1109.83" u="1"/>
        <s v="GS 490 WHI-12mm x 55m-72 rls/cs-H/A 461.9" u="1"/>
        <s v="GS 490 WHI-24mm x 55m-36 rls/cs-H/A 486.13" u="1"/>
        <s v="CP 105 NAT-18mm x 55m-48 rls/cs-S 5565.54" u="1"/>
        <s v="HP 232 CLR-48mm x 914m-6 rls/cs-H/A 6204.21" u="1"/>
        <s v="HP 200 CLR-72mm x 914m-4 rls/cs-S 18065.2" u="1"/>
        <s v="HP 200 CLR-72mm x 914m-4 rls/cs-S 9989.81" u="1"/>
        <s v="HP 200 CLR-72mm x 914m-4 rls/cs-S 478.05" u="1"/>
        <s v="HP 100 CLR-72mm x 100m-24 rls/cs-S 1878.21" u="1"/>
        <s v="HP 100 TAN-48mm x 100m-36 rls/cs-S 7839.37" u="1"/>
        <s v="HP 100 CLR-72mm x 100m-24 rls/cs-S 44079.55" u="1"/>
        <s v="HP 100 CLR-53mm x 1500m-6 rls/cs-S 22778.23" u="1"/>
        <s v="HM 016 CLR-72mm x 100m-24 rls/cs-H/A 6614.78" u="1"/>
        <s v="HP 500 CLR-72mm x 50m-24 rls/cs-H/A 17641.8" u="1"/>
        <s v="HP 300 CLR-48mm x 914m-6 rls/cs-H 1293.38" u="1"/>
        <s v="HP 500 CLR-48mm x 914m-6 rls/cs-H 14594.58" u="1"/>
        <s v="HP 100 CLR-48mm x 914m-6 rls/cs-S " u="1"/>
        <s v="HP 100 CLR-53mm x 1500m-6 rls/cs-S 9695.87" u="1"/>
        <s v="HP 200 CLR-48mm x 100m-36 rls/cs-S 3923.61" u="1"/>
        <s v="AP 180 CLR-48mm x 100m-36 rls/cs-H/A 10520.93" u="1"/>
        <s v="CP 106 NAT-24mm x 55m-36 rls/cs-S 1458.38" u="1"/>
        <s v="HP 200 CLR-48mm x 914m-6 rls/cs-S 741" u="1"/>
        <s v="HP 200 CLR-48mm x 914m-6 rls/cs-S 1493.55" u="1"/>
        <s v="AP 401 CLR-48mm x 100m-36 rls/cs-H/A 235.22" u="1"/>
        <s v="HP 200 CLR-48mm x 914m-6 rls/cs-S 3011" u="1"/>
        <s v="HP 200 RED-48mm x 914m-6 rls/cs-H 617.46" u="1"/>
        <s v="HP 300 CLR-48mm x 914m-6 rls/cs-H 1404.21" u="1"/>
        <s v="HP 100 CLR-48mm x 914m-6 rls/cs-S 36823.27" u="1"/>
        <s v="HP 100 TAN-48mm x 100m-36 rls/cs-S 2153.37" u="1"/>
        <s v="HP 300 CLR-48mm x 914m-6 rls/cs-H 1404.22" u="1"/>
        <s v="HP 200 CLR-48mm x 100m-36 rls/cs-S 5003.86" u="1"/>
        <s v="HP 500 CLR-72mm x 914m-4 rls/cs-S 85393.44" u="1"/>
        <s v="HP 100 CLR-48mm x 1371m-6 rls/cs- S 16100.72" u="1"/>
        <s v="PS 748 BLK-18mm x 55m-96 rls/cs-H 3164.82" u="1"/>
        <s v="AP 180 CLR-72mm x 100m-24 rls/cs-H/A 6500.73" u="1"/>
        <s v="DP 380 GLA-48mm x 50m-24 rls/cs-H 404.16" u="1"/>
        <s v="HP 100 CLR-48mm x 1828m-6 rls/cs-S 41313.9" u="1"/>
        <s v="AP 201 CLR-48mm x 100m-36 rls/cs-H/A 153.96" u="1"/>
        <s v="CP 631 GRN-24mm x 55m-36 rls/cs-H 211.7" u="1"/>
        <s v="HP 235 CLR-48mm x 914m-6 rls/cs-H 83.46" u="1"/>
        <s v="HP 200 CLR-48mm x 914m-6 rls/cs-S 376.35" u="1"/>
        <s v="HP 100 CLR-72mm x 100m-24 rls/cs-S 6073.05" u="1"/>
        <s v="HM 016 CLR-48mm  *DO NOT USE* 3216.15" u="1"/>
        <s v="HP 235 CLR-72mm x 1371m-4 rls/cs-H 66864.91" u="1"/>
        <s v="HP 200 CLR-72mm x 100m-24 rls/cs-S 4276.8" u="1"/>
        <s v="DP 050 CLR-48mm x 50m-24 rls/cs-H 5715" u="1"/>
        <s v="CP 105 NAT-72mm x 55m-16 rls/cs-H 1545.68" u="1"/>
        <s v="AP 180 CLR-48mm x 1371m-6 rls/cs-H 11744.1" u="1"/>
        <s v="GS 490 CLR-24mm x 55m-36 rls/cs-H/A 781.23" u="1"/>
        <s v="CP 105 NAT-24mm x 55m- 36 rls/cs-S 363.54" u="1"/>
        <s v="HP 200 WHI-72mm x 100m-24 rls/cs-NS 11011.33" u="1"/>
        <s v="HP 400 CLR-72mm x 100m-24 rls/cs-H/A 12847.5" u="1"/>
        <s v="SD 935  PISTOL GRIP DISPNSR-3 IN. ROLL-S 76.03" u="1"/>
        <s v="HP 400 CLR-72mm x 100m-24 rls/cs-H/A 0" u="1"/>
        <s v="CP 105 NAT-12mm x 55m-72 rls/cs-H 285.12" u="1"/>
        <s v="HP 200 CLR-53mm x 1500m-6 rls/cs-H 3215.62" u="1"/>
        <s v="HP 200 CLR-72mm x 100m-24 rls/cs-S 1348.62" u="1"/>
        <s v="AP 201 CLR-48mm x 100m-36 rls/cs-H/A 2993.76" u="1"/>
        <s v="CP 225 GLD-18mm x 55m-64 rls/cs-H/T 112.15" u="1"/>
        <s v="HM 016 CLR-48mm x 914m-6 rls/cs-H/A 1338.28" u="1"/>
        <s v="CP 106 NAT-48mm x 55m-24 rls/cs-S 624.9" u="1"/>
        <s v="HP 500 CLR-72mm x 50m-24 rls/cs-H/A 969.41" u="1"/>
        <s v="CP 66L NAT-4in x 240yd-3 rls/cs-H 55543.26" u="1"/>
        <s v="FP 097 KFT-18mm x 55m-48 rls/cs-H 298.43" u="1"/>
        <s v="HP 200 CLR-48mm x 914m-6 rls/cs-S 1810.2" u="1"/>
        <s v="HP 200 CLR-72mm x 914m-4 rls/cs-S 15447.02" u="1"/>
        <s v="HP 200 CLR-48mm x 1828m-6 rls/cs-S 6970.47" u="1"/>
        <s v="HP 100 CLR-72mm x 914m-4 rls/cs-S 18572.71" u="1"/>
        <s v="HP 200 ORG-48mm x 914m-6 rls/cs-H 11156.74" u="1"/>
        <s v="CP 66L NAT-4in x 240yd-3 rls/cs-H 204146" u="1"/>
        <s v="HP 400 CLR-72mm x 50m-24 rls/cs-H 727.05" u="1"/>
        <s v="HP 232 CLR-72mm x 914m-4 rls/cs-H/A 108.86" u="1"/>
        <s v="GS 490 WHI-48mm x 55m-24 rls/cs-H/A 1862.78" u="1"/>
        <s v="CP 106 NAT-36mm x 55m-24 rls/cs-S 504.66" u="1"/>
        <s v="CP 105 NAT-72mm x 55m-16 rls/cs-H 1336.74" u="1"/>
        <s v="FP 097 KFT-48mm x 50m-24 rls/cs-H 7276.96" u="1"/>
        <s v="HP 200 BLU-48mm x 914m-6 rls/cs-H 667.06" u="1"/>
        <s v="HP 100 CLR-48mm x 914m-6 rls/cs-S 12504.41" u="1"/>
        <s v="AP 201 CLR-72mm x 100m-24 rls/cs-H/A 942.79" u="1"/>
        <s v="HP 200 CLR-48mm x 914m-6 rls/cs-S 878.17" u="1"/>
        <s v="HP 500 CLR-72mm x 914m-4 rls/cs-S 79214.88" u="1"/>
        <s v="HP 100 CLR-48mm x 100m-36 rls/cs-S 24848.19" u="1"/>
        <s v="CP 083 NAT-18mm x 55m-48 rls/cs-S 475.2" u="1"/>
        <s v="HP 100 CLR-72mm x 100m-24 rls/cs-S 21583.59" u="1"/>
        <s v="HP 200 CLR-72mm x 100m-24 rls/cs-S 653.87" u="1"/>
        <s v="HP 300 CLR-48mm x 914m-6 rls/cs-H 1425.25" u="1"/>
        <s v="HP 200 CLR-48mm x 100m-36 rls/cs-S 3203.33" u="1"/>
        <s v="HP 200 CLR-48mm x 914m-6 rls/cs-S 22883.64" u="1"/>
        <s v="AP 201 CLR-48mm x 100m-36 rls/cs-H/A 7805.16" u="1"/>
        <s v="FP 097 KFT-18mm *DO NOT USE* " u="1"/>
        <s v="AP 201 CLR-72mm x 914m-4 rls/cs-H 2375.68" u="1"/>
        <s v="HP 200 CLR-72mm x 100m-24 rls/cs-S 653.88" u="1"/>
        <s v="HP 200 YEL-48mm x 914m-6 rls/cs-H 1867.81" u="1"/>
        <s v="HP 200 CLR-72mm x 914m-4 rls/cs-H/A 6532.8" u="1"/>
        <s v="HP 100 CLR-72mm x 914m-4 rls/cs-S 5379.26" u="1"/>
        <s v="HP 200 CLR-48mm x 100m-36 rls/cs-S 11051.25" u="1"/>
        <s v="HP 500 CLR-72mm x 50m-24 rls/cs-H/A 37753.45" u="1"/>
        <s v="HP 100 CLR-72mm x 914m-4 rls/cs-S 5379.27" u="1"/>
        <s v="CP 631 BLK-18mm x 55m-48 rls/cs-H 946.6" u="1"/>
        <s v="AP 180 CLR-48mm x 100m-36 rls/cs-H/A 3496.29" u="1"/>
        <s v="HP 100 CLR-72mm x 1500m-4 rls/cs-H/T 6204.22" u="1"/>
        <s v="FP 097 KFT-72mm x 55m-16 rls/cs-H/A 912.21" u="1"/>
        <s v="HP 100 CLR-53mm x 1500m-6 rls/cs-S 23964.33" u="1"/>
        <s v="HP 500 CLR-72mm x 914m-4 rls/cs-S 550548.02" u="1"/>
        <s v="HP 200 CLR-48mm x 914m-6 rls/cs-S " u="1"/>
        <s v="HP 100 CLR-48mm x 100m-36 rls/cs-S 983.67" u="1"/>
        <s v="AP 101 CLR-48mm x 100m-36 rls/cs-S 4875.54" u="1"/>
        <s v="HP 100 CLR-53mm x 1500m-6 rls/cs-S 65922.35" u="1"/>
        <s v="SD 932  PISTOL GRIP TAPE DISP. ECONOMY-S 15" u="1"/>
        <s v="HP 200 CLR-72mm x 1371m-4 rls/cs-S 1744.22" u="1"/>
        <s v="HP 100 CLR-72mm x 1500m-4 rls/cs-H/T 24960.83" u="1"/>
        <s v="HP 200 CLR-72mm x 914m-4 rls/cs-S 5580.03" u="1"/>
        <s v="HP 100 CLR-72mm x 100m-24 rls/cs-S 56767.38" u="1"/>
        <s v="AP 101 CLR-48mm x 100m-36 rls/cs-S 2245.32" u="1"/>
        <s v="HP 200 TAN-48mm x 914m-6 rls/cs-H 5931.57" u="1"/>
        <s v="HP 200 CLR-48mm x 100m-36 rls/cs-S 2098.13" u="1"/>
        <s v="HP 100 CLR-48mm x 100m-36 rls/cs-S 22538.74" u="1"/>
        <s v="HP 500 CLR-72mm x 50m-24 rls/cs-H/A 4561.92" u="1"/>
        <s v="HP 100 CLR-48mm x 1371m-6 rls/cs- S " u="1"/>
        <s v="CP 106 NAT-36mm x 55m-24 rls/cs-S 425.77" u="1"/>
        <s v="CP 101 NAT-18mm x 55m-48 rls/cs-H/T " u="1"/>
        <s v="CP 106 NAT-24mm x 55m-36 rls/cs-S 909.54" u="1"/>
        <s v="HP 100 CLR-72mm x 100m-24 rls/cs-S 23565.15" u="1"/>
        <s v="GS 490 WHI-48mm x 55m-24 rls/cs-H/A 4158" u="1"/>
        <s v="HP 500 CLR-72mm x 50m-24 rls/cs-H/A 82328.4" u="1"/>
        <s v="HP 100 CLR-53mm x 1500m-6 rls/cs-S 8660.52" u="1"/>
        <s v="50411 3&quot; HUB SHAFT " u="1"/>
        <s v="HP 500 CLR-72mm x 914m-4 rls/cs-S 96818.19" u="1"/>
        <s v="HP 100 CLR-48mm x 914m-6 rls/cs-S 16864.86" u="1"/>
        <s v="HM 016 CLR-72mm x 100m-24 rls/cs-H/A 12403.67" u="1"/>
        <s v="DT 200 GLA-48mm x 50m-24 rls/cs-H " u="1"/>
        <s v="HP 100 CLR-48mm x 100m-36 rls/cs-S 4298.18" u="1"/>
        <s v="HP 100 TAN-48mm x 100m-36 rls/cs-S 2993.76" u="1"/>
        <s v="DP 380 GLA-24mm x 50m-36 rls/cs-H 898.13" u="1"/>
        <s v="CP 631 RED-24mm x 55m-36 rls/cs-H 136.86" u="1"/>
        <s v="HP 200 CLR-48mm x 914m-6 rls/cs-S 2065.93" u="1"/>
        <s v="HP 200 CLR-72mm x 100m-24 rls/cs-S 1348.63" u="1"/>
        <s v="HP 100 CLR-72mm x 100m-24 rls/cs-S 2523.31" u="1"/>
        <s v="CP 105 NAT-24mm x 55m- 36 rls/cs-S 361.4" u="1"/>
        <s v="HP 100 CLR-72mm x 100m-24 rls/cs-S 9729.74" u="1"/>
        <s v="HP 100 CLR-48mm x 100m-36 rls/cs-S 23287.17" u="1"/>
        <s v="HP 100 CLR-48mm x 1371m-6 rls/cs- S 18811.92" u="1"/>
        <s v="CP 66L NAT-4in x 240yd-3 rls/cs-H 51036.5" u="1"/>
        <s v="DP 050 CLR-48mm x 50m-24 rls/cs-H 4971.78" u="1"/>
        <s v="HP 235 CR BISTOP-72mmx914m-4 rls/cs-NS 42383.09" u="1"/>
        <s v="AP 201 CLR-48mm x 100m-36 rls/cs-H/A 21170.16" u="1"/>
        <s v="HP 100 CLR-72mm x 914m-4 rls/cs-S 8338.81" u="1"/>
        <s v="HM 016 CLR-48mm x 914m-6 rls/cs-H/A 155.75" u="1"/>
        <s v="HP 100 CLR-72mm x 914m-4 rls/cs-S 13607.82" u="1"/>
        <s v="HP 200 BLU-72mm x 914m-4 rls/cs-NS 11655.08" u="1"/>
        <s v="HP 100 CLR-48mm x 1371m-6 rls/cs- S 29668.17" u="1"/>
        <s v="HP 200 CLR-48mm x 1371m-6 rls/cs-S 2986.63" u="1"/>
        <s v="HP 200 BLU-72mm x 914m-4 rls/cs-NS 23870.49" u="1"/>
        <s v="CP 66L NAT-72mm x 55m-16 rls/cs-NS 4805.86" u="1"/>
        <s v="51194 REINFORCED CUTTING CAM ASSY. 2&quot; RH 524.7" u="1"/>
        <s v="HP 200 CLR-72mm x 1371m-4 rls/cs-S 36861.75" u="1"/>
        <s v="HP 100 TAN-48mm x 100m-36 rls/cs-S 2043.59" u="1"/>
        <s v="HP 200 CLR-48mm x 914m-6 rls/cs-S 3074" u="1"/>
        <s v="HP 500 CLR-72mm x 914m-4 rls/cs-S 35206.62" u="1"/>
        <s v="HP 200 CLR-72mm x 1371m-4 rls/cs-H/A 4657.42" u="1"/>
        <s v="HP 500 CLR-72mm x 914m-4 rls/cs-S 5303.24" u="1"/>
        <s v="HP 200 RED-48mm x 914m-6 rls/cs-H 7056.72" u="1"/>
        <s v="CP 106 NAT-12mm x 55m-72 rls/cs-H/A 748.44" u="1"/>
        <s v="CP 450 NAT-36mm x 55m-24 rls/cs-H 18052.85" u="1"/>
        <s v="FP 097 KFT-48mm x 55m-24 rls/cs-H/A 1088.69" u="1"/>
        <s v="HP 200 WHI-48mm x 100m-36 rls/cs-H 298" u="1"/>
        <s v="PE 444 RED- 48mm X 55m- 24 rls/cs-H/A 7338.26" u="1"/>
        <s v="HP 200 CLR-72mm x 1371m-4 rls/cs-S 3294.64" u="1"/>
        <s v="VP 410 YEL- 50MM X 33M- 24 RLS/CS-S 65.34" u="1"/>
        <s v="AP 180 CLR-48mm x 100m-36 rls/cs-H/A 1066.36" u="1"/>
        <s v="CP 631 BLK-18mm x 55m-48 rls/cs-H 157.77" u="1"/>
        <s v="HP 200 CLR-48mm x 100m-36 rls/cs-S 12830.4" u="1"/>
        <s v="CT 109 NAT- 18mm *DO NOT USE* " u="1"/>
        <s v="HP 200 CLR-72mm x 914m-4 rls/cs-S 5379.26" u="1"/>
        <s v="HP 100 CLR-48mm x 1371m-6 rls/cs- S 0" u="1"/>
        <s v="CP 106 NAT-24mm x 55m-36 rls/cs-S 484.7" u="1"/>
        <s v="WP 100 NAT-70mmx138m(450ft)-10rls/cs-H/A 1465.2" u="1"/>
        <s v="HP 100  EZ 53mm x 100m CLR-36 rls/cs-H/A " u="1"/>
        <s v="HP 200 CLR-48mm x 914m-6 rls/cs-S 3201.9" u="1"/>
        <s v="HP 100 CLR-48mm x 914m-6 rls/cs-S 14184.72" u="1"/>
        <s v="HP 200 YEL-48mm x 914m-6 rls/cs-H 735.07" u="1"/>
        <s v="HP 100 CLR-48mm x 914m-6 rls/cs-S 1479.54" u="1"/>
        <s v="HP 100 CLR-72mm x 100m-24 rls/cs-S 220.97" u="1"/>
        <s v="HP 100 CLR-72mm x 100m-24 rls/cs-S 220.98" u="1"/>
        <s v="AP 101 CLR-48mm x 1371m-6 rls/cs-H 2283.33" u="1"/>
        <s v="HP 100 CLR-48mm x 1371m-6 rls/cs- S 9666" u="1"/>
        <s v="HP 200 CLR-72mm x 914m-4 rls/cs-S 21186.12" u="1"/>
        <s v="CP 106 NAT-12mm x 55m-72 rls/cs-H/A 158.24" u="1"/>
        <s v="CP 66L NAT-72mm x 55m-16 rls/cs-NS 4935.75" u="1"/>
        <s v="GS 490 WHI-9mm x 55m-96 rls/cs-H 2024.35" u="1"/>
        <s v="AP 401 CLR-48mm x 50m-36 rls/cs-H 55" u="1"/>
        <s v="GS 501 WHI-24mm x 55m-36 rls/cs-H/A 443.36" u="1"/>
        <s v="HP 232 CLR-72mm x 914m-4 rls/cs-H/A 14701.49" u="1"/>
        <s v="HP 100 CLR-48mm x 914m-6 rls/cs-S 2691.52" u="1"/>
        <s v="GS 490 WHI-48mm x 55m-24 rls/cs-H/A 3439.95" u="1"/>
        <s v="HP 100 CLR-48mm x 1371m-6 rls/cs- S 16726.55" u="1"/>
        <s v="CP 106 NAT-36mm x 55m-24 rls/cs-S 1210.8" u="1"/>
        <s v="HP 100 CLR-48mm x 914m-6 rls/cs-S 2691.53" u="1"/>
        <s v="PC 609 SIL-48mm x 55m-24 rls/cs-H/A 7658.33" u="1"/>
        <s v="AP 180 CLR-48mm x 914m-6 rls/cs-H/A 18384.54" u="1"/>
        <s v="AP 401 CLR-48mm x 50m-36 rls/cs-H 273.72" u="1"/>
        <s v="HP 100 CLR-72mm x 100m-24 rls/cs-S 1128.36" u="1"/>
        <s v="CP 66L NAT-72mm x 55m-16 rls/cs-NS 6335.99" u="1"/>
        <s v="HP 100 CLR-48mm x 1828m-6 rls/cs-S 4030.88" u="1"/>
        <s v="HM 016 CLR-72mm x 100m-24 rls/cs-H/A 4728" u="1"/>
        <s v="HP 200 TAN-72mm x 100m-24 rls/cs-H/A 1913.86" u="1"/>
        <s v="HP 100 CLR-48mm x 914m-6 rls/cs-S 2071.88" u="1"/>
        <s v="HP 232 CLR-72mm x 914m-4 rls/cs-H/A 19758.81" u="1"/>
        <s v="PC 600 SIL-72mm x 55m-16 rls/cs-H " u="1"/>
        <s v="HP 200 CLR-48mm x 914m-6 rls/cs-S 1260.59" u="1"/>
        <s v="HP 200 WHI-48mm x 100m-36 rls/cs-H 892.77" u="1"/>
        <s v="CP 450 NAT-36mm x 55m-24 rls/cs-H 21526.58" u="1"/>
        <s v="HP 400 CLR-48mm x 914m-6 rls/cs-H/A 2252.86" u="1"/>
        <s v="WP 300 NAT-76mmx138m(450ft)-10rls/cs-H/A 1485.99" u="1"/>
        <s v="HP 200 CLR-72mm x 914m-4 rls/cs-S 9186" u="1"/>
        <s v="HP 100 CLR-48mm x 100m-36 rls/cs-S 152.9" u="1"/>
        <s v="HP 200 CLR-48mm x 100m-36 rls/cs-S 4811.4" u="1"/>
        <s v="HP 100 CLR-48mm x 914m-6 rls/cs-S 494.21" u="1"/>
        <s v="CP 450 NAT-72mm x 55m-16 rls/cs-NS 8895.75" u="1"/>
        <s v="HP 100 CLR-48mm x 100m-36 rls/cs-S 3413.95" u="1"/>
        <s v="SD 932/934/936  BLADE - P103B 39.44" u="1"/>
        <s v="HP 100 CLR-48mm x 100m-36 rls/cs-S 5193.45" u="1"/>
        <s v="HP 100 CLR-72mm x 100m-24 rls/cs-S 819.72" u="1"/>
        <s v="HP 100 CLR-48mm x 914m-6 rls/cs-S 560.73" u="1"/>
        <s v="HP 200 CLR-48mm x 1828m-6 rls/cs-S 4020.18" u="1"/>
        <s v="WP 100 NAT-70mm x 153m(500ft)-6 rls/cs-H 35.76" u="1"/>
        <s v="HP 200 GRN-48mm x 914m-6 rls/cs-H/A 949.92" u="1"/>
        <s v="HP 200 CLR-48mm x 100m-36 rls/cs-S 5893.44" u="1"/>
        <s v="HP 200 CLR-48mm x 1828m-6 rls/cs-S 3585.39" u="1"/>
        <s v="HP 100 CLR-72mm x 1371m-4 rls/cs-H/T 15423.55" u="1"/>
        <s v="HP 200 WHI-72mm x 914m-4 rls/cs-H 889.93" u="1"/>
        <s v="51194 REINFORCED CUTTING CAM ASSY. 2&quot; RH " u="1"/>
        <s v="HP 200 CLR-53mm x 1371m-6 rls/cs-H 47844.56" u="1"/>
        <s v="HP 200 CLR-72mm x 100m-24 rls/cs-S 70579.08" u="1"/>
        <s v="PP 808 GRN- 9mm X 165m- 96 rls/cs-H 194.82" u="1"/>
        <s v="GS 490 WHI-48mm x 55m-24 rls/cs-H/A 1277.33" u="1"/>
        <s v="HP 100 CLR-72mm x 100m-24 rls/cs-S 415.8" u="1"/>
        <s v="HP 300 CLR-48mm x 914m-6 rls/cs-H 1609.15" u="1"/>
        <s v="HP 200 CLR-48mm x 100m-36 rls/cs-S 1926.7" u="1"/>
        <s v="HP 200 CLR-72mm x 100m-24 rls/cs-S 1618.06" u="1"/>
        <s v="HP 100 CLR-48mm x 100m-36 rls/cs-S 3143.44" u="1"/>
        <s v="AP 180 CLR-48mm x 1371m-6 rls/cs-H 6671.8" u="1"/>
        <s v="HP 300 CLR-72mm x 100m-24 RLS/CS-H 2223.93" u="1"/>
        <s v="HP 500 CLR-72mm x 914m-4 rls/cs-S 22004" u="1"/>
        <s v="HP 100 CLR-48mm x 914m-6 rls/cs-S 1853.28" u="1"/>
        <s v="P- 628 WHI-48mm x 50m-24 rls/cs-H/A 2254.36" u="1"/>
        <s v="HP 100 CLR-53mm x 1500m-6 rls/cs-S 38039.48" u="1"/>
        <s v="HP 100 CLR-72mm x 100m-24 rls/cs-S 21426.77" u="1"/>
        <s v="HP 100 TAN-48mm x 100m-36 rls/cs-S 11307.5" u="1"/>
        <s v="HP 200 CLR-48mm x 1828m-6 rls/cs-S 9036.87" u="1"/>
        <s v="HP 200 CLR-48mm x 1828m-6 rls/cs-S 2510.25" u="1"/>
        <s v="HP 100 CLR-48mm x 914m-6 rls/cs-S 115.47" u="1"/>
        <s v="HP 100 CLR-72mm x 100m-24 rls/cs-S 612.77" u="1"/>
        <s v="AP 101 CLR-48mm x 100m-36 rls/cs-S 263.02" u="1"/>
        <s v="HP 200 RED-48mm x 100m-36 rls/cs-H 83.4" u="1"/>
        <s v="HP 300 CLR-48mm x 100m-36 rls/cs-H/A 2395.02" u="1"/>
        <s v="GS 490 WHI-36mm x 55m-24 rls/cs-H/A 45.14" u="1"/>
        <s v="HP 100 CLR-53mm x 1500m-6 rls/cs-S 13119.09" u="1"/>
        <s v="DF 545 BLU-48mm x 33m-24 rls/cs-H 458.09" u="1"/>
        <s v="DP 391 GLA-24mm x 50m-36 rls/cs-C 1005.4" u="1"/>
        <s v="HP 100 CLR-48mm x 914m-6 rls/cs-S 3442.82" u="1"/>
        <s v="HP 200 BLU-72mm x 914m-4 rls/cs-H 24925.91" u="1"/>
        <s v="HP 200 CLR-72mm x 100m-24 rls/cs-S 2513.82" u="1"/>
        <s v="CP 66L NAT-4in x 240yd-3 rls/cs-H 155150.96" u="1"/>
        <s v="CP 106 NAT-12mm x 55m-72 rls/cs-H/A 898.13" u="1"/>
        <s v="DT 200 GLA-48mm x 50m-24 rls/cs-H 67837.18" u="1"/>
        <s v="HP 100 CLR-72mm x 100m-24 rls/cs-S 3498.67" u="1"/>
        <s v="AP 180 CLR-48mm x 100m-36 rls/cs-H/A 1479.78" u="1"/>
        <s v="WP 150 WB SER 70mmx138(450FT) 10RL/CS-NS " u="1"/>
        <s v="P- 628 BLK-4in x 50m-12 rls/cs-H 8355.93" u="1"/>
        <s v="HP 400 CLR-72mm x 914m-4 rls/cs-H/A 1873.24" u="1"/>
        <s v="HP 200 CLR-72mm x 100m-24 rls/cs-S 434.8" u="1"/>
        <s v="CP 105 NAT-24mm x 55m- 36 rls/cs-S 179.62" u="1"/>
        <s v="GS 490 CLR-18mm x 55m-48 rls/cs-H/A 1322" u="1"/>
        <s v="AP 201 CLR-72mm x 914m-4 rls/cs-H 4138" u="1"/>
        <s v="HP 200 CLR-48mm x 100m-36 rls/cs-S 906.68" u="1"/>
        <s v="HP 200 CLR-48mm x 100m-36 rls/cs-S 906.69" u="1"/>
        <s v="CP 450 NAT-72mm x 55m-16 rls/cs-NS 4105.73" u="1"/>
        <s v="HP 400 CLR-72mm x 100m-24 rls/cs-H/A 7783.77" u="1"/>
        <s v="CP 106 NAT-72mm x 55m-16 rls/cs-S 366.23" u="1"/>
        <s v="CP 105 NAT-24mm x 55m- 36 rls/cs-S 149.69" u="1"/>
        <s v="FP 097 KFT-72mm x 55m-16 rls/cs-H/A 12627.02" u="1"/>
        <s v="GS 490 CLR-48mm x 55m-24 rls/cs-H/A 185.33" u="1"/>
        <s v="HP 100 CLR-72mm x 100m-24 rls/cs-S 7219.23" u="1"/>
        <s v="HP 500 CLR-72mm x 914m-4 rls/cs-S 17517.77" u="1"/>
        <s v="CP 105 NAT-24mm x 55m- 36 rls/cs-S 162.52" u="1"/>
        <s v="HP 200 CLR-48mm x 914m-6 rls/cs-S 2069.97" u="1"/>
        <s v="CP 106 NAT-12mm x 55m-72 rls/cs-H/A 1176.12" u="1"/>
        <s v="HP 500 CLR-72mm x 914m-4 rls/cs-S 242290.22" u="1"/>
        <s v="AP 180 CLR-48mm x 1371m-6 rls/cs-H 13987" u="1"/>
        <s v="FE-2 Folded-Edge Tape Dispenser - H 64.24" u="1"/>
        <s v="HP 200 CLR-48mm x 914m-6 rls/cs-S 1003.62" u="1"/>
        <s v="HP 100 CLR-48mm x 100m-36 rls/cs-S 26473.37" u="1"/>
        <s v="HP 200 CLR-48mm x 1371m-6 rls/cs-S 19527.86" u="1"/>
        <s v="HM 016 CLR-48mm x 100m-36 rls/cs-S 147.91" u="1"/>
        <s v="HP 200 CLR-48mm x 914m-6 rls/cs-S 1003.63" u="1"/>
        <s v="SD 932  PISTOL GRIP TAPE DISP. ECONOMY-S 17.17" u="1"/>
        <s v="HP 300 CLR-48mm x 914m-6 rls/cs-H 2082.56" u="1"/>
        <s v="HP 500 CLR-48mm x 914m-6 rls/cs-H 16245.42" u="1"/>
        <s v="VP 410 BLK- 50MM X 33M- 24 RLS/CS-H/T 268.96" u="1"/>
        <s v="HP 200 BLU-48mm x 914m-6 rls/cs-H 118.74" u="1"/>
        <s v="AP 201 CLR-48mm x 1371m-6 rls/cs-H 2033.86" u="1"/>
        <s v="DP 380 GLA-19mm x 50m-48 rls/cs-H " u="1"/>
        <s v="HP 100 CLR-72mm x 100m-24 rls/cs-S 3611" u="1"/>
        <s v="CP 106 NAT-18mm x 55m-48 rls/cs-S 360.67" u="1"/>
        <s v="HP 200 TAN-72mm x 914m-4 rls/cs-H 8002.37" u="1"/>
        <s v="CP 450 NAT-36mm x 55m-24 rls/cs-H 13747.54" u="1"/>
        <s v="HP 200 CLR-72mm x 914m-4 rls/cs-H/A 1507.58" u="1"/>
        <s v="SD 937 CUTTING BLD for TAPE P605B 19" u="1"/>
        <s v="GS 490 CLR-48mm x 55m-24 rls/cs-H/A 1933.12" u="1"/>
        <s v="HP 235 CLR-72mm x 914m-4 rls/cs-H 2507.63" u="1"/>
        <s v="HM 016 CLR-72mm x 100m-24 rls/cs-H/A 3774.28" u="1"/>
        <s v="HP 500 CLR-72mm x 914m-4 rls/cs-S 60319.98" u="1"/>
        <s v="HP 200 WHI-48mm x 100m-36 rls/cs-H 1238.14" u="1"/>
        <s v="HP 200 CLR-48mm x 914m-6 rls/cs-S 1033.68" u="1"/>
        <s v="HP 300 CLR-72mm x 100m-24 RLS/CS-H 2223.94" u="1"/>
        <s v="GS 490 WHI-12mm x 55m-72 rls/cs-H/A 3649.54" u="1"/>
        <s v="HP 500 TAN-72mm x 50m-24 rls/cs-H/A 1072.05" u="1"/>
        <s v="HP 200 CLR-72mm x 914m-4 rls/cs-S 12071.98" u="1"/>
        <s v="PS 748 BLK-18mm x 55m-96 rls/cs-H 4333.84" u="1"/>
        <s v="HP 200 TAN-72mm x 100m-24 rls/cs-H/A 267.78" u="1"/>
        <s v="FE-2 Folded-Edge Tape Dispenser 123.75" u="1"/>
        <s v="HP 300 CLR-48mm x 914m-6 rls/cs-H 1287.2" u="1"/>
        <s v="CP 450 NAT-36mm x 55m-24 rls/cs-H 8781.45" u="1"/>
        <s v="HP 200 CLR-48mm x 914m-6 rls/cs-S 3659.87" u="1"/>
        <s v="SD 932  PISTOL GRIP TAPE DISP. ECONOMY-S 45" u="1"/>
        <s v="DP 380 GLA-48mm x 50m-24 rls/cs-H 1398.98" u="1"/>
        <s v="HP 100 CLR-53mm x 1500m-6 rls/cs-S 6500.74" u="1"/>
        <s v="HP 500 CLR-48mm x 50m-36 rls/cs-H/A " u="1"/>
        <s v="PC 006 SIL-48mm x 55m-24 rls/cs-H/A 647.94" u="1"/>
        <s v="GS 531 WHI-36mm x 55m-24 rls/cs-H 0" u="1"/>
        <s v="CP 105 NAT-24mm x 55m- 36 rls/cs-S 183.55" u="1"/>
        <s v="HP 100 CLR-48mm x 914m-6 rls/cs-S 2885.41" u="1"/>
        <s v="HP 100 CLR-48mm x 1371m-6 rls/cs- S 25543.01" u="1"/>
        <s v="HP 200 CLR-48mm x 914m-6 rls/cs-S 1254.52" u="1"/>
        <s v="WP 100 NAT-72mmx138m(450ft)-10rls/cs-H/A 265.72" u="1"/>
        <s v="P- 628 BLK-4in x 50m-12 rls/cs-H 5483.59" u="1"/>
        <s v="HP 200 CLR-72mm x 914m-4 rls/cs-S 7794.38" u="1"/>
        <s v="HP 100 CLR-53mm x 1500m-6 rls/cs-S 17101.73" u="1"/>
        <s v="WP 100 NAT-70mm x 153m(500ft)-6 rls/cs-H 327.3" u="1"/>
        <s v="HP 200 CLR-72mm x 914m-4 rls/cs-S 5162.1" u="1"/>
        <s v="HP 200 CLR-48mm x 914m-6 rls/cs-S 1254.53" u="1"/>
        <s v="HP 200 CLR-72mm x 100m-24 rls/cs-S 9309.17" u="1"/>
        <s v="HP 200 CLR-48mm x 100m-36 rls/cs-S 14370.04" u="1"/>
        <s v="HP 200 CLR-48mm x 914m-6 rls/cs-S 1254.54" u="1"/>
        <s v="HP 200 CLR-48mm x 100m-36 rls/cs-S 568.82" u="1"/>
        <s v="HP 500 CLR-72mm x 914m-4 rls/cs-S 189235.56" u="1"/>
        <s v="CP 011 BLU-48mm x 55m-*DO NOT USE* 257.55" u="1"/>
        <s v="HP 200 CLR-48mm x 914m-6 rls/cs-S 4829.94" u="1"/>
        <s v="CP 106 NAT-12mm x 55m-72 rls/cs-H/A 538.87" u="1"/>
        <s v="HP 500 CLR-72mm x 914m-4 rls/cs-S 448315.56" u="1"/>
        <s v="HP 100 TAN-72mm x 914m-4 rls/cs-H 293.84" u="1"/>
        <s v="HP 200 CLR-72mm x 100m-24 rls/cs-S 2663.01" u="1"/>
        <s v="SD 932, PISTOL GRIP TAPE DISP. ECONOMY-S 17.17" u="1"/>
        <s v="HP 100 CLR-72mm x 100m-24 rls/cs-S 4713.98" u="1"/>
        <s v="HP 200 CLR-72mm x 1371m-4 rls/cs-S 91734.52" u="1"/>
        <s v="HM 016 CLR-48mm x 100m-36 rls/cs-S 798.68" u="1"/>
        <s v="HP 200 CLR-48mm x 100m-36 rls/cs-S 4251.5" u="1"/>
        <s v="HP 300 CLR-48mm x 914m-6 rls/cs-H 1205.23" u="1"/>
        <s v="HP 232 CLR-48mm x 914m-6 rls/cs-H/A 410.75" u="1"/>
        <s v="HP 100 CLR-53mm x 1500m-6 rls/cs-S 29541.99" u="1"/>
        <s v="VP 410 WHI- 50mm X 33m- 24 rls/cs-H 646.27" u="1"/>
        <s v="GS 501 WHI-24mm x 55m-36 rls/cs-H/A 3143.46" u="1"/>
        <s v="HP 200 CLR-48mm x 1371m-6 rls/cs-S 24771.2" u="1"/>
        <s v="HP 500 TAN-48mm x 50m-36 rls/cs-H 963.71" u="1"/>
        <s v="CP 106 NAT-48mm x 55m-24 rls/cs-S 1901.51" u="1"/>
        <s v="HM 016 CLR-48mm x 100m-36 rls/cs-S 591.62" u="1"/>
        <s v="HP 400 CLR-72mm x 50m-24 rls/cs-H 295.81" u="1"/>
        <s v="HP 232 CLR-72mm x 914m-4 rls/cs-H/A 12232" u="1"/>
        <s v="HP 100 CLR-53mm x 1500m-6 rls/cs-S 27596.02" u="1"/>
        <s v="HP 100 CLR-72mm x 100m-24 rls/cs-S 655.78" u="1"/>
        <s v="HP 200 CLR-48mm x 914m-6 rls/cs-S 2634.51" u="1"/>
        <s v="HP 232 CLR-48mm x 914m-6 rls/cs-H/A 910.95" u="1"/>
        <s v="HP 100 CLR-72mm x 914m-4 rls/cs-S 7767.37" u="1"/>
        <s v="AP 201 CLR-48mm x 100m-36 rls/cs-H/A 213.13" u="1"/>
        <s v="HP 200 CLR-48mm x 1828m-6 rls/cs-S 16567.61" u="1"/>
        <s v="HP 100 CLR-48mm x 100m-36 rls/cs-S 163.94" u="1"/>
        <s v="HP 500 CLR-48mm x 50m-36 rls/cs-H/A 221.32" u="1"/>
        <s v="SD 936, 2&quot; PISTOL GRIP SILENT DISP-H/A/T 47.22" u="1"/>
        <s v="CP 106 NAT-36mm x 55m-24 rls/cs-S 751.04" u="1"/>
        <s v="HP 100 CLR-48mm x 914m-6 rls/cs-S 2246.74" u="1"/>
        <s v="HP 100 CLR-53mm x 1500m-6 rls/cs-S 15492" u="1"/>
        <s v="CP 106 NAT-48mm x 55m-24 rls/cs-S 1111.97" u="1"/>
        <s v="HP 100 CLR-48mm x 100m-36 rls/cs-S 5773.68" u="1"/>
        <s v="SD 932, PISTOL GRIP TAPE DISP. ECONOMY-S 130.68" u="1"/>
        <s v="HP 100 CLR-48mm x 100m-36 rls/cs-S 2801.3" u="1"/>
        <s v="HP 232 CLR-48mm x 914m-6 rls/cs-H/A 1004.81" u="1"/>
        <s v="CP 105 NAT-18mm x 55m-48 rls/cs-S 35765.46" u="1"/>
        <s v="HP 200 CLR-48mm x 100m-36 rls/cs-S 3143.45" u="1"/>
        <s v="HP 500 CLR-72mm x 50m-24 rls/cs-H/A 29866.32" u="1"/>
        <s v="HP 200 CLR-48mm x 914m-6 rls/cs-S 1045.68" u="1"/>
        <s v="HP 500 CLR-48mm x 914m-6 rls/cs-H 5205" u="1"/>
        <s v="HP 200 CLR-72mm x 100m-24 rls/cs-S 424.83" u="1"/>
        <s v="HP 200 CLR-72mm x 914m-4 rls/cs-S 6917.01" u="1"/>
        <s v="AP 201 CLR-48mm x 100m-36 rls/cs-H/A 13172.55" u="1"/>
        <s v="VP 410 BLK- 50MM X 33M- 24 RLS/CS-H/T " u="1"/>
        <s v="HP 200 CLR-48mm x 1371m-6 rls/cs-S 8877.92" u="1"/>
        <s v="AP 201 CLR-48mm x 1371m-6 rls/cs-H 14937" u="1"/>
        <s v="FE-3 Folded-Edge Tape Dispenser 123.75" u="1"/>
        <s v="HP 300 CLR-48mm x 914m-6 rls/cs-H 2265.41" u="1"/>
        <s v="HP 200 CLR-72mm x 100m-24 rls/cs-S 1558.66" u="1"/>
        <s v="HP 400 CLR-48mm x 914m-6 rls/cs-H/A 7706.79" u="1"/>
        <s v="DT 200 GLA-48mm x 50m-24 rls/cs-H 25939.26" u="1"/>
        <s v="HP 232 CLR-72mm x 914m-4 rls/cs-H/A 32931.37" u="1"/>
        <s v="HP 200 CLR-48mm x 100m-36 rls/cs-S 799.76" u="1"/>
        <s v="HP 200 CLR-72mm x 914m-4 rls/cs-S 5170.18" u="1"/>
        <s v="PC 609 SIL-48mm x 55m-24 rls/cs-H/A 9920.29" u="1"/>
        <s v="HP 200 CLR-48mm x 100m-36 rls/cs-S 77.7" u="1"/>
        <s v="FP 097 KFT-72mm x 55m-16 rls/cs-H/A 5754.05" u="1"/>
        <s v="PC 609 SIL-48mm x 55m-24 rls/cs-H/A 4169.88" u="1"/>
        <s v="AP 180 CLR-48mm x 914m-6 rls/cs-H/A 7766.67" u="1"/>
        <s v="DP 380 GLA-48mm x 50m-24 rls/cs-H 1523.73" u="1"/>
        <s v="HP 200 CLR-48mm x 914m-6 rls/cs-S 9158.06" u="1"/>
        <s v="HP 500 CLR-72mm x 914m-4 rls/cs-S 326454" u="1"/>
        <s v="HP 100 CLR-48mm x 100m-36 rls/cs-S 8339.76" u="1"/>
        <s v="HP 100 CLR-53mm x 1500m-6 rls/cs-S 14378.6" u="1"/>
        <s v="HP 200 CLR-48mm x 100m-36 rls/cs-S 582.71" u="1"/>
        <s v="HP 100 CLR-53mm x 1500m-6 rls/cs-S 98925.23" u="1"/>
        <s v="HP 300 CLR-48mm x 914m-6 rls/cs-H 1666.05" u="1"/>
        <s v="HP 200 CLR-48mm x 914m-6 rls/cs-S 11119.68" u="1"/>
        <s v="CP 66L NAT-72mm x 55m-16 rls/cs-NS 4675.96" u="1"/>
        <s v="HP 200 CLR-48mm x 914m-6 rls/cs-S 5879" u="1"/>
        <s v="CP 631 BLK-18mm x 55m-48 rls/cs-H 236.65" u="1"/>
        <s v="AP 180 CLR-48mm x 914m-6 rls/cs-H/A 3114" u="1"/>
        <s v="AP 101 CLR-48mm x 100m-36 rls/cs-S 1603.8" u="1"/>
        <s v="FP 097 KFT-48mm x 55m-24 rls/cs-H/A 8021.36" u="1"/>
        <s v="GS 490 CLR-48mm x 55m-24 rls/cs-H/A 4949.92" u="1"/>
        <s v="HP 232 CLR-72mm x 914m-4 rls/cs-H/A 19382" u="1"/>
        <s v="HP 100 CLR-53mm x 1500m-6 rls/cs-S 14350.8" u="1"/>
        <s v="GS 490 CLR-18mm x 55m-48 rls/cs-H/A 661" u="1"/>
        <s v="GS 490 WHI-48mm x 55m-24 rls/cs-H/A 3958" u="1"/>
        <s v="GS 490 WHI-12mm x 55m-72 rls/cs-H/A 219.54" u="1"/>
        <s v="HP 400 CLR-48mm x 914m-6 rls/cs-H/A 8245.67" u="1"/>
        <s v="HP 200 BLU-48mm x 914m-6 rls/cs-H 280.38" u="1"/>
        <s v="HP 200 CLR-48mm x 1371m-6 rls/cs-H/A 1531.33" u="1"/>
        <s v="AF 075 SIL-1in x 60yd-36 rls/cs-H 1097" u="1"/>
        <s v="HP 200 CLR-48mm x 1371m-6 rls/cs-S 19361.09" u="1"/>
        <s v="GS 490 WHI-18mm x 55m-48 rls/cs-H/A 1421.81" u="1"/>
        <s v="CP 106 NAT-12mm x 55m-72 rls/cs-H/A 538.88" u="1"/>
        <s v="HP 200 CLR-72mm x 100m-24 rls/cs-S 9009.78" u="1"/>
        <s v="FP 097 KFT-72mm x 55m-16 rls/cs-H/A 2847.4" u="1"/>
        <s v="HP 200 CLR-48mm x 1371m-6 rls/cs-S 2566.08" u="1"/>
        <s v="AP 180 CLR-72mm x 100m-24 rls/cs-H/A 1325.81" u="1"/>
        <s v="HM 018 CLR-48mm x 100m-36 rls/cs-S 513.22" u="1"/>
        <s v="SD 934  PISTOL GRIP TAPE DISPNSR PREM.-S 317.17" u="1"/>
        <s v="HP 200 CLR-48mm x 100m-36 rls/cs-S 4071.5" u="1"/>
        <s v="FP 097 KFT-72mm x 55m-16 rls/cs-H/A 842.04" u="1"/>
        <s v="HP 200 TAN-48mm x 100m-36 rls/cs-H/A 11685.28" u="1"/>
        <s v="AP 180 CLR-48mm x 1371m-6 rls/cs-H 2638.79" u="1"/>
        <s v="HP 200 CLR-72mm x 100m-24 rls/cs-S 9389.94" u="1"/>
        <s v="HP 400 CLR-72mm x 914m-4 rls/cs-H/A 1531.7" u="1"/>
        <s v="HP 200 CLR-48mm x 914m-6 rls/cs-S 39329.47" u="1"/>
        <s v="WP 100 NAT-70mmx138m(450ft)-10rls/cs-H/A 214.83" u="1"/>
        <s v="HP 100 CLR-48mm x 914m-6 rls/cs-S 1011.58" u="1"/>
        <s v="SD 932  PISTOL GRIP TAPE DISP. ECONOMY-S 37.07" u="1"/>
        <s v="AP 101 CLR-48mm x 100m-36 rls/cs-S 248.05" u="1"/>
        <s v="CP 105 NAT-72mm x 55m-16 rls/cs-H 2520.62" u="1"/>
        <s v="HP 200 CLR-48mm x 914m-6 rls/cs-S 16074.49" u="1"/>
        <s v="HP 200 TAN-48mm x 100m-36 rls/cs-H/A 7614.14" u="1"/>
        <s v="HP 200 CLR-48mm x 100m-36 rls/cs-S 1443.42" u="1"/>
        <s v="WP 100 WB SER 70mmx305(1000ft)-6rl/cs-NS 6769.23" u="1"/>
        <s v="HP 100 CLR-72mm x 100m-24 rls/cs-S 36694.96" u="1"/>
        <s v="DP 050 CLR-48mm x 50m-24 rls/cs-H 359.96" u="1"/>
        <s v="HP 300 CLR-48mm x 100m-36 rls/cs-H/A 889.57" u="1"/>
        <s v="AP 180 CLR-48mm x 1371m-6 rls/cs-H 5773.67" u="1"/>
        <s v="WP 100 NAT-70mmx138m(450ft)-10rls/cs-H/A 586.08" u="1"/>
        <s v="HP 200 YEL-48mm x 100m-36 rls/cs-H " u="1"/>
        <s v="HP 200 TAN-72mm x 914m-4 rls/cs-H 8466.16" u="1"/>
        <s v="HP 200 TAN-72mm x 100m-24 rls/cs-H/A 7484.4" u="1"/>
        <s v="FP 096 KFT-48mm x 55m-24 rls/cs-S 162.52" u="1"/>
        <s v="HM 018 CLR-48mm x 100m-36 rls/cs-S 1924.56" u="1"/>
        <s v="HP 100 CLR-48mm x 100m-36 rls/cs-S 381.7" u="1"/>
        <s v="HP 200 CLR-48mm x 100m-36 rls/cs-S 1543.92" u="1"/>
        <s v="HP 200 CLR-48mm x 100m-36 rls/cs-S 29702.35" u="1"/>
        <s v="HM 018 CLR-48mm x 914m-6 rls/cs-H/A 4556.22" u="1"/>
        <s v="HP 200 CLR-36mm x 1371m-8 rls/cs-H 1240" u="1"/>
        <s v="HP 100 CLR-48mm x 1371m-6 rls/cs- S 31798" u="1"/>
        <s v="HP 200 GRN-48mm x 914m-6 rls/cs-H/A 439.56" u="1"/>
        <s v="HP 232 CLR-48mm x 914m-6 rls/cs-H/A 320.76" u="1"/>
        <s v="HP 100 CLR-72mm x 100m-24 rls/cs-S 38733.59" u="1"/>
        <s v="HP 200 CLR-48mm x 100m-36 rls/cs-S 8979.14" u="1"/>
        <s v="WP 100 NAT-70mmx138m(450ft)-10rls/cs-H/A 85.93" u="1"/>
        <s v="WP 100 NAT-70mmx138m(450ft)-10rls/cs-H/A 2577.96" u="1"/>
        <s v="HP 200 CLR-48mm x 100m-36 rls/cs-S 19031.76" u="1"/>
        <s v="SD 935  PISTOL GRIP DISPNSR-3 IN. ROLL-S " u="1"/>
        <s v="HP 100 CLR-72mm x 100m-24 rls/cs-S 2393.82" u="1"/>
        <s v="HP 100 CLR-72mm x 914m-4 rls/cs-S 10161.68" u="1"/>
        <s v="HP 100 CLR-53mm x 1500m-6 rls/cs-S 26242.44" u="1"/>
        <s v="FP 097 KFT-4in x 60yd-12 rls/cs-H 663.62" u="1"/>
        <s v="FP 115 BRN-72mm x 55m-16 rls/cs-H 698.54" u="1"/>
        <s v="HP 200 CLR-48mm x 100m-36 rls/cs-S 13343.6" u="1"/>
        <s v="HP 300 CLR-48mm x 100m-36 rls/cs-H/A 838" u="1"/>
        <s v="HP 100 CLR-48mm x 914m-6 rls/cs-S 11079.77" u="1"/>
        <s v="HP 200 CLR-72mm x 914m-4 rls/cs-S 7761.21" u="1"/>
        <s v="CP 106 NAT-72mm x 55m-16 rls/cs-S 2356.99" u="1"/>
        <s v="CP 083 NAT-48mm x 55m-24 rls/cs-S 411.05" u="1"/>
        <s v="CP 105 NAT-12mm x 55m-72 rls/cs-H 399.89" u="1"/>
        <s v="GS 521 WHI-18mm x 55m-48 rls/cs-H 0" u="1"/>
        <s v="HP 100 CLR-53mm x 1500m-6 rls/cs-S 5795.06" u="1"/>
        <s v="HP 200 CLR-72mm x 100m-24 rls/cs-S 9009.79" u="1"/>
        <s v="HP 500 CLR-72mm x 50m-24 rls/cs-H/A 9408.96" u="1"/>
        <s v="FP 097 KFT-18mm x 55m-48 rls/cs-H 1009.32" u="1"/>
        <s v="AP 201 CLR-72mm x 914m-4 rls/cs-H 3948.44" u="1"/>
        <s v="HP 200 CLR-53mm x 1371m-6 rls/cs-H 58164.48" u="1"/>
        <s v="P- 628 BLK-48mm x 50m-24 RLS/CS-S 1833.8" u="1"/>
        <s v="HP 232 CLR-53mm x 1371m-6 rls/cs-H 198.75" u="1"/>
        <s v="HP 200 CLR-48mm x 914m-6 rls/cs-S 24714.21" u="1"/>
        <s v="HP 242 WR SECURITY-72mm x 914m-4rl/cs-NS 12097.8" u="1"/>
        <s v="HP 200 CLR-72mm x 914m-4 rls/cs-S 6182.36" u="1"/>
        <s v="HP 300 CLR-48mm x 914m-6 rls/cs-H 1041.28" u="1"/>
        <s v="GG 200 NAT-24mm x 33m-36 rls/cs-H 1117.67" u="1"/>
        <s v="HP 400 CLR-48mm x 914m-6 rls/cs-H/A 1990.14" u="1"/>
        <s v="HP 500 CLR-72mm x 914m-4 rls/cs-S 223899.03" u="1"/>
        <s v="WP 100 NAT-70mm x 153m(500ft)-6 rls/cs-H 1408.97" u="1"/>
        <s v="HP 100 CLR-48mm x 914m-6 rls/cs-S 968.52" u="1"/>
        <s v="HP 100 CLR-48mm x 914m-6 rls/cs-S 2282.63" u="1"/>
        <s v="HM 016 CLR-72mm x 100m-24 rls/cs-H/A 356.4" u="1"/>
        <s v="HP 200 CLR-48mm x 100m-36 rls/cs-S 1243.13" u="1"/>
        <s v="CP 101 NAT-72mm *DO NOT USE* 3702.6" u="1"/>
        <s v="HP 200 CLR-72mm x 914m-4 rls/cs-S 21076.07" u="1"/>
        <s v="HP 100 CLR-48mm x 100m-36 rls/cs-S 11643.6" u="1"/>
        <s v="HP 100 CLR-53mm x 1500m-6 rls/cs-S 10441.81" u="1"/>
        <s v="HP 200 CLR-48mm x 1500m-6 rls/cs-H 122721.7" u="1"/>
        <s v="HP 240 WR STOP-48mm x 914m-6 rls/cs-H 402.97" u="1"/>
        <s v="HP 100 CLR-48mm x 100m-36 rls/cs-S 327.89" u="1"/>
        <s v="HP 200 BLU-48mm x 914m-6 rls/cs-H 1975.89" u="1"/>
        <s v="HP 200 CLR-72mm x 1371m-4 rls/cs-S 12287.25" u="1"/>
        <s v="HP 400 CLR-48mm x 100m-36 rls/cs-H/A 1187.89" u="1"/>
        <s v="HP 400 CLR-72mm x 100m-24 rls/cs-H/A 10378.36" u="1"/>
        <s v="HP 200 CLR-48mm x 1371m-6 rls/cs-S 5381.48" u="1"/>
        <s v="AP 180 CLR-48mm x 914m-6 rls/cs-H/A 9939.29" u="1"/>
        <s v="HP 200 CLR-48mm x 1371m-6 rls/cs-S 1411.34" u="1"/>
        <s v="SD 935, PISTOL GRIP DISPNSR-3 IN. ROLL-S " u="1"/>
        <s v="HP 200 CLR-48mm x 1371m-6 rls/cs-S 1531.33" u="1"/>
        <s v="AP 180 CLR-72mm x 100m-24 rls/cs-H/A 1411.35" u="1"/>
        <s v="HP 100 CLR-72mm x 100m-24 rls/cs-S 812.59" u="1"/>
        <s v="HP 200 CLR-72mm x 1371m-4 rls/cs-S 969.01" u="1"/>
        <s v="HP 500 CLR-72mm x 914m-4 rls/cs-S 292433.33" u="1"/>
        <s v="CP 631 GRN-18mm x 55m-48 rls/cs-H 157.77" u="1"/>
        <s v="HP 200 CLR-48mm x 100m-36 rls/cs-S 22880.86" u="1"/>
        <s v="HP 200 CLR-72mm x 1371m-4 rls/cs-S 969.02" u="1"/>
        <s v="HP 100 CLR-53mm x 1500m-6 rls/cs-S 11046.97" u="1"/>
        <s v="HP 100 CLR-48mm x 914m-6 rls/cs-S 2423.52" u="1"/>
        <s v="HP 200 CLR-72mm x 914m-4 rls/cs-H/A 8933.76" u="1"/>
        <s v="HP 400 CLR-72mm x 100m-24 rls/cs-H/A 6928.41" u="1"/>
        <s v="CP 631 RED-18mm x 55m-48 rls/cs-H 916.18" u="1"/>
        <s v="HP 100 CLR-48mm x 100m-36 rls/cs-S 550.64" u="1"/>
        <s v="HP 100 CLR-48mm x 914m-6 rls/cs-S 3492.72" u="1"/>
        <s v="HP 132 CLR-48mm x 914m-6 rls/cs-S 5346" u="1"/>
        <s v="HP 200 CLR-48mm x 100m-36 rls/cs-S 106.92" u="1"/>
        <s v="HP 200 TAN-72mm x 914m-4 rls/cs-H 7002.07" u="1"/>
        <s v="HP 400 CLR-48mm x 914m-6 rls/cs-H/A 165.84" u="1"/>
        <s v="CP 66L NAT-48mm x 55m-24 rls/cs- H/T " u="1"/>
        <s v="AP 201 CLR-48mm x 914m-6 rls/cs-H/A 5246.2" u="1"/>
        <s v="HP 100 CLR-48mm x 100m-36 rls/cs-S 1193.22" u="1"/>
        <s v="HP 200 YEL-48mm x 914m-6 rls/cs-H 1424.89" u="1"/>
        <s v="AP 201 CLR-48mm x 914m-6 rls/cs-H/A 12340.23" u="1"/>
        <s v="PE 444 RED- 48mm X 55m- 24 rls/cs-H/A 9408.51" u="1"/>
        <s v="HP 100 CLR-48mm x 914m-6 rls/cs-S 3472.77" u="1"/>
        <s v="HP 200 CLR-48mm x 914m-6 rls/cs-S 3070.97" u="1"/>
        <s v="HP 200 CLR-48mm x 1371m-6 rls/cs-S 98775.24" u="1"/>
        <s v="HP 100 CLR-53mm x 1500m-6 rls/cs-S 24394.87" u="1"/>
        <s v="HP 300 CLR-48mm x 914m-6 rls/cs-H 3488.57" u="1"/>
        <s v="HP 200 CLR-72mm x 100m-24 rls/cs-S 17321.04" u="1"/>
        <s v="HP 500 CLR-72mm x 914m-4 rls/cs-S 676767.96" u="1"/>
        <s v="HP 200 CLR-48mm x 914m-6 rls/cs-S 2619.55" u="1"/>
        <s v="HP 400 CLR-72mm x 914m-4 rls/cs-H/A 3558.3" u="1"/>
        <s v="HP 100 CLR-53mm x 1500m-6 rls/cs-S 2903" u="1"/>
        <s v="HP 100 CLR-48mm x 100m-36 rls/cs-S 2851.2" u="1"/>
        <s v="HP 500 CLR-72mm x 914m-4 rls/cs-S 374070.3" u="1"/>
        <s v="HP 200 TAN-72mm x 100m-24 rls/cs-H/A 860.12" u="1"/>
        <s v="WP 200 NAT-72mmx138m(450ft)-10rls/cs-H/A 343.03" u="1"/>
        <s v="DP 380 GLA-48mm x 50m-24 rls/cs-H 8083.15" u="1"/>
        <s v="HP 200 CLR-48mm x 914m-6 rls/cs-S 2449.66" u="1"/>
        <s v="GS 490 CLR-48mm x 55m-24 rls/cs-H/A 4276.8" u="1"/>
        <s v="HM 016 CLR-48mm x 100m-36 rls/cs-S 1153.67" u="1"/>
        <s v="P- 628 BLK-48mm x 50m-24 RLS/CS-S 564" u="1"/>
        <s v="CP 631 BLK-48mm x 55m-24 rls/cs-H/T 635.34" u="1"/>
        <s v="HP 200 CLR-48mm x 1500m-6 rls/cs-H 4323.48" u="1"/>
        <s v="HP 200 CLR-72mm x 100m-24 rls/cs-S 89.81" u="1"/>
        <s v="HP 800 CLR-72mm x 50m-24 rls/cs-H 9252.14" u="1"/>
        <s v="GS 490 CLR-48mm x 55m-24 rls/cs-H/A 1160.2" u="1"/>
        <s v="HP 132 CLR-48mm x 914m-6 rls/cs-S 23094.72" u="1"/>
        <s v="HP 100 CLR-48mm x 914m-6 rls/cs-S 14254.39" u="1"/>
        <s v="HP 232 CLR-72mm x 914m-4 rls/cs-H/A 15430.69" u="1"/>
        <s v="AP 201 CLR-72mm x 1371m-4 rls/cs-H " u="1"/>
        <s v="HM 018 CLR-72mm  *DO NOT USE* 11689.92" u="1"/>
        <s v="HP 100 CLR-72mm x 100m-24 rls/cs-S 2043.36" u="1"/>
        <s v="HP 132 CLR-72mm x 100m-24 rls/cs-H 7264.86" u="1"/>
        <s v="HP 200 CLR-48mm x 914m-6 rls/cs-S 3011.94" u="1"/>
        <s v="PC 009 SIL-48mm x 55m-24 rls/cs-S 1900.8" u="1"/>
        <s v="FP 097 KFT-72mm x 55m-16 rls/cs-H/A 842.06" u="1"/>
        <s v="HP 200 CLR-48mm x 1371m-6 rls/cs-S 10838.7" u="1"/>
        <s v="CP 083 NAT-24mm x 55m-36 rls/cs-S 600.17" u="1"/>
        <s v="DT 200 GLA-36mm x 50m-24 rls/cs-H 204.34" u="1"/>
        <s v="HP 100 CLR-48mm x 100m-36 rls/cs-S 581.64" u="1"/>
        <s v="FP 097 KFT-72mm x 55m-16 rls/cs-H/A 542.36" u="1"/>
        <s v="CP 105 NAT-24mm x 55m- 36 rls/cs-S 192.46" u="1"/>
        <s v="HP 200 CLR-48mm x 914m-6 rls/cs-S 31268.18" u="1"/>
        <s v="AP 101 CLR-48mm x 100m-36 rls/cs-S 1830.11" u="1"/>
        <s v="HP 200 WHI-72mm x 914m-4 rls/cs-H 13082.74" u="1"/>
        <s v="CP 106 NAT-72mm x 55m-16 rls/cs-S 162.2" u="1"/>
        <s v="HP 200 CLR-72mm x 914m-4 rls/cs-S 564.54" u="1"/>
        <s v="HP 200 CLR-72mm x 100m-24 rls/cs-S 36.35" u="1"/>
        <s v="HP 500 CLR-72mm x 914m-4 rls/cs-S 5527.05" u="1"/>
        <s v="50611 PA IR SENSOR 9' CORD 270.61" u="1"/>
        <s v="AP 201 CLR-48mm x 914m-6 rls/cs-H/A 2820.9" u="1"/>
        <s v="HP 200 GRN-48mm x 914m-6 rls/cs-H/A 629.88" u="1"/>
        <s v="AP 180 CLR-48mm x 100m-36 rls/cs-H/A 342.14" u="1"/>
        <s v="HP 100 CLR-53mm x 1500m-6 rls/cs-S 19470.15" u="1"/>
        <s v="WP 150 DOUXO 72mm x 138m(450FT)-10r/cs 16898.11" u="1"/>
        <s v="AP 180 CLR-72mm x 1371m-4 rls/cs-H 0" u="1"/>
        <s v="SD 935, PISTOL GRIP DISPNSR-3 IN. ROLL-S 84" u="1"/>
        <s v="CP 106 NAT-72mm x 55m-16 rls/cs-S 242.35" u="1"/>
        <s v="HP 200 CLR-48mm x 100m-36 rls/cs-S 5693.49" u="1"/>
        <s v="HP 200 RED-48mm x 100m-36 rls/cs-H 83" u="1"/>
        <s v="AP 101 CLR-48mm x 100m-36 rls/cs-S 1710.72" u="1"/>
        <s v="HP 400 CLR-72mm x 914m-4 rls/cs-H/A 5629.22" u="1"/>
        <s v="FP 097 KFT-4in x 60yd-12 rls/cs-H " u="1"/>
        <s v="AP 180 CLR-48mm x 100m-36 rls/cs-H/A 228.1" u="1"/>
        <s v="HP 200 CLR-48mm x 100m-36 rls/cs-S 337.87" u="1"/>
        <s v="HP 100 CLR-53mm x 1500m-6 rls/cs-S 9216.03" u="1"/>
        <s v="HP 100 CLR-53mm x 1500m-6 rls/cs-S 17641.81" u="1"/>
        <s v="HP 200 CLR-53mm x 1371m-6 rls/cs-H 10354.13" u="1"/>
        <s v="HP 132 CLR-53mm x1500m-6 rls/cs- S 1192.5" u="1"/>
        <s v="HP 100 CLR-72mm x 1500m-4 rls/cs-H/T 22581.53" u="1"/>
        <s v="HP 200 CLR-48mm x 100m-36 rls/cs-S 1543.94" u="1"/>
        <s v="HP 100 CLR-53mm x 1500m-6 rls/cs-S 28415.06" u="1"/>
        <s v="HP 100 CLR-53mm x 1500m-6 rls/cs-S 4783.6" u="1"/>
        <s v="HP 500 CLR-72mm x 914m-4 rls/cs-S 734938.12" u="1"/>
        <s v="AP 201 CLR-72mm x 100m-24 rls/cs-H/A 2466.29" u="1"/>
        <s v="HP 100 CLR-53mm x 1500m-6 rls/cs-S 14177.6" u="1"/>
        <s v="HP 100 CLR-72mm x 100m-24 rls/cs-S 1178.49" u="1"/>
        <s v="PC 609 SIL-48mm x 55m-24 rls/cs-H/A 7002.55" u="1"/>
        <s v="HP 200 RED-48mm x 914m-6 rls/cs-H 441.04" u="1"/>
        <s v="HP 100 CLR-48mm x 1371m-6 rls/cs- S 55795" u="1"/>
        <s v="HP 100 CLR-48mm x 100m-36 rls/cs-S 3763.58" u="1"/>
        <s v="GS 490 WHI-48mm x 55m-24 rls/cs-H/A 9101.26" u="1"/>
        <s v="HP 100 CLR-48mm x 100m-36 rls/cs-S 27415.35" u="1"/>
        <s v="HP 200 CLR-48mm x 1371m-6 rls/cs-S 48601.54" u="1"/>
        <s v="CP 66L NAT-24mm x 55m-36 rls/cs-H 113.34" u="1"/>
        <s v="HP 235 CLR-48mm x 100m-36 rls/cs-H 2715.76" u="1"/>
        <s v="HP 100 CLR-53mm x 1500m-6 rls/cs-S 10276.2" u="1"/>
        <s v="CP 066 NAT-24mm x 55m-36 rls/cs-S 1261.66" u="1"/>
        <s v="HP 200 CLR-48mm x 100m-36 rls/cs-S 1133.35" u="1"/>
        <s v="WP 100 NAT-72mmx138m(450ft)-10rls/cs-H/A 2340.36" u="1"/>
        <s v="HP 100 CLR-48mm x 914m-6 rls/cs-S 2851.2" u="1"/>
        <s v="GS 490 WHI-48mm x 55m-24 rls/cs-H/A 603.5" u="1"/>
        <s v="HP 200 CLR-72mm x 1371m-4 rls/cs-S 5815.42" u="1"/>
        <s v="HP 200 CLR-48mm x 1500m-6 rls/cs-H 57929.25" u="1"/>
        <s v="FP 097 KFT-18mm *DO NOT USE* 382.05" u="1"/>
        <s v="CP 105 NAT-48mm x 55m-24 rls/cs-S 1988.71" u="1"/>
        <s v="FP 097 KFT-72mm x 55m-16 rls/cs-H/A 492.94" u="1"/>
        <s v="HP 200 CLR-48mm x 1500m-6 rls/cs-H 28004.48" u="1"/>
        <s v="CP 105 NAT-24mm x 55m- 36 rls/cs-S 68.43" u="1"/>
        <s v="CP 631 RED-18mm x 55m-48 rls/cs-H 1028.34" u="1"/>
        <s v="AP 180 CLR-72mm x 100m-24 rls/cs-H/A 1824.77" u="1"/>
        <s v="HP 200 BLU-48mm x 914m-6 rls/cs-H 1701.81" u="1"/>
        <s v="HP 200 CLR-48mm x 100m-36 rls/cs-S 1813.36" u="1"/>
        <s v="CP 106 NAT-36mm x 55m-24 rls/cs-S 1211.76" u="1"/>
        <s v="SD 934  PISTOL GRIP TAPE DISPNSR PREM.-S 71.87" u="1"/>
        <s v="CP 105 NAT-48mm x 55m-24 rls/cs-S 1304.9" u="1"/>
        <s v="HP 200 CLR-48mm x 100m-36 rls/cs-S 534.6" u="1"/>
        <s v="HP 200 CLR-48mm x 100m-36 rls/cs-S 598.75" u="1"/>
        <s v="DP 380 GLA-48mm x 50m-24 rls/cs-H 1149.98" u="1"/>
        <s v="HP 100 CLR-48mm x 1371m-6 rls/cs- S 5538.46" u="1"/>
        <s v="HM 016 CLR-48mm x 100m-36 rls/cs-S 5324.61" u="1"/>
        <s v="CP 450 NAT-36mm x 55m-24 rls/cs-H 19588.22" u="1"/>
        <s v="CP 105 NAT-18mm x 55m-48 rls/cs-S 5337.44" u="1"/>
        <s v="DP 050 CLR-48mm x 50m-24 rls/cs-H 4987.68" u="1"/>
        <s v="HP 200 CLR-48mm x 1500m-6 rls/cs-H 13978.72" u="1"/>
        <s v="FP 096 KFT-18mm *DO NOT USE* " u="1"/>
        <s v="HP 100 CLR-48mm x 100m-36 rls/cs-S 96.94" u="1"/>
        <s v="CP 106 NAT-48mm x 55m-24 rls/cs-S 1168.99" u="1"/>
        <s v="HP 200 CLR-48mm x 1371m-6 rls/cs-S 66968.22" u="1"/>
        <s v="DP 380 GLA-48mm x 50m-24 rls/cs-H 13343.59" u="1"/>
        <s v="HP 200 CLR-48mm x 100m-36 rls/cs-S 9024.05" u="1"/>
        <s v="AP 180 CLR-48mm x 1371m-6 rls/cs-H 19399.54" u="1"/>
        <s v="HP 100 CLR-48mm x 1371m-6 rls/cs- S 30258.36" u="1"/>
        <s v="HP 200 CLR-48mm x 100m-36 rls/cs-S 591.63" u="1"/>
        <s v="CP 106 NAT-48mm x 55m-24 rls/cs-S 83.63" u="1"/>
        <s v="HM 016 CLR-48mm x 100m-36 rls/cs-S 739.53" u="1"/>
        <s v="HP 200 CLR-48mm x 100m-36 rls/cs-S 581.64" u="1"/>
        <s v="AP 180 CLR-48mm x 100m-36 rls/cs-H/A 157" u="1"/>
        <s v="CP 106 NAT-36mm x 55m-24 rls/cs-S 132.34" u="1"/>
        <s v="HP 200 CLR-48mm x 100m-36 rls/cs-S 121.89" u="1"/>
        <s v="HP 200 GRN-48mm x 914m-6 rls/cs-H/A 149.98" u="1"/>
        <s v="HP 235 CLR-72mm x 100m-24 rls/cs-H 1135.73" u="1"/>
        <s v="HP 132 CLR-48mm x 914m-6 rls/cs-S 10692" u="1"/>
        <s v="AP 180 CLR-72mm x 100m-24 rls/cs-H/A 250.9" u="1"/>
        <s v="AP 180 CLR-48mm x 914m-6 rls/cs-H/A 7360.91" u="1"/>
        <s v="AP 180 CLR-72mm x 1371m-4 rls/cs-H 37176.81" u="1"/>
        <s v="HP 100 CLR-53mm x 1500m-6 rls/cs-S 33458.47" u="1"/>
        <s v="AP 180 CLR-48mm x 100m-36 rls/cs-H/A 1211.76" u="1"/>
        <s v="AP 180 CLR-72mm x 100m-24 rls/cs-H/A 1129.08" u="1"/>
        <s v="HP 200 CLR-48mm x 1371m-6 rls/cs-S 16251.84" u="1"/>
        <s v="HP 200 CLR-48mm x 1828m-6 rls/cs-S 52213.09" u="1"/>
        <s v="HP 400 CLR-72mm x 914m-4 rls/cs-H/A 1635.41" u="1"/>
        <s v="HP 500 CLR-72mm x 914m-4 rls/cs-S 241279.94" u="1"/>
        <s v="HP 100 CLR-48mm x 1371m-6 rls/cs- S 40906.59" u="1"/>
        <s v="WP 150 RED SIMP-72mmx138m(450FT)-10rl/cs 9762.88" u="1"/>
        <s v="AP 180 CLR-48mm x 100m-36 rls/cs-H/A 3720.8" u="1"/>
        <s v="AP 180 CLR-48mm x 1371m-6 rls/cs-H 10858.8" u="1"/>
        <s v="HP 232 CLR-48mm x 1371m-6 rls/cs-H/T 8848.7" u="1"/>
        <s v="HP 100 CLR-72mm x 100m-24 rls/cs-S 27542.6" u="1"/>
        <s v="HM 016 CLR-72mm x 100m-24 rls/cs-H/A 2257.2" u="1"/>
        <s v="CP 450 NAT-24mm x 55m-36 rls/cs-H 1658.68" u="1"/>
        <s v="DF 545 BLU-48mm x 33m-24 rls/cs-H 23049.1" u="1"/>
        <s v="AP 180 CLR-72mm x 100m-24 rls/cs-H/A 1404.21" u="1"/>
        <s v="HP 500 CLR-72mm x 914m-4 rls/cs-S 345177.69" u="1"/>
        <s v="HP 235 CLR-72mm x 100m-24 rls/cs-H 1025.24" u="1"/>
        <s v="CP 66L NAT-4in x 240yd-3 rls/cs-H 28580.44" u="1"/>
        <s v="CP 066 NAT-72mm x 55m-16 rls/cs-H/A 129.73" u="1"/>
        <s v="SD 935  PISTOL GRIP DISPNSR-3 IN. ROLL-S 36.89" u="1"/>
        <s v="HP 100 CLR-48mm x 914m-6 rls/cs-S 5844.96" u="1"/>
        <s v="AP 201 CLR-48mm x 1371m-6 rls/cs-H/A 14936.7" u="1"/>
        <s v="CP 106 NAT-48mm x 55m-24 rls/cs-S 3930.87" u="1"/>
        <s v="HP 100 CLR-48mm x 100m-36 rls/cs-S 944.46" u="1"/>
        <s v="HP 100 CLR-48mm x 100m-36 rls/cs-S 3763.59" u="1"/>
        <s v="HP 235 CLR-53mm x 914m-6 rls/cs-H 1309.78" u="1"/>
        <s v="HP 200 CLR-48mm x 100m-36 rls/cs-S 36630.76" u="1"/>
        <s v="GS 490 WHI-48mm x 55m-24 rls/cs-H/A 1756.34" u="1"/>
        <s v="HP 200 CLR-48mm x 1371m-6 rls/cs-S 6667.53" u="1"/>
        <s v="AP 201 CLR-48mm x 100m-36 rls/cs-H/A 16593.99" u="1"/>
        <s v="PC 600 GRN-48mm x 55m-24 rls/cs-H 129.97" u="1"/>
        <s v="HP 400 CLR-72mm x 50m-24 rls/cs-H 744.16" u="1"/>
        <s v="HP 100 CLR-48mm x 914m-6 rls/cs-S 3646.68" u="1"/>
        <s v="HP 500 CLR-48mm x 50m-36 rls/cs-H/A 131.16" u="1"/>
        <s v="HP 200 CLR-72mm x 914m-4 rls/cs-H/A 6700.32" u="1"/>
        <s v="WP 150 WB HILLS 70mmx138m(450FT)-10rl/cs " u="1"/>
        <s v="HP 100 TAN-48mm x 100m-36 rls/cs-S 10184.47" u="1"/>
        <s v="HP 235 CLR-72mm x 1371m-4 rls/cs-H 31465.84" u="1"/>
        <s v="HP 100 CLR-53mm x 1500m-6 rls/cs-S 3635.28" u="1"/>
        <s v="HP 100 CLR-72mm x 100m-24 rls/cs-S 12673.57" u="1"/>
        <s v="HP 100 CLR-72mm x 1500m-4 rls/cs-H/T 50566.1" u="1"/>
        <s v="HP 200 CLR-48mm x 914m-6 rls/cs-S 4043" u="1"/>
        <s v="HM 016 CLR-72mm x 100m-24 rls/cs-H 1839.02" u="1"/>
        <s v="HP 300 CLR-48mm x 1371m-6 rls/cs-H " u="1"/>
        <s v="HP 200 CLR-48mm x 100m-36 rls/cs-S 13749.91" u="1"/>
        <s v="HP 100 CLR-72mm x 1371m-4 rls/cs-H/T 16388.7" u="1"/>
        <s v="HP 400 CLR-72mm x 914m-4 rls/cs-H/A 3807.78" u="1"/>
        <s v="HP 500 CLR-72mm x 914m-4 rls/cs-S 400475.23" u="1"/>
        <s v="CP 450 NAT-24mm x 55m-36 rls/cs-H 144.7" u="1"/>
        <s v="HM 016 CLR-48mm x 100m-36 rls/cs-S 5324.62" u="1"/>
        <s v="HP 200 CLR-48mm x 1500m-6 rls/cs-H 4763.28" u="1"/>
        <s v="TG 356 NAT- 12mm x 33m - 72 rls/cs -S 219.54" u="1"/>
        <s v="PC 600 SIL-72mm x 55m-16 rls/cs-H 407.87" u="1"/>
        <s v="HP 235 CLR-72mm x 914m-4 rls/cs-H 11134.06" u="1"/>
        <s v="HP 200 CLR-48mm x 100m-36 rls/cs-S 7377" u="1"/>
        <s v="AP 201 CLR-48mm x 914m-6 rls/cs-H/A 2090.28" u="1"/>
        <s v="GS 521 WHI-18mm x 55m-48 rls/cs-H 207.19" u="1"/>
        <s v="HP 100 CLR-48mm x 914m-6 rls/cs-S 3027.96" u="1"/>
        <s v="HP 132 CLR-48mm x 100m-36 rls/cs-H 1539.65" u="1"/>
        <s v="TG 356 NAT- 19mm X 33m-48 rls/cs-H 1767.74" u="1"/>
        <s v="HP 100 CLR-72mm x 100m-24 rls/cs-S 13429.15" u="1"/>
        <s v="HP 300 CLR-48mm x 100m-36 rls/cs-H/A 1596.68" u="1"/>
        <s v="HP 200 BLU-72mm x 914m-4 rls/cs-H 12085.29" u="1"/>
        <s v="CP 107 NAT-48mm x 55m-24 rls/cs-H/A 5624.95" u="1"/>
        <s v="GS 490 CLR-48mm x 55m-24 rls/cs-H/A 285.59" u="1"/>
        <s v="HP 100 CLR-53mm x 1500m-6 rls/cs-S 3725.09" u="1"/>
        <s v="HP 400 CLR-72mm x 914m-4 rls/cs-H/A 5931.9" u="1"/>
        <s v="HP 100 CLR-72mm x 100m-24 rls/cs-S 8154.43" u="1"/>
        <s v="CP 631 GRN-18mm x 55m-48 rls/cs-H 315.54" u="1"/>
        <s v="HM 018 CLR-48mm x 100m-36 rls/cs-S 1764.18" u="1"/>
        <s v="HP 100 CLR-48mm x 914m-6 rls/cs-S 1065.4" u="1"/>
        <s v="HP 100 CLR-53mm x 1500m-6 rls/cs-S 17299.65" u="1"/>
        <s v="CP 106 NAT-72mm x 55m-16 rls/cs-S 17834.57" u="1"/>
        <s v="HP 232 CLR-48mm x 914m-6 rls/cs-H/A 9447.25" u="1"/>
        <s v="HP 400 CLR-48mm x 914m-6 rls/cs-H/A 1683.15" u="1"/>
        <s v="AP 101 CLR-48mm x 100m-36 rls/cs-S 3250.36" u="1"/>
        <s v="HP 300 CLR-48mm x 914m-6 rls/cs-H 3276.51" u="1"/>
        <s v="CP 631 RED-12mm x 55m-72 rls/cs-H 182" u="1"/>
        <s v="HP 300 CLR-48mm x 914m-6 rls/cs-H 1060.18" u="1"/>
        <s v="GS 521 WHI-24mm x 55m-36 rls/cs-H 1561.03" u="1"/>
        <s v="CP 66L NAT-24mm x 55m-36 rls/cs-H " u="1"/>
        <s v="HP 100 CLR-72mm x 100m-24 rls/cs-S 478.76" u="1"/>
        <s v="HP 100 CLR-48mm x 100m-36 rls/cs-S 146.83" u="1"/>
        <s v="HP 100 CLR-72mm x 100m-24 rls/cs-S 478.77" u="1"/>
        <s v="HP 100 CLR-48mm x 100m-36 rls/cs-S 146.84" u="1"/>
        <s v="HP 200 CLR-48mm x 1371m-6 rls/cs-S 4807.83" u="1"/>
        <s v="HP 200 CLR-48mm x 100m-36 rls/cs-S 944.45" u="1"/>
        <s v="HP 200 CLR-48mm x 100m-36 rls/cs-S 7334.72" u="1"/>
        <s v="HP 200 CLR-48mm x 100m-36 rls/cs-S 934.48" u="1"/>
        <s v="AP 180 CLR-48mm x 914m-6 rls/cs-H/A 2644.48" u="1"/>
        <s v="CP 066 NAT-24mm x 55m-36 rls/cs-S " u="1"/>
        <s v="HP 200 CLR-48mm x 914m-6 rls/cs-S 3656.66" u="1"/>
        <s v="VP 410 DBL- 50MM X 33M- 24 RLS/CS-H 48.71" u="1"/>
        <s v="FE-2 Folded-Edge Tape Dispenser 260" u="1"/>
        <s v="HP 500 CLR-72mm x 50m-24 rls/cs-H/A 25304.4" u="1"/>
        <s v="CP 450 NAT-24mm x 55m-36 rls/cs-H 1263.78" u="1"/>
        <s v="HP 400 CLR-72mm x 914m-4 rls/cs-H/A 4598.99" u="1"/>
        <s v="HP 200 CLR-48mm x 100m-36 rls/cs-S 9954.25" u="1"/>
        <s v="GS 490 WHI-12mm x 55m-72 rls/cs-H/A 439.08" u="1"/>
        <s v="HP 100 CLR-72mm x 914m-4 rls/cs-S 23937.71" u="1"/>
        <s v="HP 100 CLR-48mm x 100m-36 rls/cs-S 25651.18" u="1"/>
        <s v="AP 180 CLR-72mm x 100m-24 rls/cs-H/A 13172.53" u="1"/>
        <s v="GS 490 WHI-9mm x 55m-96 rls/cs-H 5836.41" u="1"/>
        <s v="HP 100 CLR-48mm x 914m-6 rls/cs-S 4037" u="1"/>
        <s v="HP 200 CLR-48mm x 1371m-6 rls/cs-S 10161.69" u="1"/>
        <s v="HP 200 CLR-48mm x 100m-36 rls/cs-S 1813.38" u="1"/>
        <s v="FP 097 KFT-72mm x 55m-16 rls/cs-H/A 2247.36" u="1"/>
        <s v="GS 490 WHI-18mm x 55m-48 rls/cs-H/A 5084.64" u="1"/>
        <s v="HP 100 CLR-48mm x 100m-36 rls/cs-S 9754.66" u="1"/>
        <s v="WP 100 NAT-70mm x 153m(500ft)-6 rls/cs-H 75.08" u="1"/>
        <s v="HP 200 CLR-48mm x 100m-36 rls/cs-S 16770.44" u="1"/>
        <s v="HP 200 CLR-72mm x 914m-4 rls/cs-S 12545.3" u="1"/>
        <s v="HP 100 CLR-53mm x 1500m-6 rls/cs-S 3795.66" u="1"/>
        <s v="HP 200 CLR-72mm x 914m-4 rls/cs-S 12122.51" u="1"/>
        <s v="HP 200 YEL-48mm x 914m-6 rls/cs-H 781" u="1"/>
        <s v="HP 100 CLR-72mm x 100m-24 rls/cs-S 3739.81" u="1"/>
        <s v="HP 100 CLR-53mm x 1500m-6 rls/cs-S 19771.65" u="1"/>
        <s v="HM 016 CLR-48mm x 100m-36 rls/cs-S 7484.04" u="1"/>
        <s v="FP 097 KFT-24mm x 55m-36 rls/cs-H 1398.85" u="1"/>
        <s v="HP 200 CLR-72mm x 100m-24 rls/cs-S 2483.16" u="1"/>
        <s v="HP 200 WHI-48mm x 914m-6 rls/cs-H 1334.12" u="1"/>
        <s v="HP 200 CLR-48mm x 914m-6 rls/cs-S 2868.31" u="1"/>
        <s v="HP 100 CLR-53mm x 1500m-6 rls/cs-S 1065.64" u="1"/>
        <s v="HP 200 BLU-72mm x 914m-4 rls/cs-H 11420.25" u="1"/>
        <s v="HP 100 CLR-48mm x 100m-36 rls/cs-S 7284.81" u="1"/>
        <s v="SD 955,Desktop dispenser, Max 1&quot; Rol-H/T 87" u="1"/>
        <s v="WP 150 WB HILLS 70mmx138m(450FT)-10rl/cs 18760.9" u="1"/>
        <s v="HP 200 CLR-48mm x 100m-36 rls/cs-S 755.56" u="1"/>
        <s v="HP 200 CLR-72mm x 914m-4 rls/cs-S 9540.64" u="1"/>
        <s v="HP 200 CLR-48mm x 100m-36 rls/cs-S 4039.43" u="1"/>
        <s v="HP 200 CLR-48mm x 914m-6 rls/cs-S 2848.35" u="1"/>
        <s v="HP 300 CLR-48mm x 100m-36 rls/cs-H/A 88.39" u="1"/>
        <s v="HP 200 TAN-72mm x 914m-4 rls/cs-H 1105.91" u="1"/>
        <s v="HP 200 CLR-48mm x 100m-36 rls/cs-S 1183.25" u="1"/>
        <s v="HP 100 CLR-53mm x 1500m-6 rls/cs-S 31498.65" u="1"/>
        <s v="HP 100 CLR-48mm x 1371m-6 rls/cs- S 66379.23" u="1"/>
        <s v="AP 180 CLR-48mm x 100m-36 rls/cs-H/A 7099.48" u="1"/>
        <s v="AP 201 CLR-72mm x 914m-4 rls/cs-H 2562.28" u="1"/>
        <s v="HP 300 CLR-48mm x 914m-6 rls/cs-H 3690.24" u="1"/>
        <s v="GS 490 CLR-48mm x 55m-24 rls/cs-H/A 9975.4" u="1"/>
        <s v="HP 100 CLR-72mm x 100m-24 rls/cs-S 8154.44" u="1"/>
        <s v="HM 016 CLR-48mm x 100m-36 rls/cs-S 4999.24" u="1"/>
        <s v="SD 935, PISTOL GRIP DISPNSR-3 IN. ROLL-S 66.88" u="1"/>
        <s v="HP 100 CLR-48mm x 914m-6 rls/cs-S 4201.96" u="1"/>
        <s v="HP 200 CLR-72mm x 914m-4 rls/cs-H/A 2415.92" u="1"/>
        <s v="HP 200 CLR-48mm x 100m-36 rls/cs-S 10782.89" u="1"/>
        <s v="HP 200 CLR-53mm x 1371m-6 rls/cs-H 64181.94" u="1"/>
        <s v="HP 200 CLR-48mm x 914m-6 rls/cs-S 2831.24" u="1"/>
        <s v="AP 101 CLR-48mm x 100m-36 rls/cs-S 1790.91" u="1"/>
        <s v="HP 200 TAN-72mm x 100m-24 rls/cs-H/A 344.29" u="1"/>
        <s v="HP 232 CLR-72mm x 914m-4 rls/cs-H/A 31120.14" u="1"/>
        <s v="HP 200 CLR-48mm x 914m-6 rls/cs-S 3010.87" u="1"/>
        <s v="HP 400 CLR-72mm x 914m-4 rls/cs-H/A 2601.72" u="1"/>
        <s v="HP 200 CLR-72mm x 914m-4 rls/cs-S 9798.64" u="1"/>
        <s v="HP 100 CLR-48mm x 914m-6 rls/cs-S 22404.73" u="1"/>
        <s v="HP 200 CLR-48mm x 1828m-6 rls/cs-S 15061.46" u="1"/>
        <s v="WP 100 NAT-70mm x 153m(500ft)-6 rls/cs-H 3285.06" u="1"/>
        <s v="HP 200 CLR-72mm x 914m-4 rls/cs-S 863.31" u="1"/>
        <s v="P- 628 BLK-4in x 50m-12 rls/cs-H 8355.91" u="1"/>
        <s v="FP 097 KFT-48mm x 55m-24 rls/cs-H/A 7633.6" u="1"/>
        <s v="HP 200 CLR-48mm x 100m-36 rls/cs-S 12317.18" u="1"/>
        <s v="GS 490 WHI-12mm x 55m-72 rls/cs-H/A 889.56" u="1"/>
        <s v="HP 100 CLR-48mm x 1371m-6 rls/cs- S 2694.38" u="1"/>
        <s v="AP 180 CLR-48mm x 914m-6 rls/cs-H/A 22823.86" u="1"/>
        <s v="GS 490 WHI-48mm x 55m-24 rls/cs-H/A 11486.76" u="1"/>
        <s v="HP 200 GRN-48mm x 914m-6 rls/cs-H/A 199.58" u="1"/>
        <s v="HP 200 CLR-48mm x 1500m-6 rls/cs-H 12468.88" u="1"/>
        <s v="CP 106 NAT-12mm x 55m-72 rls/cs-H/A 3421.44" u="1"/>
        <s v="DP 401 GLA-48mm x 50m-24 rls/cs-H " u="1"/>
        <s v="HP 200 WHI-48mm x 100m-36 rls/cs-H 444.79" u="1"/>
        <s v="HP 200 GRN-48mm x 914m-6 rls/cs-H/A 7472.52" u="1"/>
        <s v="CP 106 NAT-48mm x 55m-24 rls/cs-S 3954.86" u="1"/>
        <s v="HP 200 CLR-72mm x 100m-24 rls/cs-S 7249.18" u="1"/>
        <s v="GS 490 CLR-12mm x 55m-72 rls/cs-H/A 4653.16" u="1"/>
        <s v="HP 200 CLR-48mm x 1371m-6 rls/cs-S " u="1"/>
        <s v="HP 200 CLR-72mm x 100m-24 rls/cs-S 28255.4" u="1"/>
        <s v="CP 631 RED-36mm x 55m-24 rls/cs-C 519" u="1"/>
        <s v="HP 200 CLR-48mm x 914m-6 rls/cs-S 3298.84" u="1"/>
        <s v="HP 200 CLR-72mm x 100m-24 rls/cs-S 7149.38" u="1"/>
        <s v="HP 100 CLR-53mm x 1500m-6 rls/cs-S 7569.1" u="1"/>
        <s v="HP 200 CLR-48mm x 914m-6 rls/cs-S 49319.45" u="1"/>
        <s v="HP 200 CLR-48mm x 100m-36 rls/cs-S 566.68" u="1"/>
        <s v="P- 628 BLK-4in x 50m-12 rls/cs-H 13317.25" u="1"/>
        <s v="GS 490 WHI-18mm x 55m-48 rls/cs-H/A 203.39" u="1"/>
        <s v="GG 200 NAT-48mm x 33m-24 rls/cs-H 2616" u="1"/>
        <s v="HP 100 CLR-72mm x 100m-24 rls/cs-S 6444.91" u="1"/>
        <s v="HP 100 CLR-48mm x 1371m-6 rls/cs- S 71715.54" u="1"/>
        <s v="HP 100 CLR-48mm x 100m-36 rls/cs-S 188.89" u="1"/>
        <s v="HP 500 CLR-72mm x 914m-4 rls/cs-S 101219.02" u="1"/>
        <s v="HP 200 TAN-72mm x 914m-4 rls/cs-H 25303.45" u="1"/>
        <s v="SD 935, PISTOL GRIP DISPNSR-3 IN. ROLL-S 11.15" u="1"/>
        <s v="VP 410 YEL- 50MM X 33M- 24 RLS/CS-S 225.24" u="1"/>
        <s v="CT 109 NAT- 18mm X 33m- 192 rls/cs-X " u="1"/>
        <s v="HP 300 CLR-48mm x 914m-6 rls/cs-H 1053.16" u="1"/>
        <s v="WP 300 NAT-76mmx138m(450ft)-10rls/cs-H/A 842.98" u="1"/>
        <s v="HP 100 CLR-48mm x 1371m-6 rls/cs- S 70124.35" u="1"/>
        <s v="AP 201 CLR-72mm x 914m-4 rls/cs-H 4719.68" u="1"/>
        <s v="HP 300 CLR-48mm x 914m-6 rls/cs-H 1053.17" u="1"/>
        <s v="HP 100 CLR-72mm x 914m-4 rls/cs-S 12142.32" u="1"/>
        <s v="FP 097 KFT-72mm x 55m-16 rls/cs-H/A 1273.54" u="1"/>
        <s v="AP 101 CLR-48mm x 914m-6 rls/cs-H 462" u="1"/>
        <s v="HP 200 CLR-72mm x 914m-4 rls/cs-S 34951.94" u="1"/>
        <s v="HP 100 CLR-48mm x 100m-36 rls/cs-S 14498" u="1"/>
        <s v="WP 100 NAT-72mmx138m(450ft)-10rls/cs-H/A 535.59" u="1"/>
        <s v="HP 200 CLR-72mm x 914m-4 rls/cs-S 7527.2" u="1"/>
        <s v="AP 180 CLR-48mm x 1371m-6 rls/cs-H 16098" u="1"/>
        <s v="CP 083 NAT-24mm x 55m-36 rls/cs-S 352.84" u="1"/>
        <s v="HP 235 CLR-72mm x 914m-4 rls/cs-H 4775.76" u="1"/>
        <s v="AP 180 CLR-72mm x 100m-24 rls/cs-H/A 1913" u="1"/>
        <s v="HP 200 CLR-48mm x 914m-6 rls/cs-S 1673.18" u="1"/>
        <s v="HP 200 CLR-72mm x 1371m-4 rls/cs-S 8130.84" u="1"/>
        <s v="CP 106 NAT-18mm x 55m-48 rls/cs-S 361" u="1"/>
        <s v="HP 200 CLR-72mm x 914m-4 rls/cs-S 8363.52" u="1"/>
        <s v="CP 631 BLK-18mm x 55m-48 rls/cs-H -157.77" u="1"/>
        <s v="HP 132 CLR-72mm x 100m-24 rls/cs-H 778.38" u="1"/>
        <s v="HP 300 CLR-72mm x 100m-24 RLS/CS-H 8724.67" u="1"/>
        <s v="HP 200 CLR-72mm x 100m-24 rls/cs-S 282.74" u="1"/>
        <s v="HP 232 CLR-72mm x 914m-4 rls/cs-H/A 12231.64" u="1"/>
        <s v="HP 100 CLR-72mm x 914m-4 rls/cs-S 597.17" u="1"/>
        <s v="CP 106 NAT-48mm x 55m-24 rls/cs-S 2356.99" u="1"/>
        <s v="CP 450 NAT-36mm x 55m-24 rls/cs-H 11767.87" u="1"/>
        <s v="HP 100 CLR-72mm x 100m-24 rls/cs-S 11661.42" u="1"/>
        <s v="HP 200 CLR-48mm x 100m-36 rls/cs-S 377.79" u="1"/>
        <s v="HP 200 CLR-72mm x 100m-24 rls/cs-S 872.46" u="1"/>
        <s v="HP 200 CLR-48mm x 1500m-6 rls/cs-H 1831.9" u="1"/>
        <s v="HP 235 CLR-72mm x 1371m-4 rls/cs-H 134749.05" u="1"/>
        <s v="CP 106 NAT-48mm x 55m-24 rls/cs-S 89.34" u="1"/>
        <s v="HP 500 CLR-72mm x 914m-4 rls/cs-S 7969.1" u="1"/>
        <s v="AP 180 CLR-48mm x 100m-36 rls/cs-H/A 1348.62" u="1"/>
        <s v="HP 200 CLR-48mm x 914m-6 rls/cs-S 4641.74" u="1"/>
        <s v="HP 100 CLR-72mm x 1371m-4 rls/cs-H/T 5491.41" u="1"/>
        <s v="GS 490 WHI-48mm x 55m-24 rls/cs-H/A 2756" u="1"/>
        <s v="CP 106 NAT-24mm x 55m-36 rls/cs-S 1049.25" u="1"/>
        <s v="WP 150 BLU WISDOM 72mm x 138M - NS 1356.3" u="1"/>
        <s v="HP 200 CLR-48mm x 1500m-6 rls/cs-H 617.64" u="1"/>
        <s v="SD 934  PISTOL GRIP TAPE DISPNSR PREM.-S 1290.65" u="1"/>
        <s v="HP 100 CLR-48mm x 100m-36 rls/cs-S 11133.91" u="1"/>
        <s v="HM 016 CLR-72mm x 100m-24 rls/cs-H/A 283" u="1"/>
        <s v="HP 100 CLR-53mm x 1500m-6 rls/cs-S 16328.83" u="1"/>
        <s v="SD 935, PISTOL GRIP DISPNSR-3 IN. ROLL-S 1638.66" u="1"/>
        <s v="CP 66L NAT-48mm x 165m- 6 rls/cs-C " u="1"/>
        <s v="SD 934  PISTOL GRIP TAPE DISPNSR PREM.-S 91.28" u="1"/>
        <s v="HP 100 CLR-48mm x 914m-6 rls/cs-S 2645.38" u="1"/>
        <s v="CP 66L NAT-48mm x 165m- 6 rls/cs-C 6987.34" u="1"/>
        <s v="WP 100 NAT-70mm x 153m(500ft)-6 rls/cs-H 137.58" u="1"/>
        <s v="AP 101 CLR-48mm x 914m-6 rls/cs-H 6107.27" u="1"/>
        <s v="HP 200 CLR-48mm x 1828m-6 rls/cs-S 28291.02" u="1"/>
        <s v="HM 018 CLR-72mm x 100m-24 rls/cs-H/A 8154.42" u="1"/>
        <s v="FP 097 KFT-72mm x 55m-16 rls/cs-H/A 8016.62" u="1"/>
        <s v="HP 100 CLR-72mm x 100m-24 rls/cs-S 14769.23" u="1"/>
        <s v="HP 100 CLR-53mm x 1500m-6 rls/cs-S 7189.3" u="1"/>
        <s v="HP 200 CLR-48mm x 914m-6 rls/cs-S 10794.63" u="1"/>
        <s v="HP 100 CLR-48mm x 1371m-6 rls/cs- S 12103.36" u="1"/>
        <s v="HP 200 BLU-48mm x 914m-6 rls/cs-H 533.65" u="1"/>
        <s v="HP 200 CLR-48mm x 100m-36 rls/cs-S 188.89" u="1"/>
        <s v="HP 100 CLR-53mm x 1500m-6 rls/cs-S 50583.85" u="1"/>
        <s v="HP 200 ORG-48mm x 914m-6 rls/cs-H 11427.61" u="1"/>
        <s v="HP 100 CLR-48mm x 100m-36 rls/cs-S 1753.49" u="1"/>
        <s v="HP 232 CLR-72mm x 914m-4 rls/cs-H/A 26907.72" u="1"/>
        <s v="HP 500 CLR-48mm x 50m-36 rls/cs-H/A 531.39" u="1"/>
        <s v="HP 100 CLR-72mm x 100m-24 rls/cs-S 3719.64" u="1"/>
        <s v="SD 934  PISTOL GRIP TAPE DISPNSR PREM.-S 71.99" u="1"/>
        <s v="AP 401 CLR-48mm x 100m-36 rls/cs-H/A 207" u="1"/>
        <s v="HP 400 CLR-72mm x 50m-24 rls/cs-H 620.14" u="1"/>
        <s v="HP 200 CLR-48mm x 914m-6 rls/cs-S 4892.66" u="1"/>
        <s v="HP 300 CLR-48mm x 914m-6 rls/cs-H 937.15" u="1"/>
        <s v="HP 200 CLR-72mm x 914m-4 rls/cs-S 8538.4" u="1"/>
        <s v="HP 200 CLR-48mm x 914m-6 rls/cs-S 4892.67" u="1"/>
        <s v="PC 006 SIL-48mm x 55m-24 rls/cs-H/A 2538.99" u="1"/>
        <s v="FP 097 KFT-24mm x 55m-36 rls/cs-H 1958.4" u="1"/>
        <s v="AP 201 CLR-72mm x 914m-4 rls/cs-H 2576.21" u="1"/>
        <s v="FP 097 KFT-48mm x 55m-24 rls/cs-H/A 192.93" u="1"/>
        <s v="CP 105 NAT-24mm x 55m- 36 rls/cs-S 128.3" u="1"/>
        <s v="HP 200 CLR-48mm x 914m-6 rls/cs-S 2694.38" u="1"/>
        <s v="CP 106 NAT-48mm x 55m-24 rls/cs-S 228.1" u="1"/>
        <s v="HP 500 CLR-72mm x 50m-24 rls/cs-H/A 8596.37" u="1"/>
        <s v="HP 100 CLR-48mm x 1500m-6 rls/cs-H/A 11194.53" u="1"/>
        <s v="HP 200 CLR-72mm x 100m-24 rls/cs-S 694.51" u="1"/>
        <s v="HP 232 CLR-72mm x 100m-24 rls/cs-H 1504.02" u="1"/>
        <s v="GS 490 WHI-48mm x 55m-24 rls/cs-H/A 350.22" u="1"/>
        <s v="HP 100 CLR-53mm x 1500m-6 rls/cs-S 10927.23" u="1"/>
        <s v="HP 200 CLR-48mm x 100m-36 rls/cs-S 502.52" u="1"/>
        <s v="HP 200 CLR-72mm x 1371m-4 rls/cs-S 20958.44" u="1"/>
        <s v="HM 016 CLR-72mm x 100m-24 rls/cs-H/A 3114.94" u="1"/>
        <s v="SD 935  PISTOL GRIP DISPNSR-3 IN. ROLL-S 885.3" u="1"/>
        <s v="HM 016 CLR-48mm x 100m-36 rls/cs-S 532.46" u="1"/>
        <s v="HM 016 CLR-72mm x 914m-4 rls/cs-H/A 543.19" u="1"/>
        <s v="HP 100 CLR-53mm x 1500m-6 rls/cs-S 107423.48" u="1"/>
        <s v="HP 200 CLR-48mm x 914m-6 rls/cs-S 21349.56" u="1"/>
        <s v="HP 232 CLR-48mm x 1371m-6 rls/cs-H/T 27799.2" u="1"/>
        <s v="HP 200 CLR-48mm x 100m-36 rls/cs-S 932.34" u="1"/>
        <s v="CP 106 NAT-12mm x 55m-72 rls/cs-H/A 3421" u="1"/>
        <s v="HP 100 CLR-48mm x 100m-36 rls/cs-S 2129.13" u="1"/>
        <s v="HP 100 CLR-53mm x 1500m-6 rls/cs-S 7056.72" u="1"/>
        <s v="HP 200 CLR-72mm x 1371m-4 rls/cs-S 96.9" u="1"/>
        <s v="HP 200 RED-48mm x 914m-6 rls/cs-H 667.06" u="1"/>
        <s v="HP 200 CLR-48mm x 914m-6 rls/cs-S 5812.87" u="1"/>
        <s v="HP 232 CLR-48mm x 100m-36 rls/cs-H/A 397.74" u="1"/>
        <s v="CP 106 NAT-36mm x 55m-24 rls/cs-S 608" u="1"/>
        <s v="HP 100 CLR-48mm x 100m-36 rls/cs-S 104.78" u="1"/>
        <s v="HM 016 CLR-72mm x 100m-24 rls/cs-H/A 297" u="1"/>
        <s v="HP 200 CLR-48mm x 1371m-6 rls/cs-S 5645.4" u="1"/>
        <s v="HP 300 CLR-48mm x 914m-6 rls/cs-H 3828.1" u="1"/>
        <s v="HP 050 CLR-72mm x 100m-24 *DO NOT USE* 598.75" u="1"/>
        <s v="CP 631 BLK-18mm x 55m-48 rls/cs-H 709.95" u="1"/>
        <s v="HP 400 CLR-72mm x 50m-24 rls/cs-H 2103.71" u="1"/>
        <s v="AP 180 CLR-72mm x 1371m-4 rls/cs-H 55484.36" u="1"/>
        <s v="HP 400 CLR-48mm x 914m-6 rls/cs-H/A 2050.01" u="1"/>
        <s v="FP 097 KFT-72mm x 55m-16 rls/cs-H/A 3508.88" u="1"/>
        <s v="HP 200 CLR-72mm x 1371m-4 rls/cs-S 3488" u="1"/>
        <s v="HP 200 WHI-48mm x 914m-6 rls/cs-H 4726.57" u="1"/>
        <s v="CP 631 GRN-24mm x 55m-36 rls/cs-H 77.7" u="1"/>
        <s v="HP 300 CLR-72mm x 914m-4 rls/cs-H 363.88" u="1"/>
        <s v="GS 500 WHI-48mm x 55m-24 rls/cs-H/A 407.48" u="1"/>
        <s v="HP 200 CLR-48mm x 1828m-6 rls/cs-S 12300.19" u="1"/>
        <s v="HP 100 TAN-48mm x 100m-36 rls/cs-S 642.23" u="1"/>
        <s v="AP 201 CLR-72mm x 100m-24 rls/cs-H/A 1627.06" u="1"/>
        <s v="DP 050 CLR-48mm x 50m-24 rls/cs-H 608.26" u="1"/>
        <s v="HP 232 CLR-48mm x 914m-6 rls/cs-H/A 13316.76" u="1"/>
        <s v="HP 100 CLR-72mm x 1371m-4 rls/cs-H/T 6877.1" u="1"/>
        <s v="CP 106 NAT-48mm x 55m-24 rls/cs-S 952.55" u="1"/>
        <s v="CP 631 GRN-24mm x 55m-36 rls/cs-H 615.87" u="1"/>
        <s v="HP 100 CLR-48mm x 1371m-6 rls/cs- S 7143.85" u="1"/>
        <s v="HP 200 CLR-72mm x 100m-24 rls/cs-S 20813.72" u="1"/>
        <s v="VP 410 RED-75mm x 33m-18 rls/cs-H " u="1"/>
        <s v="HP 100 CLR-48mm x 914m-6 rls/cs-S 3417.63" u="1"/>
        <s v="HP 200 CLR-48mm x 914m-6 rls/cs-S 12294.38" u="1"/>
        <s v="HP 100 CLR-72mm x 1371m-4 rls/cs-H/T 36064.83" u="1"/>
        <s v="HP 200 BLU-72mm x 914m-4 rls/cs-H 3273.1" u="1"/>
        <s v="HP 200 TAN-72mm x 914m-4 rls/cs-H 600.18" u="1"/>
        <s v="GS 500 WHI-48mm x 55m-24 rls/cs-H/A 3773.31" u="1"/>
        <s v="HP 100 CLR-48mm x 914m-6 rls/cs-S 2018.64" u="1"/>
        <s v="AP 180 CLR-48mm x 100m-36 rls/cs-H/A 940.89" u="1"/>
        <s v="HP 200 CLR-72mm x 1371m-4 rls/cs-S 102764.39" u="1"/>
        <s v="HP 100 CLR-48mm x 914m-6 rls/cs-S 2018.65" u="1"/>
        <s v="HP 232 CLR-48mm x 1371m-6 rls/cs-H/T 48648.59" u="1"/>
        <s v="FP 097 KFT-72mm x 55m-16 rls/cs-H/A 65" u="1"/>
        <s v="HP 232 CLR-72mm x 914m-4 rls/cs-H/A 8709.46" u="1"/>
        <s v="HP 100 CLR-72mm x 100m-24 rls/cs-S 4137.8" u="1"/>
        <s v="HP 100 CLR-48mm x 914m-6 rls/cs-S 3087.85" u="1"/>
        <s v="VP 410 YEL- 50MM X 33M- 24 RLS/CS-S 75.08" u="1"/>
        <s v="CP 105 NAT-18mm x 55m-48 rls/cs-S 14871.86" u="1"/>
        <s v="HP 100 CLR-72mm x 100m-24 rls/cs-S 62891.09" u="1"/>
        <s v="HP 235 CLR-72mm x 1371m-4 rls/cs-H " u="1"/>
        <s v="WP 150 BLU HEART-72mmx138m(450FT)-10r/cs " u="1"/>
        <s v="HP 100 CLR-53mm x 1500m-6 rls/cs-S 4390.85" u="1"/>
        <s v="HP 050 CLR-72mm x 100m-24 *DO NOT USE* 1283.03" u="1"/>
        <s v="AP 180 CLR-72mm x 100m-24 rls/cs-H/A 470.45" u="1"/>
        <s v="HP 500 CLR-72mm x 50m-24 rls/cs-H/A 16437.18" u="1"/>
        <s v="WP 100 NAT-72mmx138m(450ft)-10rls/cs-H/A 1300.86" u="1"/>
        <s v="AP 201 CLR-72mm x 914m-4 rls/cs-H 2918.04" u="1"/>
        <s v="HP 100 CLR-72mm x 914m-4 rls/cs-S 7172.36" u="1"/>
        <s v="CP 66L NAT-48mm x 165m- 6 rls/cs-C 4127.05" u="1"/>
        <s v="HP 100 CLR-48mm x 914m-6 rls/cs-S 5255" u="1"/>
        <s v="HP 200 YEL-48mm x 914m-6 rls/cs-H 266.83" u="1"/>
        <s v="HP 400 CLR-72mm x 50m-24 rls/cs-H 354.97" u="1"/>
        <s v="HP 100 CLR-53mm x 1500m-6 rls/cs-S 11230.87" u="1"/>
        <s v="HP 232 CLR-72mm x 914m-4 rls/cs-H/A 67840.82" u="1"/>
        <s v="HP 500 CLR-72mm x 914m-4 rls/cs-S 48531.34" u="1"/>
        <s v="HP 100 CLR-53mm x 1500m-6 rls/cs-S 51388.6" u="1"/>
        <s v="HP 200 WHI-72mm x 100m-24 rls/cs-NS 6570.59" u="1"/>
        <s v="SD 934  PISTOL GRIP TAPE DISPNSR PREM.-S 143.75" u="1"/>
        <s v="CP 106 NAT-48mm x 55m-24 rls/cs-S 589.25" u="1"/>
        <s v="HP 500 CLR-48mm x 100m-36 rls/cs-H 723.49" u="1"/>
        <s v="HP 200 CLR-48mm x 100m-36 rls/cs-S 1163.29" u="1"/>
        <s v="HP 232 CLR-72mm x 914m-4 rls/cs-H/A 7821" u="1"/>
        <s v="HP 500 TAN-72mm x 914m-4 rls/cs-H/A 9614.25" u="1"/>
        <s v="HP 235 CLR-72mm x 1371m-4 rls/cs-H 36780.48" u="1"/>
        <s v="HP 100 CLR-48mm x 1371m-6 rls/cs- S 15152.7" u="1"/>
        <s v="GS 490 WHI-12mm x 55m-72 rls/cs-H/A 222.4" u="1"/>
        <s v="WP 150 RKSAF 70MMx183M(600FT)-10rl/cs-NS " u="1"/>
        <s v="WP 100 WHI-70mm x 138m(450ft)-10rls/cs-H 1788" u="1"/>
        <s v="HP 100 CLR-48mm x 100m-36 rls/cs-S 18732.41" u="1"/>
        <s v="SD 934  PISTOL GRIP TAPE DISPNSR PREM.-S 1340.41" u="1"/>
        <s v="WP 100 NAT-70mm x 153m(500ft)-6 rls/cs-H 2437.78" u="1"/>
        <s v="HP 100 TAN-72mm x 100m-24 rls/cs-H 1924.56" u="1"/>
        <s v="CP 631 GRN-24mm x 55m-36 rls/cs-H 233.09" u="1"/>
        <s v="CP 101 NAT-24mm x 55m-36 rls/cs-H/T 705.68" u="1"/>
        <s v="HP 100 CLR-72mm x 1500m-4 rls/cs-H/T 3598.22" u="1"/>
        <s v="AP 101 CLR-48mm x 100m-36 rls/cs-S 7484.4" u="1"/>
        <s v="HP 200 CLR-48mm x 1371m-6 rls/cs-S 12538.66" u="1"/>
        <s v="WP 100 NAT-70mm x 153m(500ft)-6 rls/cs-H 206" u="1"/>
        <s v="CP 106 NAT-48mm x 55m-24 rls/cs-S 891" u="1"/>
        <s v="SD 934, PISTOL GRIP TAPE DISPNSR PREM.-S 81.59" u="1"/>
        <s v="FP 097 KFT-72mm x 55m-16 rls/cs-H/A 6353.75" u="1"/>
        <s v="CP 106 NAT-48mm x 55m-24 rls/cs-S 11663.79" u="1"/>
        <s v="FP 115 BRN-72mm x 55m-16 rls/cs-H 1350" u="1"/>
        <s v="SD 967/SD 937 CUTTING BLD for TAPE P605B 9.39" u="1"/>
        <s v="GS 490 WHI-12mm x 55m-72 rls/cs-H/A 889.59" u="1"/>
        <s v="HP 100 CLR-48mm x 1371m-6 rls/cs- S 3019.42" u="1"/>
        <s v="CP 500 NAT-24mm x 55m-36 rls/cs-H 1250.96" u="1"/>
        <s v="HP 200 CLR-48mm x 100m-36 rls/cs-S 3207.6" u="1"/>
        <s v="CP 631 RED-18mm x 55m-48 rls/cs-H 473.31" u="1"/>
        <s v="HP 100 CLR-72mm x 100m-24 rls/cs-S 49268.7" u="1"/>
        <s v="HP 100 CLR-53mm x 1500m-6 rls/cs-S 14104.89" u="1"/>
        <s v="HP 100 CLR-53mm x 1500m-6 rls/cs-S 65648.85" u="1"/>
        <s v="HP 235 CLR-72mm x 1371m-4 rls/cs-H 311359.6" u="1"/>
        <s v="HM 016 CLR-48mm x 914m-6 rls/cs-H/A 10706.25" u="1"/>
        <s v="AP 201 CLR-48mm x 100m-36 rls/cs-H/A 3849.12" u="1"/>
        <s v="CP 106 NAT-36mm x 55m-24 rls/cs-S " u="1"/>
        <s v="AP 180 CLR-72mm x 1371m-4 rls/cs-H 44387.49" u="1"/>
        <s v="HP 100 CLR-53mm x 1500m-6 rls/cs-S 11407.64" u="1"/>
        <s v="HP 235 CLR-72mm x 914m-4 rls/cs-H 2168.5" u="1"/>
        <s v="PE 444 RED- 48mm X 55m- 24 rls/cs-H/A 8068.44" u="1"/>
        <s v="CP 105 NAT-18mm x 55m-48 rls/cs-S 10264.3" u="1"/>
        <s v="HP 200 CLR-48mm x 914m-6 rls/cs-S 2060.55" u="1"/>
        <s v="HP 200 CLR-48mm x 100m-36 rls/cs-S 1773.09" u="1"/>
        <s v="HP 400 CLR-48mm x 100m-36 rls/cs-H/A 81" u="1"/>
        <s v="CP 106 NAT-24mm x 55m-36 rls/cs-S 470.45" u="1"/>
        <s v="WP 100 WHI-70mm x 138m(450ft)-10rls/cs-H 4900.5" u="1"/>
        <s v="AP 201 CLR-72mm x 100m-24 rls/cs-H/A 1001.71" u="1"/>
        <s v="WP 100 NAT-70mmx138m(450ft)-10rls/cs-H/A 1002.37" u="1"/>
        <s v="CP 106 NAT-48mm x 55m-24 rls/cs-S 2514.75" u="1"/>
        <s v="WP 150 WB HILLS 70mmx138m(450FT)-10rl/cs 5255.71" u="1"/>
        <s v="HP 100 CLR-48mm x 1371m-6 rls/cs- S 2677" u="1"/>
        <s v="HP 200 YEL-48mm x 914m-6 rls/cs-H 157.47" u="1"/>
        <s v="HP 200 CLR-72mm x 100m-24 rls/cs-S 420.55" u="1"/>
        <s v="HP 200 CLR-48mm x 100m-36 rls/cs-S 4809.98" u="1"/>
        <s v="PS 748 BLK-18mm x 55m-96 rls/cs-H 3792.11" u="1"/>
        <s v="HP 200 CLR-48mm x 914m-6 rls/cs-S 46183.99" u="1"/>
        <s v="HM 016 CLR-72mm x 100m-24 rls/cs-H/A 2970" u="1"/>
        <s v="HP 200 CLR-48mm x 100m-36 rls/cs-S 365.67" u="1"/>
        <s v="CP 631 BLK-18mm x 55m-48 rls/cs-H 78.88" u="1"/>
        <s v="HP 200 CLR-48mm x 914m-6 rls/cs-S 1819.07" u="1"/>
        <s v="HP 500 CLR-72mm x 914m-4 rls/cs-S 102620.4" u="1"/>
        <s v="AP 180 CLR-48mm x 914m-6 rls/cs-H/A 9397.56" u="1"/>
        <s v="HP 200 CLR-48mm x 914m-6 rls/cs-S 4466.88" u="1"/>
        <s v="HP 200 CLR-48mm x 1500m-6 rls/cs-H 56008.96" u="1"/>
        <s v="HP 235 CLR-72mm x 100m-24 rls/cs-H 2030.05" u="1"/>
        <s v="AP 201 CLR-48mm x 100m-36 rls/cs-H/A 538.88" u="1"/>
        <s v="CP 631 GRN-18mm x 55m-48 rls/cs-H 138.76" u="1"/>
        <s v="HP 200 CLR-48mm x 1371m-6 rls/cs-S 5485" u="1"/>
        <s v="AP 180 CLR-48mm x 100m-36 rls/cs-H/A 5003.86" u="1"/>
        <s v="FP 097 KFT-48mm x 50m-24 rls/cs-H 559.55" u="1"/>
        <s v="VP 410 YEL-75mm x 33m-18 rls/cs-H 149.69" u="1"/>
        <s v="HP 200 CLR-72mm x 100m-24 rls/cs-S 408.66" u="1"/>
        <s v="HP 200 CLR-72mm x 100m-24 rls/cs-S 408.67" u="1"/>
        <s v="HP 100 CLR-53mm x 1500m-6 rls/cs-S 7296.22" u="1"/>
        <s v="HP 200 CLR-48mm x 100m-36 rls/cs-S 4319.58" u="1"/>
        <s v="AP 180 CLR-72mm x 100m-24 rls/cs-H/A 5645.37" u="1"/>
        <s v="FP 097 KFT-4in x 60yd-12 rls/cs-H 225.96" u="1"/>
        <s v="CP 106 NAT-48mm x 55m-24 rls/cs-S 1179.7" u="1"/>
        <s v="FP 097 KFT-72mm x 55m-16 rls/cs-H/A 3470.89" u="1"/>
        <s v="CP 105 NAT-72mm x 55m-16 rls/cs-H 2343.52" u="1"/>
        <s v="HP 200 CLR-72mm x 914m-4 rls/cs-S 8375.4" u="1"/>
        <s v="CP 450 NAT-72mm x 55m-16 rls/cs-NS 6549.5" u="1"/>
        <s v="HP 800 CLR-48mm x 50m-36 rls/cs-H 6174.62" u="1"/>
        <s v="HP 200 CLR-48mm x 1828m-6 rls/cs-S 17069.67" u="1"/>
        <s v="CP 083 NAT-48mm x 55m-24 rls/cs-S 997.92" u="1"/>
        <s v="HP 100 CLR-72mm x 914m-4 rls/cs-S 25387.57" u="1"/>
        <s v="HP 200 CLR-72mm x 914m-4 rls/cs-S 7586.1" u="1"/>
        <s v="DP 050 CLR-48mm x 50m-24 rls/cs-H 3976.23" u="1"/>
        <s v="HP 200 CLR-48mm x 100m-36 rls/cs-S 23094.71" u="1"/>
        <s v="CP 450 NAT-24mm x 55m-36 rls/cs-H " u="1"/>
        <s v="HP 200 CLR-48mm x 1371m-6 rls/cs-S 5002.44" u="1"/>
        <s v="SD 935  PISTOL GRIP DISPNSR-3 IN. ROLL-S 692.15" u="1"/>
        <s v="CP 66L NAT-4in x 240yd-3 rls/cs-H 179648.48" u="1"/>
        <s v="FP 097 KFT-4in x 60yd-12 rls/cs-H 230.47" u="1"/>
        <s v="HP 100 CLR-72mm x 100m-24 rls/cs-S 1839.02" u="1"/>
        <s v="HP 100 CLR-48mm x 100m-36 rls/cs-S 2569.63" u="1"/>
        <s v="WP 100 NAT-70mm x 153m(500ft)-6 rls/cs-H 774.1" u="1"/>
        <s v="AP 180 CLR-72mm x 1371m-4 rls/cs-H 58258.58" u="1"/>
        <s v="HP 200 CLR-48mm x 1371m-6 rls/cs-S 57582.83" u="1"/>
        <s v="HP 100 CLR-48mm x 1371m-6 rls/cs- S 9982.23" u="1"/>
        <s v="HP 200 CLR-72mm x 914m-4 rls/cs-S 1616" u="1"/>
        <s v="HP 200 CLR-48mm x 914m-6 rls/cs-S 10134.59" u="1"/>
        <s v="HP 100 CLR-72mm x 100m-24 rls/cs-S 20842.26" u="1"/>
        <s v="SD 932  PISTOL GRIP TAPE DISP. ECONOMY-S 30" u="1"/>
        <s v="HP 200 CLR-48mm x 1371m-6 rls/cs-S 941" u="1"/>
        <s v="CP 106 NAT-24mm x 55m-36 rls/cs-S 188.18" u="1"/>
        <s v="AP 180 CLR-48mm x 100m-36 rls/cs-H/A 2069.97" u="1"/>
        <s v="CP 450 NAT-24mm x 55m-36 rls/cs-H 2615.61" u="1"/>
        <s v="FP 097 KFT-24mm x 55m-36 rls/cs-H 242.35" u="1"/>
        <s v="CP 106 NAT-24mm x 55m-36 rls/cs-S 472.59" u="1"/>
        <s v="HM 016 CLR-48mm x 100m-36 rls/cs-S 527.47" u="1"/>
        <s v="CP 450 NAT-36mm x 55m-24 rls/cs-H 1898.9" u="1"/>
        <s v="HP 100 CLR-48mm x 914m-6 rls/cs-S 14968.8" u="1"/>
        <s v="HM 016 CLR-72mm x 100m-24 rls/cs-H/A 1839.02" u="1"/>
        <s v="PE 444 RED- 48mm X 55m- 24 rls/cs-H/A 425.78" u="1"/>
        <s v="HP 200 CLR-48mm x 100m-36 rls/cs-S 4509.89" u="1"/>
        <s v="AP 180 CLR-48mm x 914m-6 rls/cs-H/A 9810.99" u="1"/>
        <s v="FP 097 KFT-24mm x 55m-36 rls/cs-H 792.63" u="1"/>
        <s v="HP 100 CLR-48mm x 914m-6 rls/cs-S 1065.39" u="1"/>
        <s v="HP 200 CLR-72mm x 100m-24 rls/cs-S 662.42" u="1"/>
        <s v="HP 200 CLR-72mm x 100m-24 rls/cs-S 3279.83" u="1"/>
        <s v="HP 300 CLR-48mm x 100m-36 rls/cs-H/A 399.17" u="1"/>
        <s v="HM 016 CLR-48mm x 914m-6 rls/cs-H/A 15167.18" u="1"/>
        <s v="HP 100 CLR-53mm x 1500m-6 rls/cs-S 27589.63" u="1"/>
        <s v="HP 100 CLR-72mm x 100m-24 rls/cs-S 294.62" u="1"/>
        <s v="HP 200 CLR-48mm x 914m-6 rls/cs-S 17620.41" u="1"/>
        <s v="HP 200 BLU-72mm x 914m-4 rls/cs-H 37640.64" u="1"/>
        <s v="HP 200 CLR-48mm x 1371m-6 rls/cs-H/A 1340.07" u="1"/>
        <s v="CP 106 NAT-36mm x 55m-24 rls/cs-S 1060.65" u="1"/>
        <s v="FP 097 KFT-24mm x 55m-36 rls/cs-H 1773.43" u="1"/>
        <s v="HP 100 CLR-72mm x 100m-24 rls/cs-S 294.63" u="1"/>
        <s v="HP 500 CLR-72mm x 914m-4 rls/cs-S 402133.25" u="1"/>
        <s v="FP 097 KFT-4in x 60yd-12 rls/cs-H 393.46" u="1"/>
        <s v="AP 180 CLR-48mm x 100m-36 rls/cs-H/A 721.35" u="1"/>
        <s v="SD 934, PISTOL GRIP TAPE DISPNSR PREM.-S 1045.46" u="1"/>
        <s v="HP 200 CLR-48mm x 1828m-6 rls/cs-S 3796.85" u="1"/>
        <s v="HP 200 CLR-48mm x 914m-6 rls/cs-S 42993.72" u="1"/>
        <s v="FP 097 KFT-4in x 60yd-12 rls/cs-H 335.49" u="1"/>
        <s v="WP 100 NAT-72mmx138m(450ft)-10rls/cs-H/A 111.47" u="1"/>
        <s v="HP 300 CLR-48mm x 914m-6 rls/cs-H 3042.48" u="1"/>
        <s v="WP 100 NAT-70mmx138m(450ft)-10rls/cs-H/A 1893.38" u="1"/>
        <s v="AP 180 TAN-48mm x 100m-36 rls/cs-H 64.15" u="1"/>
        <s v="HP 200 CLR-72mm x 1371m-4 rls/cs-S 15309" u="1"/>
        <s v="HP 100 CLR-48mm x 914m-6 rls/cs-S 3034.74" u="1"/>
        <s v="DP 380 GLA-48mm x 50m-24 rls/cs-H 1751.35" u="1"/>
        <s v="HP 100 CLR-72mm x 100m-24 rls/cs-S 14270.27" u="1"/>
        <s v="HP 200 CLR-48mm x 914m-6 rls/cs-S 2233.44" u="1"/>
        <s v="GS 490 WHI-48mm x 55m-24 rls/cs-H/A 790.03" u="1"/>
        <s v="HP 200 CLR-48mm x 1371m-6 rls/cs-S 1881.79" u="1"/>
        <s v="HP 500 CLR-48mm x 914m-6 rls/cs-H 5204.87" u="1"/>
        <s v="HP 100 CLR-53mm x 1500m-6 rls/cs-S 95.16" u="1"/>
        <s v="HP 200 CLR-72mm x 914m-4 rls/cs-S 7584.19" u="1"/>
        <s v="HP 200 CLR-72mm x 914m-4 rls/cs-H/A 7258.66" u="1"/>
        <s v="HP 200 CLR-53mm x 1371m-6 rls/cs-H 4084.34" u="1"/>
        <s v="DP 380 GLA-48mm x 50m-24 rls/cs-H 1319.63" u="1"/>
        <s v="WP 100 WHI-72mm x 138m(450ft)-10rls/cs-C 2296.8" u="1"/>
        <s v="VP 410 BLK-50mm x 33m-24 rls/cs-H 150.16" u="1"/>
        <s v="HP 200 CLR-48mm x 100m-36 rls/cs-S 768.41" u="1"/>
        <s v="HP 100 CLR-72mm x 914m-4 rls/cs-S 21517.04" u="1"/>
        <s v="HP 100  EZ 53mm x 100m CLR-36 rls/cs-H/A 290.82" u="1"/>
        <s v="AP 101 CLR-48mm x 914m-6 rls/cs-H 12522.47" u="1"/>
        <s v="GS 490 WHI-48mm x 55m-24 rls/cs-H/A 9313.9" u="1"/>
        <s v="HM 016 CLR-72mm x 100m-24 rls/cs-H/A 481.14" u="1"/>
        <s v="PS 748 NAT-18mm x 55m-96 rls/cs-H 551" u="1"/>
        <s v="HP 100 CLR-48mm x 1371m-6 rls/cs- S 65347.38" u="1"/>
        <s v="HP 300 CLR-48mm x 914m-6 rls/cs-H 819.13" u="1"/>
        <s v="HP 200 RED-48mm x 914m-6 rls/cs-H 118.74" u="1"/>
        <s v="CP 106 NAT-48mm x 55m-24 rls/cs-S 2727.65" u="1"/>
        <s v="HP 200 CLR-48mm x 200m-36 rls/cs-H 905.26" u="1"/>
        <s v="AP 180 CLR-48mm x 914m-6 rls/cs-H/A 2497.66" u="1"/>
        <s v="HP 500 TAN-48mm x 50m-36 rls/cs-H 98.37" u="1"/>
        <s v="HP 200 BLU-48mm x 914m-6 rls/cs-H 1574.7" u="1"/>
        <s v="AP 101 CLR-48mm x 100m-36 rls/cs-S 13995.82" u="1"/>
        <s v="HP 200 CLR-48mm x 100m-36 rls/cs-S 2309.46" u="1"/>
        <s v="CP 105 NAT-18mm x 55m-48 rls/cs-S 10811.74" u="1"/>
        <s v="HP 200 CLR-72mm x 100m-24 rls/cs-S 1839.02" u="1"/>
        <s v="HP 232 CLR-48mm x 914m-6 rls/cs-H/A 724.2" u="1"/>
        <s v="GG 200 NAT-24mm x 33m-36 rls/cs-H 3179.82" u="1"/>
        <s v="HP 235 CLR-48mm x 914m-6 rls/cs-H 6131.26" u="1"/>
        <s v="HP 235 CLR-72mm x 100m-24 rls/cs-H 32774.3" u="1"/>
        <s v="CP 105 NAT-48mm x 55m-24 rls/cs-S 911.44" u="1"/>
        <s v="HP 400 CLR-72mm x 914m-4 rls/cs-H/A 3226.12" u="1"/>
        <s v="HM 018 CLR-48mm x 914m-6 rls/cs-H/A 6834.33" u="1"/>
        <s v="HM 014 CLR-48mm x 100m-36 rls/cs-S 951.59" u="1"/>
        <s v="HP 100 CLR-48mm x 914m-6 rls/cs-S 3085.72" u="1"/>
        <s v="HP 100 CLR-53mm x 1500m-6 rls/cs-S 23913.7" u="1"/>
        <s v="HP 235 CLR-72mm x 100m-24 rls/cs-H 2220.37" u="1"/>
        <s v="HP 500 CLR-48mm x 100m-36 rls/cs-H 7634.08" u="1"/>
        <s v="SD 969/SD 937 TRIM SET for BG SLR P605TS 17.17" u="1"/>
        <s v="HP 100 CLR-72mm x 1500m-4 rls/cs-H/T 2015.8" u="1"/>
        <s v="CP 631 RED-48mm x 55m-24 rls/cs-H 290.11" u="1"/>
        <s v="HP 500 CLR-48mm x 914m-6 rls/cs-H 5465.75" u="1"/>
        <s v="HM 016 CLR-48mm x 914m-6 rls/cs-H/A 186.52" u="1"/>
        <s v="HP 300 CLR-48mm x 100m-36 rls/cs-H/A 3592.53" u="1"/>
        <s v="CP 631 RED-36mm x *DO NOT USE* 1091.06" u="1"/>
        <s v="AP 201 CLR-48mm x 914m-6 rls/cs-H/A 65" u="1"/>
        <s v="HP 200 CLR-48mm x 1828m-6 rls/cs-S 11949.38" u="1"/>
        <s v="HP 100 CLR-48mm x 914m-6 rls/cs-S 5673.89" u="1"/>
        <s v="HP 200 CLR-48mm x 914m-6 rls/cs-S 14968.8" u="1"/>
        <s v="HP 100 CLR-53mm x 1500m-6 rls/cs-S 5806.94" u="1"/>
        <s v="HM 016 CLR-72mm x 100m-24 rls/cs-H/A 8278.93" u="1"/>
        <s v="HP 235 CLR-72mm x 1371m-4 rls/cs-H 315677.63" u="1"/>
        <s v="HP 200 CLR-48mm x 914m-6 rls/cs-S 1675.06" u="1"/>
        <s v="AP 201 CLR-72mm x 914m-4 rls/cs-H 3525.34" u="1"/>
        <s v="HP 235 CLR-72mm x 100m-24 rls/cs-H 1585.98" u="1"/>
        <s v="SD 934, PISTOL GRIP TAPE DISPNSR PREM.-S 834.1" u="1"/>
        <s v="PS 748 NAT-18mm x 55m-96 rls/cs-H 1102" u="1"/>
        <s v="HP 200 CLR-48mm x 914m-6 rls/cs-S 1675.08" u="1"/>
        <s v="HP 235 CR BISTOP-72mmx914m-4 rls/cs-NS 13596.66" u="1"/>
        <s v="SD 934  PISTOL GRIP TAPE DISPNSR PREM.-S 17.74" u="1"/>
        <s v="HP 200 CLR-48mm x 1371m-6 rls/cs-S 6030.3" u="1"/>
        <s v="HP 200 CLR-48mm x 914m-6 rls/cs-S 558.36" u="1"/>
        <s v="CP 105 NAT-18mm x 55m-48 rls/cs-S 5748.02" u="1"/>
        <s v="HP 200 CLR-48mm x 100m-36 rls/cs-S 112.62" u="1"/>
        <s v="HP 200 CLR-48mm x 100m-36 rls/cs-S 102.64" u="1"/>
        <s v="CP 105 NAT-12mm x 55m-72 rls/cs-H 481.12" u="1"/>
        <s v="VP 415 BKW- 50MM X 33M- 24 RLS/CS-X 76.03" u="1"/>
        <s v="AP 180 CLR-48mm x 914m-6 rls/cs-H/A 12719.21" u="1"/>
        <s v="CP 105 NAT-12mm x 55m-72 rls/cs-H 450.5" u="1"/>
        <s v="HP 100 CLR-53mm x 1500m-6 rls/cs-S 18946.22" u="1"/>
        <s v="HP 100 CLR-48mm x 914m-6 rls/cs-S 3806.34" u="1"/>
        <s v="HP 200 CLR-48mm x 100m-36 rls/cs-S 7744.58" u="1"/>
        <s v="HP 200 RED-48mm x 914m-6 rls/cs-H 667.05" u="1"/>
        <s v="HP 100 CLR-48mm x 914m-6 rls/cs-S 1228.22" u="1"/>
        <s v="HP 200 CLR-72mm x 100m-24 rls/cs-S 490.4" u="1"/>
        <s v="HP 200 CLR-48mm x 1371m-6 rls/cs-S 27097.8" u="1"/>
        <s v="VP 410 DBL-75mm x 33m-18 rls/cs-H " u="1"/>
        <s v="HP 100 CLR-48mm x 100m-36 rls/cs-S 174.64" u="1"/>
        <s v="HP 100 CLR-48mm x 1371m-6 rls/cs- S 3657.85" u="1"/>
        <s v="CP 105 NAT-48mm x 55m-24 rls/cs-S 619.66" u="1"/>
        <s v="HP 100 CLR-48mm x 914m-6 rls/cs-S 4875.55" u="1"/>
        <s v="HP 200 CLR-53mm x 1371m-6 rls/cs-H 637.36" u="1"/>
        <s v="HP 200 CLR-72mm x 914m-4 rls/cs-S 18133.62" u="1"/>
        <s v="HP 200 CLR-48mm x 914m-6 rls/cs-S 14388" u="1"/>
        <s v="GS 490 CLR-48mm x 55m-24 rls/cs-H/A 2873.3" u="1"/>
        <s v="HM 014 CLR-72mm x 100m-24 rls/cs-S 2063.32" u="1"/>
        <s v="HP 500 CLR-72mm x 50m-24 rls/cs-H/A 8040.39" u="1"/>
        <s v="CP 105 NAT-72mm x 55m-16 rls/cs-H 1530.16" u="1"/>
        <s v="HP 200 CLR-53mm x 1371m-6 rls/cs-H 4084.35" u="1"/>
        <s v="FP 097 KFT-72mm x 55m-16 rls/cs-H 741.3" u="1"/>
        <s v="HP 100 CLR-48mm x 914m-6 rls/cs-S 3476.56" u="1"/>
        <s v="CP 106 NAT-48mm x 55m-24 rls/cs-S 1562.47" u="1"/>
        <s v="HP 200 CLR-48mm x 914m-6 rls/cs-S 1066.35" u="1"/>
        <s v="HP 400 CLR-72mm x 50m-24 rls/cs-H 553.6" u="1"/>
        <s v="AP 201 CLR-72mm x 100m-24 rls/cs-H/A 294.62" u="1"/>
        <s v="HP 200 CLR-72mm x 100m-24 rls/cs-S 2617" u="1"/>
        <s v="HP 200 CLR-72mm x 100m-24 rls/cs-S 37878.18" u="1"/>
        <s v="HP 200 CLR-48mm x 100m-36 rls/cs-S 4459.98" u="1"/>
        <s v="HP 100 CLR-48mm x 1371m-6 rls/cs- S 20372.36" u="1"/>
        <s v="HP 400 TAN-48mm x 914m-6 rls/cs-NS 165.84" u="1"/>
        <s v="HP 200 CLR-72mm x 100m-24 rls/cs-S 5189.18" u="1"/>
        <s v="HP 100 CLR-72mm x 1371m-4 rls/cs-H/T 4358.06" u="1"/>
        <s v="HP 100 CLR-48mm x 100m-36 rls/cs-S 5994.63" u="1"/>
        <s v="HP 100 CLR-72mm x 100m-24 rls/cs-S 4124.74" u="1"/>
        <s v="HP 200 CLR-48mm x 100m-36 rls/cs-S 7634.09" u="1"/>
        <s v="HP 100 CLR-48mm x 100m-36 rls/cs-S 14819.13" u="1"/>
        <s v="HP 200 CLR-48mm x 100m-36 rls/cs-S 2309.47" u="1"/>
        <s v="DP 050 CLR-48mm x 50m-24 rls/cs-H 608.25" u="1"/>
        <s v="HP 200 CLR-48mm x 914m-6 rls/cs-S 40373.01" u="1"/>
        <s v="HP 200 CLR-72mm x 914m-4 rls/cs-S 7527.16" u="1"/>
        <s v="HP 200 CLR-72mm x 100m-24 rls/cs-S 1839.03" u="1"/>
        <s v="CP 105 NAT-18mm x 55m-48 rls/cs-S 15527.64" u="1"/>
        <s v="GS 490 WHI-48mm x 55m-24 rls/cs-H/A 6715.76" u="1"/>
        <s v="GS 521 WHI-18mm x 55m-48 rls/cs-H 214" u="1"/>
        <s v="AP 180 CLR-72mm x 1371m-4 rls/cs-H 4575" u="1"/>
        <s v="DP 380 GLA-12mm x 50m-72 rls/cs-H 1938.82" u="1"/>
        <s v="HM 016 CLR-72mm x 100m-24 rls/cs-H/A 282.74" u="1"/>
        <s v="DF 132 WHI-24MM x 72YD-9 RLS/CS-NS " u="1"/>
        <s v="HP 100 CLR-72mm x 100m-24 rls/cs-S 810.21" u="1"/>
        <s v="HP 100 CLR-48mm x 100m-36 rls/cs-S 2569.65" u="1"/>
        <s v="CP 450 NAT-24mm x 55m-36 rls/cs-H 842.52" u="1"/>
        <s v="HP 200 CLR-72mm x 914m-4 rls/cs-S 7527.18" u="1"/>
        <s v="DF 065 NAT-18mm x 33m-48 rls/cs-H/A 430.53" u="1"/>
        <s v="AP 015 CLR-96mm x 66m-18 rls/cs-H 1245.99" u="1"/>
        <s v="HP 100 CLR-48mm x 914m-6 rls/cs-S 1009.32" u="1"/>
        <s v="FP 115 BRN-24mm x 55m-36 rls/cs-H " u="1"/>
        <s v="HM 016 CLR-48mm x 100m-36 rls/cs-S 3224.36" u="1"/>
        <s v="HP 100 CLR-48mm x 100m-36 rls/cs-S 2469.85" u="1"/>
        <s v="HP 100 CLR-72mm x 100m-24 rls/cs-S 1639.44" u="1"/>
        <s v="FP 097 KFT-18mm *DO NOT USE* 63.68" u="1"/>
        <s v="HP 200 CLR-48mm x 914m-6 rls/cs-S 2446.32" u="1"/>
        <s v="HP 100 CLR-48mm x 1828m-6 rls/cs-S 44136.6" u="1"/>
        <s v="HP 200 CLR-48mm x 100m-36 rls/cs-S 4469.28" u="1"/>
        <s v="HP 200 CLR-48mm x 100m-36 rls/cs-S 363.55" u="1"/>
        <s v="HP 200 CLR-72mm x 100m-24 rls/cs-S 2617.4" u="1"/>
        <s v="HP 200 CLR-48mm x 914m-6 rls/cs-S 2446.34" u="1"/>
        <s v="HP 232 CLR-72mm x 914m-4 rls/cs-H/A 4354.73" u="1"/>
        <s v="SD 934, PISTOL GRIP TAPE DISPNSR PREM.-S 529.74" u="1"/>
        <s v="CP 105 NAT-18mm x 55m-48 rls/cs-S 6158.59" u="1"/>
        <s v="HP 200 BLU-72mm x 914m-4 rls/cs-H 6658.5" u="1"/>
        <s v="HP 200 CLR-48mm x 100m-36 rls/cs-S 793.35" u="1"/>
        <s v="HP 240 WR STOP-48mm x 100m-36 rls/cs-H 1456.97" u="1"/>
        <s v="FP 097 KFT-48mm x 55m-24 rls/cs-H/A 62" u="1"/>
        <s v="CP 066 NAT-48mm x 55m-24 rls/cs-S 488.27" u="1"/>
        <s v="HP 200 CLR-48mm x 100m-36 rls/cs-S 333.59" u="1"/>
        <s v="HM 016 CLR-48mm x 100m-36 rls/cs-S 3164.84" u="1"/>
        <s v="HP 200 CLR-48mm x 1500m-6 rls/cs-H 6594.82" u="1"/>
        <s v="DF 065 NAT-18mm x 33m-48 rls/cs-H/A 3185.28" u="1"/>
        <s v="HP 500 CLR-72mm x 914m-4 rls/cs-S 1274342.23" u="1"/>
        <s v="HP 200 YEL-48mm x 914m-6 rls/cs-H 266.82" u="1"/>
        <s v="CP 106 NAT-12mm x 55m-72 rls/cs-H/A 179.62" u="1"/>
        <s v="HP 100 CLR-53mm x 1500m-6 rls/cs-S 55801.49" u="1"/>
        <s v="HP 200 CLR-48mm x 914m-6 rls/cs-S 18065.19" u="1"/>
        <s v="SD 932  PISTOL GRIP TAPE DISP. ECONOMY-S 215.97" u="1"/>
        <s v="HP 232 CLR-48mm x 914m-6 rls/cs-H/A " u="1"/>
        <s v="HP 232 CLR-48mm x 914m-6 rls/cs-H/A 8211.46" u="1"/>
        <s v="FP 096 KFT-18mm *DO NOT USE* 216.69" u="1"/>
        <s v="HP 500 CLR-72mm x 914m-4 rls/cs-S 145227.27" u="1"/>
        <s v="HP 200 CLR-72mm x 914m-4 rls/cs-S 9376.64" u="1"/>
        <s v="AP 201 YEL 48mm x 914m-6 rls/cs-H/A " u="1"/>
        <s v="CP 105 NAT-12mm x 55m-72 rls/cs-H 222.39" u="1"/>
        <s v="HP 300 CLR-48mm x 1371m-6 rls/cs-H/A 24979.07" u="1"/>
        <s v="CP 105 NAT-18mm x 55m-48 rls/cs-S 21486.62" u="1"/>
        <s v="DEKKA Spring, Compression,Tape- #06-025 14.73" u="1"/>
        <s v="HP 200 CLR-48mm x 914m-6 rls/cs-S 689.99" u="1"/>
        <s v="PC 609 SIL-48mm x 55m-24 rls/cs-H/A 729.43" u="1"/>
        <s v="CP 105 NAT-48mm x 55m-24 rls/cs-S 1104.84" u="1"/>
        <s v="HP 200 CLR-48mm x 100m-36 rls/cs-S 2959.55" u="1"/>
        <s v="FP 097 KFT-48mm x 55m-24 rls/cs-H/A 892.68" u="1"/>
        <s v="HP 200 CLR-48mm x 1371m-6 rls/cs-S 2507.27" u="1"/>
        <s v="WP 150 BLU HILLS 72mmx138m(450FT)-10r/cs 17097.7" u="1"/>
        <s v="HP 200 CLR-48mm x 100m-36 rls/cs-S 100.5" u="1"/>
        <s v="GS 490 WHI-18mm x 55m-48 rls/cs-H/A 83.64" u="1"/>
        <s v="PE 444 RED- 48mm X 55m- 24 rls/cs-H/A 8728.01" u="1"/>
        <s v="AP 101 CLR-48mm x 1371m-6 rls/cs-H 1159.48" u="1"/>
        <s v="HP 200 CLR-72mm x 914m-4 rls/cs-S 49417.04" u="1"/>
        <s v="GS 490 WHI-48mm x 55m-24 rls/cs-H/A 1154.74" u="1"/>
        <s v="HP 200 CLR-72mm x 914m-4 rls/cs-S 7181.22" u="1"/>
        <s v="HP 200 CLR-48mm x 914m-6 rls/cs-S 2017.58" u="1"/>
        <s v="AP 180 CLR-48mm x 1371m-6 rls/cs-H 12898.84" u="1"/>
        <s v="HP 500 CLR-72mm x 50m-24 rls/cs-H/A 61158.24" u="1"/>
        <s v="HP 200 CLR-48mm x 914m-6 rls/cs-S 5884.78" u="1"/>
        <s v="HP 400 CLR-72mm x 1371m-4 rls/cs-H 7129" u="1"/>
        <s v="HP 200 CLR-48mm x 100m-36 rls/cs-S 980.1" u="1"/>
        <s v="HP 200 CLR-48mm x 1500m-6 rls/cs-H 35005.6" u="1"/>
        <s v="WP 100 NAT-72mmx138m(450ft)-10rls/cs-H/A 4950.99" u="1"/>
        <s v="AP 101 CLR-48mm x 100m-36 rls/cs-S 3514.1" u="1"/>
        <s v="HP 200 CLR-72mm x 100m-24 rls/cs-S 817.33" u="1"/>
        <s v="FP 097 KFT-72mm x 55m-16 rls/cs-H/A 2587.94" u="1"/>
        <s v="HP 200 CLR-72mm x 100m-24 rls/cs-S 817.34" u="1"/>
        <s v="CP 105 NAT-48mm x 55m-24 rls/cs-S 35.16" u="1"/>
        <s v="HP 100 CLR-53mm x 1500m-6 rls/cs-S 8571.42" u="1"/>
        <s v="HP 200 CLR-72mm x 914m-4 rls/cs-S 1434" u="1"/>
        <s v="HP 200 CLR-72mm x 100m-24 rls/cs-S 817.35" u="1"/>
        <s v="CP 106 NAT-48mm x 55m-24 rls/cs-S 249.48" u="1"/>
        <s v="HM 016 CLR-48mm x 914m-6 rls/cs-H 6682.5" u="1"/>
        <s v="HP 200 CLR-48mm x 914m-6 rls/cs-S 2680.12" u="1"/>
        <s v="HP 100 CLR-48mm x 100m-36 rls/cs-S 52529.78" u="1"/>
        <s v="HP 232 CLR-48mm x 914m-6 rls/cs-H/A 164.3" u="1"/>
        <s v="HP 200 CLR-48mm x 100m-36 rls/cs-S 2309.48" u="1"/>
        <s v="HP 200 CLR-48mm x 914m-6 rls/cs-S 2680.13" u="1"/>
        <s v="HP 200 CLR-48mm x 914m-6 rls/cs-S 40373.02" u="1"/>
        <s v="HP 200 CLR-48mm x 914m-6 rls/cs-S 2680.14" u="1"/>
        <s v="CP 631 BLK-48mm x 55m-24 rls/cs-H/T 1019.54" u="1"/>
        <s v="HP 235 CLR-48mm x 100m-36 rls/cs-H 1250.96" u="1"/>
        <s v="AP 201 CLR-48mm x 1371m-6 rls/cs-H 3842" u="1"/>
        <s v="CP 105 NAT-24mm x 55m- 36 rls/cs-S 158.24" u="1"/>
        <s v="HP 200 CLR-48mm x 914m-6 rls/cs-S 2840.08" u="1"/>
        <s v="HP 200 CLR-48mm x 1371m-6 rls/cs-S 3152.01" u="1"/>
        <s v="HP 200 CLR-72mm x 914m-4 rls/cs-S 32811.59" u="1"/>
        <s v="CP 101 NAT-18mm x 55m-48 rls/cs-H/T 175" u="1"/>
        <s v="HP 500 TAN-48mm x 50m-36 rls/cs-H 287.26" u="1"/>
        <s v="HP 200 CLR-48mm x 1828m-6 rls/cs-S 19918.54" u="1"/>
        <s v="FE-2 Folded-Edge Tape Dispenser 148.5" u="1"/>
        <s v="AP 180 CLR-48mm x 100m-36 rls/cs-H/A 1568.16" u="1"/>
        <s v="HP 200 CLR-53mm x 1371m-6 rls/cs-H 55819.36" u="1"/>
        <s v="AP 180 CLR-48mm x 100m-36 rls/cs-H/A 3407.17" u="1"/>
        <s v="CP 631 RED-12mm x 55m-72 rls/cs-H 181.77" u="1"/>
        <s v="HP 200 CLR-72mm x 100m-24 rls/cs-S 490.41" u="1"/>
        <s v="CP 105 NAT-18mm x 55m-48 rls/cs-S 16422.91" u="1"/>
        <s v="WP 300 NAT-76mmx138m(450ft)-10rls/cs-H/A 322.34" u="1"/>
        <s v="HM 016 CLR-72mm  *DO NOT USE* 2090.88" u="1"/>
        <s v="HP 200 CLR-48mm x 914m-6 rls/cs-S 4236.88" u="1"/>
        <s v="HP 240 CR STOP-48mm x 914m-6 rls/cs-H 420.55" u="1"/>
        <s v="HP 200 CLR-48mm x 914m-6 rls/cs-S 51578.22" u="1"/>
        <s v="HP 200 CLR-72mm x 914m-4 rls/cs-H/A 893.38" u="1"/>
        <s v="HP 200 CLR-48mm x 100m-36 rls/cs-S 4512" u="1"/>
        <s v="HP 100 CLR-48mm x 914m-6 rls/cs-S 106.8" u="1"/>
        <s v="HM 014 CLR-72mm x 100m-24 rls/cs-S 1878.47" u="1"/>
        <s v="FP 115 BRN-96mm x 55m-12 rls/cs-H 605.88" u="1"/>
        <s v="CP 106 NAT-72mm x 55m-16 rls/cs-S 2530.44" u="1"/>
        <s v="CP 101 NAT-24mm x 55m-36 rls/cs-H/T 795.48" u="1"/>
        <s v="HP 200 WHI-72mm x 100m-24 rls/cs-NS 12849.4" u="1"/>
        <s v="HP 200 CLR-72mm x 914m-4 rls/cs-S 1881.8" u="1"/>
        <s v="HP 132 CLR-48mm x 1371m-6 rls/cs-H 2652.38" u="1"/>
        <s v="HP 200 CLR-48mm x 1500m-6 rls/cs-H 6594.83" u="1"/>
        <s v="HP 200 CLR-72mm x 914m-4 rls/cs-H/A 2345.11" u="1"/>
        <s v="FP 097 KFT-4in x 60yd-12 rls/cs-H 355.33" u="1"/>
        <s v="CP 106 NAT-72mm x 55m-16 rls/cs-S 37727.7" u="1"/>
        <s v="HP 200 TAN-72mm x 100m-24 rls/cs-H/A 2452.03" u="1"/>
        <s v="FE-3 Folded-Edge Tape Dispenser 118.8" u="1"/>
        <s v="CP 105 NAT-24mm x 55m- 36 rls/cs-S 121.18" u="1"/>
        <s v="HP 400 CLR-72mm x 50m-24 rls/cs-H 2356.51" u="1"/>
        <s v="AP 201 TAN-48mm x 100m-36 rls/cs-H 6415.2" u="1"/>
        <s v="HM 018 CLR-72mm  *DO NOT USE* 4124.26" u="1"/>
        <s v="HP 300 CLR-72mm x 100m-24 RLS/CS-H 2634.52" u="1"/>
        <s v="HP 100 CLR-48mm x 100m-36 rls/cs-S 1414.91" u="1"/>
        <s v="GS 490 WHI-12mm x 55m-72 rls/cs-H/A 7390.31" u="1"/>
        <s v="GG 200 NAT-48mm x 33m-24 rls/cs-H 507.51" u="1"/>
        <s v="HP 100 CLR-48mm x 914m-6 rls/cs-S 17500.66" u="1"/>
        <s v="HP 200 CLR-48mm x 100m-36 rls/cs-S 3234.33" u="1"/>
        <s v="CP 450 NAT-36mm x 55m-24 rls/cs-H 24172.95" u="1"/>
        <s v="CP 106 NAT-24mm x 55m-36 rls/cs-S 972.26" u="1"/>
        <s v="GS 490 WHI-18mm x 55m-48 rls/cs-H/A 45.62" u="1"/>
        <s v="VP 410 BLK- 50MM X 33M- 24 RLS/CS-H/T 517.26" u="1"/>
        <s v="CP 105 NAT-18mm x 55m-48 rls/cs-S 7116.6" u="1"/>
        <s v="VP 410 BLK- 75MM X 33M- 18 RLS/CS-NS 80.9" u="1"/>
        <s v="GS 490 WHI-12mm x 55m-72 rls/cs-H/A 21885.8" u="1"/>
        <s v="DT 200 GLA-48mm x 50m-24 rls/cs-H 12215.01" u="1"/>
        <s v="HP 200 CLR-72mm x 1371m-4 rls/cs-S 172.02" u="1"/>
        <s v="CP 450 NAT-72mm x 55m-16 rls/cs-NS 9171.52" u="1"/>
        <s v="HM 016 CLR-48mm x 100m-36 rls/cs-H 3784.97" u="1"/>
        <s v="HP 200 CLR-48mm x 1371m-6 rls/cs-S 5772.84" u="1"/>
        <s v="HP 100 CLR-53mm x 1500m-6 rls/cs-S 17030.22" u="1"/>
        <s v="HP 100 CLR-72mm x 914m-4 rls/cs-S 997.92" u="1"/>
        <s v="HP 200 CLR-72mm x 914m-4 rls/cs-S 1866.93" u="1"/>
        <s v="AP 015 CLR-96mm x 66m-18 rls/cs-H 524.64" u="1"/>
        <s v="FP 097 KFT-72mm x 55m-16 rls/cs-H/A 1010.27" u="1"/>
        <s v="FP 097 KFT-48mm x 55m-24 rls/cs-H/A 65" u="1"/>
        <s v="HP 400 CLR-72mm x 914m-4 rls/cs-H/A 8555.3" u="1"/>
        <s v="5205 2IN LD RH 2079" u="1"/>
        <s v="HP 300 CLR-48mm x 100m-36 rls/cs-H/A 3353.02" u="1"/>
        <s v="HM 014 CLR-72mm x 100m-24 rls/cs-S 2783.23" u="1"/>
        <s v="SD 932  PISTOL GRIP TAPE DISP. ECONOMY-S 22.28" u="1"/>
        <s v="AP 180 CLR-48mm x 100m-36 rls/cs-H/A 3554" u="1"/>
        <s v="HP 100 CLR-48mm x 1828m-6 rls/cs-S 0" u="1"/>
        <s v="CP 106 NAT-24mm x 55m-36 rls/cs-S 57.02" u="1"/>
        <s v="HP 200 CLR-72mm x 914m-4 rls/cs-S 1692.9" u="1"/>
        <s v="HP 500 TAN-72mm x 50m-24 rls/cs-H 106.92" u="1"/>
        <s v="HP 800 CLR-48mm x 50m-36 rls/cs-H 145.77" u="1"/>
        <s v="HP 200 CLR-72mm x 100m-24 rls/cs-S 27029.38" u="1"/>
        <s v="CP 631 RED-24mm x 55m-36 rls/cs-H 388.49" u="1"/>
        <s v="CP 105 NAT-24mm x 55m- 36 rls/cs-S 392.04" u="1"/>
        <s v="DT 200 GLA-48mm x 50m-24 rls/cs-H 78082.49" u="1"/>
        <s v="HP 200 YEL-48mm x 914m-6 rls/cs-H " u="1"/>
        <s v="GS 490 CLR-36mm x 55m-24 rls/cs-H/A " u="1"/>
        <s v="HP 200 CLR-53mm x 1371m-6 rls/cs-H 200.3" u="1"/>
        <s v="HP 100 CLR-48mm x 100m-36 rls/cs-S 991.15" u="1"/>
        <s v="AP 180 CLR-48mm x 100m-36 rls/cs-H/A 299.38" u="1"/>
        <s v="GS 490 CLR-24mm x 55m-36 rls/cs-H/A 132.58" u="1"/>
        <s v="CP 101 NAT-18mm x 55m-48 rls/cs-H/T 102.64" u="1"/>
        <s v="CP 450 NAT-24mm x 55m-36 rls/cs-H 488.98" u="1"/>
        <s v="HP 100 CLR-48mm x 914m-6 rls/cs-S 20074.34" u="1"/>
        <s v="HP 100 CLR-72mm x 914m-4 rls/cs-S 560" u="1"/>
        <s v="FP 097 KFT-48mm x 50m-24 rls/cs-H 8874.34" u="1"/>
        <s v="HP 140 CK PULL EDGE 53mmX1500m-6r/cs-X 9560.43" u="1"/>
        <s v="HP 200 CLR-72mm x 100m-24 rls/cs-S 1599.52" u="1"/>
        <s v="WP 150 BLU CWAV 72mm x 138M - NS 4068.9" u="1"/>
        <s v="AP 180 CLR-48mm x 914m-6 rls/cs-H/A 10914.39" u="1"/>
        <s v="GG 200 NAT-48mm x 33m-24 rls/cs-H 230.23" u="1"/>
        <s v="HP 100 CLR-53mm x 1500m-6 rls/cs-S 33519" u="1"/>
        <s v="HP 200 YEL-48mm x 914m-6 rls/cs-H 199.58" u="1"/>
        <s v="HP 500 CLR-72mm x 914m-4 rls/cs-S 32651.95" u="1"/>
        <s v="HP 200 CLR-53mm x 1371m-6 rls/cs-H 95700.3" u="1"/>
        <s v="AF 075 SIL-1in x 60yd-36 rls/cs-H " u="1"/>
        <s v="HP 200 WHI-72mm x 100m-24 rls/cs-NS 5621.61" u="1"/>
        <s v="DP 380 GLA-48mm x 50m-24 rls/cs-H 2770.41" u="1"/>
        <s v="CP 106 NAT-12mm x 55m-72 rls/cs-H/A 359.25" u="1"/>
        <s v="HP 200 CLR-48mm x 1371m-6 rls/cs-S 2737.87" u="1"/>
        <s v="CP 107 NAT-48mm x 55m-24 rls/cs-H/A 3909.47" u="1"/>
        <s v="HP 100 CLR-72mm x 100m-24 rls/cs-S 16365.88" u="1"/>
        <s v="GS 490 WHI-18mm x 55m-48 rls/cs-H/A 137" u="1"/>
        <s v="DT 200 GLA-36mm x 50m-24 rls/cs-H 745.11" u="1"/>
        <s v="HP 100 CLR-53mm x 1500m-6 rls/cs-S 31759.52" u="1"/>
        <s v="SD 935  PISTOL GRIP DISPNSR-3 IN. ROLL-S 195.78" u="1"/>
        <s v="HP 200 CLR-72mm x 914m-4 rls/cs-S 12062.48" u="1"/>
        <s v="HP 200 CLR-48mm x 100m-36 rls/cs-S 1737.8" u="1"/>
        <s v="HM 016 CLR-72mm x 100m-24 rls/cs-H/A 653.4" u="1"/>
        <s v="HP 100 CLR-48mm x 914m-6 rls/cs-S 19160.08" u="1"/>
        <s v="AP 180 CLR-48mm x 100m-36 rls/cs-H/A 2466.28" u="1"/>
        <s v="WP 100 NAT-70mm x 153m(500ft)-6 rls/cs-H 404.04" u="1"/>
        <s v="HP 200 CLR-72mm x 914m-4 rls/cs-S 62.73" u="1"/>
        <s v="HM 018 CLR-72mm x 100m-24 rls/cs-H/A 6654.23" u="1"/>
        <s v="SD 932  PISTOL GRIP TAPE DISP. ECONOMY-S 143.98" u="1"/>
        <s v="HP 300 CLR-48mm x 914m-6 rls/cs-H 819.12" u="1"/>
        <s v="HP 100 CLR-48mm x 914m-6 rls/cs-S 7690" u="1"/>
        <s v="HP 100 CLR-72mm x 100m-24 rls/cs-S 5782" u="1"/>
        <s v="AP 180 CLR-72mm x 1371m-4 rls/cs-H 47549.46" u="1"/>
        <s v="HP 200 CLR-72mm x 1371m-4 rls/cs-S 7849" u="1"/>
        <s v="HP 200 CLR-72mm x 914m-4 rls/cs-S 0.01" u="1"/>
        <s v="GS 490 WHI-48mm x 55m-24 rls/cs-H/A 2148.85" u="1"/>
        <s v="HP 200 CLR-48mm x 100m-36 rls/cs-S 798.34" u="1"/>
        <s v="HP 200 BLU-72mm x 914m-4 rls/cs-H 29961.43" u="1"/>
        <s v="CP 631 GRN-18mm x 55m-48 rls/cs-H 676.69" u="1"/>
        <s v="HP 200 CLR-72mm x 914m-4 rls/cs-S 670.04" u="1"/>
        <s v="HP 235 CLR-72mm x 1371m-4 rls/cs-H 47198.76" u="1"/>
        <s v="HP 200 CLR-48mm x 1371m-6 rls/cs-S 108064.45" u="1"/>
        <s v="CP 66L NAT-24mm x 55m-36 rls/cs-H 1052.45" u="1"/>
        <s v="CP 106 NAT-12mm x 55m-72 rls/cs-H/A 449.06" u="1"/>
        <s v="FP 115 BRN-24mm x 55m-36 rls/cs-H 66.65" u="1"/>
        <s v="AP 101 CLR-48mm x 100m-36 rls/cs-S 62.01" u="1"/>
        <s v="HP 200 CLR-48mm x 100m-36 rls/cs-S 1247.4" u="1"/>
        <s v="GS 490 CLR-48mm x 55m-24 rls/cs-H/A 566.44" u="1"/>
        <s v="HP 100 CLR-48mm x 1371m-6 rls/cs- S 12103.35" u="1"/>
        <s v="HP 100 CLR-48mm x 1371m-6 rls/cs- S 24041.31" u="1"/>
        <s v="CP 106 NAT-12mm x 55m-72 rls/cs-H/A 1392.11" u="1"/>
        <s v="HP 200 CLR-48mm x 1371m-6 rls/cs-S 34060.44" u="1"/>
        <s v="HP 200 CLR-48mm x 1828m-6 rls/cs-S 0" u="1"/>
        <s v="HP 200 CLR-48mm x 100m-36 rls/cs-S 11280.04" u="1"/>
        <s v="HP 200 CLR-72mm x 100m-24 rls/cs-S 4804.27" u="1"/>
        <s v="HP 400 CLR-48mm x 50m-36 rls/cs-H 595.19" u="1"/>
        <s v="50694 KNIFE GAURD ASSY FULL BLADE 2' LH " u="1"/>
        <s v="HP 100 CLR-72mm x 100m-24 rls/cs-S 4704.48" u="1"/>
        <s v="HM 014 CLR-72mm x 100m-24 rls/cs-S 2803.68" u="1"/>
        <s v="HP 100 CLR-48mm x 100m-36 rls/cs-S 183.55" u="1"/>
        <s v="HP 200 CLR-48mm x 914m-6 rls/cs-S 32604.63" u="1"/>
        <s v="HP 100 CLR-72mm x 100m-24 rls/cs-S 16308.86" u="1"/>
        <s v="HP 100 CLR-53mm x 1500m-6 rls/cs-S 14105" u="1"/>
        <s v="HP 100 CLR-48mm x 100m-36 rls/cs-S 393.46" u="1"/>
        <s v="HP 300 CLR-48mm x 914m-6 rls/cs-H 936.13" u="1"/>
        <s v="CP 105 NAT-12mm x 55m-72 rls/cs-H 85.53" u="1"/>
        <s v="CP 106 NAT-72mm x 55m-16 rls/cs-S 801.18" u="1"/>
        <s v="HP 500 CLR-72mm x 914m-4 rls/cs-S 695149.48" u="1"/>
        <s v="AP 201 CLR-72mm x 100m-24 rls/cs-H/A 353.54" u="1"/>
        <s v="WP 150 WB HILLS 70mmx138m(450FT)-10rl/cs 8299.66" u="1"/>
        <s v="HM 016 CLR-48mm x 914m-6 rls/cs-H/A 8921.88" u="1"/>
        <s v="CP 083 NAT-24mm x 55m-36 rls/cs-S 538.87" u="1"/>
        <s v="GS 490 CLR-24mm x 55m-36 rls/cs-H/A 292.96" u="1"/>
        <s v="GG 200 NAT-48mm x 33m-24 rls/cs-H 474.25" u="1"/>
        <s v="HP 400 CLR-72mm x 914m-4 rls/cs-H/A 3198.94" u="1"/>
        <s v="HP 100 CLR-72mm x 1371m-4 rls/cs-H/T 18522.8" u="1"/>
        <s v="HM 016 CLR-72mm x 100m-24 rls/cs-H/A 3563.99" u="1"/>
        <s v="HP 100 CLR-53mm x 1500m-6 rls/cs-S 24292.22" u="1"/>
        <s v="HP 500 TAN-72mm x 50m-24 rls/cs-H/A 4433.62" u="1"/>
        <s v="FP 097 KFT-72mm x 55m-16 rls/cs-H/A 813.54" u="1"/>
        <s v="CP 106 NAT-48mm x 55m-24 rls/cs-S 147.31" u="1"/>
        <s v="HP 200 CLR-48mm x 1371m-6 rls/cs-S 940.9" u="1"/>
        <s v="HP 200 CLR-48mm x 1371m-6 rls/cs-S 3532.64" u="1"/>
        <s v="HP 200 CLR-48mm x 914m-6 rls/cs-S 605.88" u="1"/>
        <s v="HP 200 CLR-48mm x 914m-6 rls/cs-S 865.75" u="1"/>
        <s v="HP 200 CLR-48mm x 100m-36 rls/cs-S 162.52" u="1"/>
        <s v="HP 200 CLR-48mm x 1371m-6 rls/cs-S 2577.96" u="1"/>
        <s v="AP 180 CLR-72mm x 100m-24 rls/cs-H/A 5203.44" u="1"/>
        <s v="HP 200 CLR-48mm x 1500m-6 rls/cs-H 38506.16" u="1"/>
        <s v="PC 600 SIL-48mm x 55m-24 rls/cs-S " u="1"/>
        <s v="HP 100 CLR-48mm x 914m-6 rls/cs-S 16465.69" u="1"/>
        <s v="WP 100 WHI-70mm x 138m(450ft)-10rls/cs-H 8417.45" u="1"/>
        <s v="HP 200 CLR-72mm x 914m-4 rls/cs-S 2868" u="1"/>
        <s v="FP 097 KFT-72mm x 55m-16 rls/cs-H 1667.94" u="1"/>
        <s v="HP 100 CLR-48mm x 1371m-6 rls/cs- S 6368.15" u="1"/>
        <s v="HP 132 CLR-72mm x 100m-24 rls/cs-H 17037.82" u="1"/>
        <s v="HP 100 CLR-48mm x 914m-6 rls/cs-S 2467.24" u="1"/>
        <s v="SD 934, PISTOL GRIP TAPE DISPNSR PREM.-S 183.06" u="1"/>
        <s v="HP 100 CLR-48mm x 914m-6 rls/cs-S 3086.66" u="1"/>
        <s v="FP 097 KFT-48mm x 55m-24 rls/cs-H/A 206" u="1"/>
        <s v="HP 200 CLR-72mm x 100m-24 rls/cs-S 858.2" u="1"/>
        <s v="CP 105 NAT-18mm x 55m-48 rls/cs-S 35856.66" u="1"/>
        <s v="HM 018 CLR-48mm x 100m-36 rls/cs-S 3635.28" u="1"/>
        <s v="CP 101 NAT-18mm x 55m-48 rls/cs-H/T 232.84" u="1"/>
        <s v="HP 200 BLU-72mm x 100m-24 rls/cs-NS " u="1"/>
        <s v="HP 200 CLR-48mm x 200m-36 rls/cs-H 377.43" u="1"/>
        <s v="GS 490 WHI-18mm x 55m-48 rls/cs-H/A 134.01" u="1"/>
        <s v="HP 200 CLR-48mm x 100m-36 rls/cs-S 3934.65" u="1"/>
        <s v="CP 105 NAT-24mm x 55m- 36 rls/cs-S 146.11" u="1"/>
        <s v="CP 105 NAT-24mm x 55m- 36 rls/cs-S 146.12" u="1"/>
        <s v="HP 100 CLR-48mm x 100m-36 rls/cs-S 3794.93" u="1"/>
        <s v="AF 973 SIL-48mm x 46m-24 *DO NOT USE* 861.3" u="1"/>
        <s v="HP 500 CLR-72mm x 914m-4 rls/cs-S 175277.52" u="1"/>
        <s v="HM 018 CLR-72mm x 100m-24 rls/cs-H/A 1082.51" u="1"/>
        <s v="HP 500 CLR-72mm x 914m-4 rls/cs-S 129587.04" u="1"/>
        <s v="CP 66L NAT-24mm x 55m-36 rls/cs-H 821" u="1"/>
        <s v="CP 066 NAT-36mm x 55m-24 rls/cs-H " u="1"/>
        <s v="HP 200 CLR-72mm x 1371m-4 rls/cs-S 2810.13" u="1"/>
        <s v="HP 100 CLR-48mm x 100m-36 rls/cs-S 28483.47" u="1"/>
        <s v="PC 609 SIL-48mm x 55m-24 rls/cs-H/A 9920" u="1"/>
        <s v="AP 180 CLR-48mm x 914m-6 rls/cs-H/A 2349.39" u="1"/>
        <s v="HP 100 CLR-48mm x 914m-6 rls/cs-S 2458.21" u="1"/>
        <s v="HP 200 CLR-48mm x 1371m-6 rls/cs-S 50808.38" u="1"/>
        <s v="HP 200 TAN-72mm x 100m-24 rls/cs-H/A 472.82" u="1"/>
        <s v="AP 180 CLR-48mm x 100m-36 rls/cs-H/A 3554.02" u="1"/>
        <s v="HP 200 CLR-48mm x 914m-6 rls/cs-S 26915.33" u="1"/>
        <s v="HM 016 CLR-72mm x 100m-24 rls/cs-H/A 1846.15" u="1"/>
        <s v="WP 100 WB SER 70mmx305(1000ft)-6rl/cs-NS 6769.22" u="1"/>
        <s v="SD 953/SD 932/934/936  BLADE - P103B 156.42" u="1"/>
        <s v="HP 100 CLR-48mm x 914m-6 rls/cs-S 5405.88" u="1"/>
        <s v="AP 201 CLR-48mm x 100m-36 rls/cs-H/A 43559.23" u="1"/>
        <s v="HP 100 CLR-53mm x 1500m-6 rls/cs-S 3686.61" u="1"/>
        <s v="HP 200 CLR-48mm x 1828m-6 rls/cs-S 4541.49" u="1"/>
        <s v="FP 097 KFT-72mm x 55m-16 rls/cs-H/A 8542.2" u="1"/>
        <s v="HP 800 CLR-48mm x 914m-6 rls/cs-NS 9129.25" u="1"/>
        <s v="HP 500 CLR-72mm x 914m-4 rls/cs-S 473516.84" u="1"/>
        <s v="FP 115 BRN-48mm x 55m-24 rls/cs-H 16118.78" u="1"/>
        <s v="HP 100 CLR-48mm x 100m-36 rls/cs-S 3344.46" u="1"/>
        <s v="HP 200 CLR-72mm x 100m-24 rls/cs-S 1299.44" u="1"/>
        <s v="GS 490 CLR-48mm x 55m-24 rls/cs-H/A 11927.5" u="1"/>
        <s v="HP 100 CLR-48mm x 100m-36 rls/cs-S 65.58" u="1"/>
        <s v="HP 100 CLR-48mm x 1828m-6 rls/cs-S 2351.06" u="1"/>
        <s v="WP 100 WHI-70mm x 138m(450ft)-10rls/cs-H 6980.69" u="1"/>
        <s v="CP 106 NAT-48mm x 55m-24 rls/cs-S 715" u="1"/>
        <s v="GS 490 WHI-12mm x 55m-72 rls/cs-H/A 7116.6" u="1"/>
        <s v="HP 200 CLR-72mm x 100m-24 rls/cs-S 1199.64" u="1"/>
        <s v="HP 132 CLR-48mm x 914m-6 rls/cs-H/T 149069.27" u="1"/>
        <s v="HP 200 CLR-48mm x 914m-6 rls/cs-S 795.37" u="1"/>
        <s v="HP 200 CLR-48mm x 914m-6 rls/cs-S 1457.08" u="1"/>
        <s v="HM 018 CLR-48mm x 100m-36 rls/cs-S 18176.4" u="1"/>
        <s v="GS 501 WHI-24mm x 55m-36 rls/cs-H/A 1033.57" u="1"/>
        <s v="AP 201 CLR-72mm x 100m-24 rls/cs-H/A 2024.35" u="1"/>
        <s v="HP 200 CLR-48mm x 1828m-6 rls/cs-S 14934.58" u="1"/>
        <s v="HP 200 CLR-48mm x 100m-36 rls/cs-S 1454.11" u="1"/>
        <s v="HP 200 CLR-48mm x 100m-36 rls/cs-S 27713.65" u="1"/>
        <s v="CP 105 NAT-48mm x 55m-24 rls/cs-S 589.25" u="1"/>
        <s v="HP 100 CLR-53mm x 1500m-6 rls/cs-S 6041.93" u="1"/>
        <s v="PC 600 SIL-72mm x 55m-16 rls/cs-H 345.94" u="1"/>
        <s v="HP 100 CLR-72mm x 100m-24 rls/cs-S 10863.08" u="1"/>
        <s v="HP 500 CLR-72mm x 914m-4 rls/cs-S 292556.88" u="1"/>
        <s v="AP 180 CLR-48mm x 100m-36 rls/cs-H/A 784.08" u="1"/>
        <s v="AP 201 CLR-48mm x 100m-36 rls/cs-H/A 6286.9" u="1"/>
        <s v="FP 097 KFT-48mm x 55m-24 rls/cs-H/A 10543.74" u="1"/>
        <s v="HP 300 CLR-72mm x 100m-24 RLS/CS-H 20574.25" u="1"/>
        <s v="CP 101 NAT-18mm x 55m-48 rls/cs-H/T 112.16" u="1"/>
        <s v="HM 016 CLR-48mm x 100m-36 rls/cs-S 3784.97" u="1"/>
        <s v="HP 400 CLR-48mm x 100m-36 rls/cs-H/A 755.93" u="1"/>
        <s v="CP 106 NAT-24mm x 55m-36 rls/cs-S 116.54" u="1"/>
        <s v="AP 180 CLR-48mm x 1371m-6 rls/cs-H 3154.14" u="1"/>
        <s v="AP 180 CLR-72mm x 100m-24 rls/cs-H/A 376.36" u="1"/>
        <s v="HP 200 CLR-48mm x 1500m-6 rls/cs-H 22431.81" u="1"/>
        <s v="FE-3 Folded-Edge Tape Dispenser 62" u="1"/>
        <s v="HP 200 ORG-48mm x 914m-6 rls/cs-H 800.47" u="1"/>
        <s v="CP 105 NAT-24mm x 55m- 36 rls/cs-S 87.67" u="1"/>
        <s v="HP 100 CLR-48mm x 914m-6 rls/cs-S 5656.78" u="1"/>
        <s v="GS 501 WHI-48mm x 55m-24 rls/cs-H/A 1176.12" u="1"/>
        <s v="PC 600 BLK-48mm x 55m-24 rls/cs-S " u="1"/>
        <s v="HP 200 CLR-48mm x 100m-36 rls/cs-S 2159.79" u="1"/>
        <s v="HP 100 CLR-72mm x 1500m-4 rls/cs-H/T 41663.17" u="1"/>
        <s v="HP 200 CLR-48mm x 914m-6 rls/cs-S 34214.38" u="1"/>
        <s v="HP 100 CLR-53mm x 1500m-6 rls/cs-S 38217.24" u="1"/>
        <s v="HP 100 CLR-72mm x 100m-24 rls/cs-S 2024.35" u="1"/>
        <s v="HP 300 CLR-48mm x 1371m-6 rls/cs-H/A 108037.38" u="1"/>
        <s v="HP 100 CLR-53mm x 1500m-6 rls/cs-S 5016.69" u="1"/>
        <s v="PC 006 SIL-48mm x 55m-24 rls/cs-H/A 838.26" u="1"/>
        <s v="HP 400 CLR-72mm x 100m-24 rls/cs-H/A 411.52" u="1"/>
        <s v="AP 180 CLR-48mm x 100m-36 rls/cs-H/A 3938.94" u="1"/>
        <s v="HP 200 CLR-53mm x 1371m-6 rls/cs-H 65349.52" u="1"/>
        <s v="HP 500 CLR-48mm x 914m-6 rls/cs-H 2234.03" u="1"/>
        <s v="HP 100 CLR-53mm x 1500m-6 rls/cs-S 3186.22" u="1"/>
        <s v="P- 628 BLK-48mm x 50m-24 RLS/CS-S 1260.71" u="1"/>
        <s v="HP 100 CLR-53mm x 1500m-6 rls/cs-S 32824.43" u="1"/>
        <s v="FP 097 KFT-48mm x 50m-24 rls/cs-H 8432.43" u="1"/>
        <s v="HP 100 CLR-72mm x 1371m-4 rls/cs-H/T 6198.5" u="1"/>
        <s v="HP 200 CLR-72mm x 914m-4 rls/cs-H/A 3182.64" u="1"/>
        <s v="SD 935  PISTOL GRIP DISPNSR-3 IN. ROLL-S 61.48" u="1"/>
        <s v="GS 490 WHI-12mm x 55m-72 rls/cs-H/A 10674.9" u="1"/>
        <s v="CP 106 NAT-36mm x 55m-24 rls/cs-S 987" u="1"/>
        <s v="HP 200 CLR-48mm x 100m-36 rls/cs-S 975.11" u="1"/>
        <s v="HP 100 CLR-53mm x 1500m-6 rls/cs-S 10783.95" u="1"/>
        <s v="FP 097 KFT-18mm *DO NOT USE* 275.62" u="1"/>
        <s v="HP 100 CLR-53mm x 1500m-6 rls/cs-S 3866.23" u="1"/>
        <s v="HP 200 CLR-48mm x 100m-36 rls/cs-S 975.12" u="1"/>
        <s v="HP 200 CLR-48mm x 1371m-6 rls/cs-S 717" u="1"/>
        <s v="HP 200 CLR-48mm x 100m-36 rls/cs-S 1097" u="1"/>
        <s v="GS 490 CLR-18mm x 55m-48 rls/cs-H/A 762.7" u="1"/>
        <s v="HP 100 CLR-48mm x 914m-6 rls/cs-S 26915.35" u="1"/>
        <s v="HP 500 CLR-48mm x 50m-36 rls/cs-H/A 102.64" u="1"/>
        <s v="HP 100 CLR-48mm x 100m-36 rls/cs-S 587.34" u="1"/>
        <s v="HP 500 CLR-72mm x 50m-24 rls/cs-H/A 111980.88" u="1"/>
        <s v="HP 400 CLR-72mm x 914m-4 rls/cs-H/A 4757.46" u="1"/>
        <s v="GS 501 WHI-18mm x 55m-48 rls/cs-H/A " u="1"/>
        <s v="HP 500 CLR-72mm x 914m-4 rls/cs-S 214569.92" u="1"/>
        <s v="CP 106 NAT-24mm x 55m-36 rls/cs-S 585.93" u="1"/>
        <s v="HM 014 CLR-48mm x 100m-36 rls/cs-S 11290.73" u="1"/>
        <s v="HP 200 CLR-72mm x 100m-24 rls/cs-S 230.47" u="1"/>
        <s v="HP 200 RED-48mm x 100m-36 rls/cs-H 0" u="1"/>
        <s v="HP 100 CLR-53mm x 1500m-6 rls/cs-S 6201.36" u="1"/>
        <s v="HP 200 CLR-72mm x 100m-24 rls/cs-S 1199.65" u="1"/>
        <s v="CP 106 NAT-36mm x 55m-24 rls/cs-S 98.84" u="1"/>
        <s v="CP 450 NAT-24mm x 55m-36 rls/cs-H 893.14" u="1"/>
        <s v="HM 016 CLR-48mm x 100m-36 rls/cs-S 769.1" u="1"/>
        <s v="HP 400 CLR-48mm x 914m-6 rls/cs-H/A 2782.95" u="1"/>
        <s v="HP 500 CLR-72mm x 914m-4 rls/cs-S 149983.09" u="1"/>
        <s v="HP 100 CLR-72mm x 1371m-4 rls/cs-H/T 9225.05" u="1"/>
        <s v="AP 201 CLR-48mm x 1371m-6 rls/cs-H 11376.28" u="1"/>
        <s v="CP 107 NAT-48mm x 55m-24 rls/cs-H/A 2212.06" u="1"/>
        <s v="DT 200 GLA-12mm x 50m-72 rls/cs-H " u="1"/>
        <s v="HP 200 CLR-72mm x 100m-24 rls/cs-S 490.39" u="1"/>
        <s v="HP 200 CLR-72mm x 914m-4 rls/cs-S 1255" u="1"/>
        <s v="HP 200 CLR-72mm x 1371m-4 rls/cs-S 13312.23" u="1"/>
        <s v="HP 500 CLR-48mm x 50m-36 rls/cs-H/A 295.1" u="1"/>
        <s v="HP 200 CLR-72mm x 1371m-4 rls/cs-S 67225.6" u="1"/>
        <s v="HP 200 CLR-48mm x 1828m-6 rls/cs-S 13989.96" u="1"/>
        <s v="HP 232 CLR-72mm x 914m-4 rls/cs-H/A 44615.58" u="1"/>
        <s v="HP 200 CLR-48mm x 100m-36 rls/cs-S 116.54" u="1"/>
        <s v="HP 200 CLR-72mm x 914m-4 rls/cs-S 20722.51" u="1"/>
        <s v="HP 200 CLR-48mm x 914m-6 rls/cs-S 2091.36" u="1"/>
        <s v="CP 66L NAT-4in x 240yd-3 rls/cs-H 16331.68" u="1"/>
        <s v="HP 200 CLR-48mm x 100m-36 rls/cs-S 5684.58" u="1"/>
        <s v="CP 106 NAT-72mm x 55m-16 rls/cs-S 1189.42" u="1"/>
        <s v="HM 018 CLR-72mm x 100m-24 rls/cs-H/A 254.71" u="1"/>
        <s v="CP 106 NAT-24mm x 55m-36 rls/cs-S 798.34" u="1"/>
        <s v="HP 400 CLR-72mm x 914m-4 rls/cs-H/A 1617.58" u="1"/>
        <s v="PC 600 BLK-48mm x 55m-24 rls/cs-S 3885.72" u="1"/>
        <s v="HP 100 CLR-48mm x 100m-36 rls/cs-S 7305.11" u="1"/>
        <s v="HP 400 CLR-72mm x 914m-4 rls/cs-H/A 2497.64" u="1"/>
        <s v="HP 200 YEL-48mm x 914m-6 rls/cs-H 237.48" u="1"/>
        <s v="HP 200 CLR-48mm x 100m-36 rls/cs-S 14519.73" u="1"/>
        <s v="HP 100 CLR-53mm x 1500m-6 rls/cs-S 4411.52" u="1"/>
        <s v="HP 200 CLR-48mm x 100m-36 rls/cs-S 13643.01" u="1"/>
        <s v="HM 016 CLR-72mm x 100m-24 rls/cs-H/A 12659.33" u="1"/>
        <s v="HM 018 CLR-72mm x 100m-24 rls/cs-H/A 45628.7" u="1"/>
        <s v="HP 100 CLR-72mm x 914m-4 rls/cs-S 13448.15" u="1"/>
        <s v="HP 400 CLR-48mm x 914m-6 rls/cs-H/A 2748.08" u="1"/>
        <s v="HM 018 CLR-48mm x 1500m-6 rls/cs-NS 4746" u="1"/>
        <s v="HP 100 CLR-53mm x 1500m-6 rls/cs-S 32872.2" u="1"/>
        <s v="DP 050 CLR-48mm x 50m-24 rls/cs-H 264.69" u="1"/>
        <s v="HP 100 CLR-53mm x 1500m-6 rls/cs-S 20567" u="1"/>
        <s v="HP 200 CLR-72mm x 1371m-4 rls/cs-S 4360.56" u="1"/>
        <s v="CP 631 RED-18mm x 55m-48 rls/cs-H 296.52" u="1"/>
        <s v="HP 100 CLR-48mm x 914m-6 rls/cs-S 4822.34" u="1"/>
        <s v="HM 016 CLR-72mm x 100m-24 rls/cs-H/A 2405.71" u="1"/>
        <s v="SD 937, Bag Sealer MetalDisp-9MM Rol-H/A 120.62" u="1"/>
        <s v="HP 200 TAN-72mm x 100m-24 rls/cs-H/A 1164.24" u="1"/>
        <s v="CP 631 RED-24mm x 55m-36 rls/cs-H 388.48" u="1"/>
        <s v="P- 628 BLK-48mm x 50m-24 RLS/CS-S 1212.71" u="1"/>
        <s v="HP 400 CLR-72mm x 50m-24 rls/cs-H 1550.08" u="1"/>
        <s v="HP 500 CLR-72mm x 914m-4 rls/cs-S 237644.68" u="1"/>
        <s v="HP 200 BLU-72mm x 914m-4 rls/cs-NS 47093.04" u="1"/>
        <s v="HM 016 CLR-72mm x 100m-24 rls/cs-H/A 275.85" u="1"/>
        <s v="SD 932, PISTOL GRIP TAPE DISP. ECONOMY-S 92.56" u="1"/>
        <s v="PS 748 NAT-18mm x 55m-96 rls/cs-H 1130.97" u="1"/>
        <s v="CP 450 NAT-72mm x 55m-16 rls/cs-NS 1650.68" u="1"/>
        <s v="HP 500 CLR-72mm x 50m-24 rls/cs-H/A 39303.79" u="1"/>
        <s v="GS 490 CLR-48mm x 55m-24 rls/cs-H/A 446.68" u="1"/>
        <s v="HM 016 CLR-72mm x 914m-4 rls/cs-H/A 444.43" u="1"/>
        <s v="HM 014 CLR-48mm x 100m-36 rls/cs-S 333.6" u="1"/>
        <s v="HP 100 CLR-53mm x 1500m-6 rls/cs-S 22767.54" u="1"/>
        <s v="HP 500 CLR-72mm x 914m-4 rls/cs-S 524891.67" u="1"/>
        <s v="CP 105 NAT-36mm x 55m-24 rls/cs-S 26.37" u="1"/>
        <s v="HM 016 CLR-48mm x 100m-36 rls/cs-S 177.48" u="1"/>
        <s v="HP 200 CLR-48mm x 1371m-6 rls/cs-S 2010.1" u="1"/>
        <s v="HP 100 CLR-48mm x 100m-36 rls/cs-S 1284.82" u="1"/>
        <s v="FP 097 KFT-24mm x 55m-36 rls/cs-H 715.65" u="1"/>
        <s v="HP 232 WHI-53mm x 1371m-6 rls/cs-H/T " u="1"/>
        <s v="CP 66L NAT-4in x 240yd-3 rls/cs-H 32663" u="1"/>
        <s v="HP 200 CLR-48mm x 1371m-6 rls/cs-H/A 1340.06" u="1"/>
        <s v="HP 200 CLR-48mm x 100m-36 rls/cs-S 577.37" u="1"/>
        <s v="HP 200 CLR-48mm x 1500m-6 rls/cs-H 49708.29" u="1"/>
        <s v="HP 200 CLR-48mm x 100m-36 rls/cs-S 16166.3" u="1"/>
        <s v="GG 200 NAT-48mm x 33m-24 rls/cs-H 1221.74" u="1"/>
        <s v="HP 200 CLR-72mm x 1371m-4 rls/cs-S 3295.99" u="1"/>
        <s v="HP 132 CLR-48mm x 914m-6 rls/cs-H/T 97351.36" u="1"/>
        <s v="HP 500 CLR-48mm x 914m-6 rls/cs-H 829.88" u="1"/>
        <s v="CP 106 NAT-72mm x 55m-16 rls/cs-S 22999.06" u="1"/>
        <s v="HP 100 CLR-53mm x 1500m-6 rls/cs-S 42051.64" u="1"/>
        <s v="HP 100 CLR-53mm x 1500m-6 rls/cs-S 32016.14" u="1"/>
        <s v="HP 200 TAN-48mm x 914m-6 rls/cs-H 3199.05" u="1"/>
        <s v="HP 200 CLR-48mm x 1371m-6 rls/cs-S 77906.18" u="1"/>
        <s v="HP 200 CLR-72mm x 914m-4 rls/cs-S 1630.87" u="1"/>
        <s v="HP 200 CLR-48mm x 1371m-6 rls/cs-S 3612.48" u="1"/>
        <s v="HP 500 CLR-72mm x 50m-24 rls/cs-H/A 24698.52" u="1"/>
        <s v="HP 200 CLR-72mm x 914m-4 rls/cs-S 1630.88" u="1"/>
        <s v="DP 380 GLA-48mm x 50m-24 rls/cs-H 1739.23" u="1"/>
        <s v="HP 100 TAN-48mm x 100m-36 rls/cs-S 7140.12" u="1"/>
        <s v="AP 201 CLR-72mm x 914m-4 rls/cs-H 2305.03" u="1"/>
        <s v="GS 490 WHI-18mm x 55m-48 rls/cs-H/A 604.45" u="1"/>
        <s v="HP 100 CLR-48mm x 1371m-6 rls/cs- S 3236.11" u="1"/>
        <s v="GS 521 WHI-24mm x 55m-36 rls/cs-H 520.34" u="1"/>
        <s v="P- 628 BLK-4in x 50m-12 rls/cs-H 4439.08" u="1"/>
        <s v="CP 106 NAT-72mm x 55m-16 rls/cs-S 3599.64" u="1"/>
        <s v="HP 100 CLR-72mm x 1371m-4 rls/cs-H/T 25478.32" u="1"/>
        <s v="HP 400 CLR-48mm x 100m-36 rls/cs-H/A 4533.41" u="1"/>
        <s v="CP 450 NAT-24mm x 55m-36 rls/cs-H 2296.63" u="1"/>
        <s v="HP 100 CLR-72mm x 100m-24 rls/cs-S 255.42" u="1"/>
        <s v="FP 097 KFT-18mm x 55m-48 rls/cs-X " u="1"/>
        <s v="CP 500 NAT-24mm x 55m-36 rls/cs-H 2223.93" u="1"/>
        <s v="HP 200 CLR-48mm x 200m-36 rls/cs-H 3494.87" u="1"/>
        <s v="AP 180 CLR-48mm x 100m-36 rls/cs-H/A 627.26" u="1"/>
        <s v="HP 100 CLR-48mm x 100m-36 rls/cs-S 3034.39" u="1"/>
        <s v="HP 200 CLR-72mm x 914m-4 rls/cs-S 670.03" u="1"/>
        <s v="HP 200 CLR-48mm x 100m-36 rls/cs-S 26052.83" u="1"/>
        <s v="HP 100 CLR-72mm x 914m-4 rls/cs-S 15358.99" u="1"/>
        <s v="BEST PACK FRONT MOUNTING PLATE " u="1"/>
        <s v="HP 200 CLR-72mm x 100m-24 rls/cs-S 2084.23" u="1"/>
        <s v="HP 500 CLR-72mm x 50m-24 rls/cs-H/A 59395.26" u="1"/>
        <s v="HP 100 CLR-72mm x 914m-4 rls/cs-S 13448.16" u="1"/>
        <s v="5205 2IN LD RH " u="1"/>
        <s v="HP 200 CLR-48mm x 100m-36 rls/cs-S 388.48" u="1"/>
        <s v="HP 132 CLR-53mm x1500m-6 rls/cs- S 1193" u="1"/>
        <s v="HP 200 CLR-48mm x 914m-6 rls/cs-S 2257.2" u="1"/>
        <s v="TG 356 NAT- 19mm X 33m-48 rls/cs-H/T 530" u="1"/>
        <s v="CP 66L NAT-4in x 240yd-3 rls/cs-H 159233.88" u="1"/>
        <s v="HP 200 CLR-48mm x 914m-6 rls/cs-S 4202.65" u="1"/>
        <s v="HM 016 CLR- 48mm x 100m- 36 rls/cs - S 1846.15" u="1"/>
        <s v="HP 100 CLR-48mm x 50m-36 rls/cs-S 105" u="1"/>
        <s v="CP 083 NAT-48mm x 55m-24 rls/cs-S 385.86" u="1"/>
        <s v="HP 100 TAN-48mm x 100m-36 rls/cs-S 4155.62" u="1"/>
        <s v="HP 200 CLR-48mm x 1828m-6 rls/cs-S 79825.79" u="1"/>
        <s v="HP 100 CLR-72mm x 1371m-4 rls/cs-H/T 15051.47" u="1"/>
        <s v="HP 100 CLR-48mm x 100m-36 rls/cs-S 19053.16" u="1"/>
        <s v="PS 748 BLK-18mm x 55m-96 rls/cs-H 527.47" u="1"/>
        <s v="CP 66L NAT-4in x 240yd-3 rls/cs-H 45805.27" u="1"/>
        <s v="HP 300 CLR-48mm x 100m-36 rls/cs-H/A 3592.52" u="1"/>
        <s v="CP 66L NAT-4in x 240yd-3 rls/cs-H 19357.74" u="1"/>
        <s v="HP 200 CLR-72mm x 914m-4 rls/cs-S 13588.83" u="1"/>
        <s v="SD 934  PISTOL GRIP TAPE DISPNSR PREM.-S 163.27" u="1"/>
        <s v="FE-2 Folded-Edge Tape Dispenser 259.87" u="1"/>
        <s v="HP 200 CLR-48mm x 914m-6 rls/cs-S 3623.29" u="1"/>
        <s v="HP 200 CLR-48mm x 100m-36 rls/cs-S 1024.65" u="1"/>
        <s v="HP 400 CLR-72mm x 100m-24 rls/cs-H/A 324.32" u="1"/>
        <s v="HP 200 WHI-72mm x 100m-24 rls/cs-NS 15539.74" u="1"/>
        <s v="HP 200 CLR-48mm x 914m-6 rls/cs-S 3073.58" u="1"/>
        <s v="HP 100 CLR-48mm x 914m-6 rls/cs-S 56.07" u="1"/>
        <s v="HP 100 CLR-72mm x 100m-24 rls/cs-S 3682.8" u="1"/>
        <s v="HP 200 CLR-48mm x 914m-6 rls/cs-S 3073.59" u="1"/>
        <s v="VP 410 DBL- 50MM X 33M- 24 RLS/CS-H 65.34" u="1"/>
        <s v="HP 100 CLR-48mm x 100m-36 rls/cs-S 10157.41" u="1"/>
        <s v="HP 200 CLR-48mm x 1500m-6 rls/cs-H 52508.41" u="1"/>
        <s v="HP 200 CLR-72mm x 914m-4 rls/cs-S 1881.79" u="1"/>
        <s v="HP 100 CLR-48mm x 100m-36 rls/cs-S 1924.56" u="1"/>
        <s v="PC 609 SIL-48mm x 55m-24 rls/cs-H/A 10554.68" u="1"/>
        <s v="HP 200 WHI-48mm x 100m-36 rls/cs-H 297.59" u="1"/>
        <s v="HP 500 CLR-72mm x 914m-4 rls/cs-S 391331.53" u="1"/>
        <s v="HM 016 CLR-72mm x 100m-24 rls/cs-H/A 2970.01" u="1"/>
        <s v="CP 66L NAT-4in x 240yd-3 rls/cs-H 34290.43" u="1"/>
        <s v="HP 200 CLR-72mm x 914m-4 rls/cs-S 717.08" u="1"/>
        <s v="PC 600 BLK-48mm x 55m-24 rls/cs-S 436.24" u="1"/>
        <s v="HP 100 CLR-72mm x 914m-4 rls/cs-S 13718.08" u="1"/>
        <s v="HP 200 CLR-72mm x 100m-24 rls/cs-S 254.47" u="1"/>
        <s v="CP 105 NAT-72mm x 55m-16 rls/cs-H 565.49" u="1"/>
        <s v="CP 105 NAT-72mm x 55m-16 rls/cs-H 1357.18" u="1"/>
        <s v="CP 105 NAT-18mm x 55m-48 rls/cs-S 7116.59" u="1"/>
        <s v="HP 100 CLR-48mm x 1371m-6 rls/cs- S 15899" u="1"/>
        <s v="HP 200 CLR-48mm x 1371m-6 rls/cs-S 13548.9" u="1"/>
        <s v="HP 100 CLR-48mm x 100m-36 rls/cs-S 524.26" u="1"/>
        <s v="HP 200 CLR-72mm x 100m-24 rls/cs-S 684.29" u="1"/>
        <s v="HP 200 TAN-72mm x 914m-4 rls/cs-H 3527.88" u="1"/>
        <s v="HP 100 CLR-53mm x 1500m-6 rls/cs-S 114164.18" u="1"/>
        <s v="HP 100 CLR-72mm x 1500m-4 rls/cs-H/T 11640.02" u="1"/>
        <s v="HM 016 CLR-72mm x 100m-24 rls/cs-H/A 14819.62" u="1"/>
        <s v="AP 101 CLR-72mm x 100m-24 rls/cs-H/A 1525" u="1"/>
        <s v="HP 100 CLR-48mm x 100m-36 rls/cs-S 734.18" u="1"/>
        <s v="HP 100 CLR-72mm x 1500m-4 rls/cs-H/T 3648.11" u="1"/>
        <s v="CP 083 NAT-48mm x 55m-24 rls/cs-S 1210.8" u="1"/>
        <s v="HP 200 CLR-72mm x 914m-4 rls/cs-H/A 1340.06" u="1"/>
        <s v="HP 132 CLR-48mm x 914m-6 rls/cs-S 12950.15" u="1"/>
        <s v="HP 100 CLR-53mm x 1500m-6 rls/cs-S 14729.29" u="1"/>
        <s v="HP 100 CLR-53mm x 1500m-6 rls/cs-S 11672.1" u="1"/>
        <s v="AP 201 CLR-48mm x 100m-36 rls/cs-H/A 34214.4" u="1"/>
        <s v="CP 101 NAT-18mm x 55m-48 rls/cs-H/T 152.07" u="1"/>
        <s v="CT 109 NAT- 18MM X 66M- 96 RLS/CS-H 203.38" u="1"/>
        <s v="SD 934  PISTOL GRIP TAPE DISPNSR PREM.-S 57.66" u="1"/>
        <s v="VP 410 BLK-50mm *DO NOT USE* 997.44" u="1"/>
        <s v="GS 490 WHI-18mm x 55m-48 rls/cs-H/A 1337.22" u="1"/>
        <s v="AP 180 CLR-48mm x 914m-6 rls/cs-H/A 4910" u="1"/>
        <s v="HP 400 CLR-72mm x 914m-4 rls/cs-H/A 3196" u="1"/>
        <s v="AP 101 CLR-48mm x 100m-36 rls/cs-S 1821.92" u="1"/>
        <s v="HP 200 TAN-48mm x 914m-6 rls/cs-H 6531.39" u="1"/>
        <s v="P- 628 BLK-48mm x 50m-24 RLS/CS-S 2454.89" u="1"/>
        <s v="HP 100 CLR-48mm x 1371m-6 rls/cs- S 19078.8" u="1"/>
        <s v="HP 500 CLR-72mm x 50m-24 rls/cs-H/A 15991.44" u="1"/>
        <s v="HP 100 CLR-48mm x 914m-6 rls/cs-S 22428" u="1"/>
        <s v="HP 200 CLR-48mm x 1371m-6 rls/cs-S 1582.42" u="1"/>
        <s v="HP 200 CLR-72mm x 100m-24 rls/cs-S 2084.24" u="1"/>
        <s v="HP 100 CLR-48mm x 100m-36 rls/cs-S 145.41" u="1"/>
        <s v="HP 200 CLR-48mm x 914m-6 rls/cs-S 6899.89" u="1"/>
        <s v="HP 200 TAN-72mm x 914m-4 rls/cs-H 12499.66" u="1"/>
        <s v="AP 201 CLR-48mm x 914m-6 rls/cs-H/A 5796.49" u="1"/>
        <s v="GS 501 WHI-24mm x 55m-36 rls/cs-H/A 2307.69" u="1"/>
        <s v="CP 105 NAT-24mm x 55m- 36 rls/cs-S 83.4" u="1"/>
        <s v="HM 016 CLR-48mm x 100m-36 rls/cs-S 1774.87" u="1"/>
        <s v="HP 200 WHI-72mm x 100m-24 rls/cs-NS 16713" u="1"/>
        <s v="CP 106 NAT-48mm x 55m-24 rls/cs-S 83.64" u="1"/>
        <s v="HP 200 CLR-48mm x 914m-6 rls/cs-S 5833.55" u="1"/>
        <s v="AP 180 CLR-72mm x 1371m-4 rls/cs-H 41613.27" u="1"/>
        <s v="HP 200 RED-48mm x 914m-6 rls/cs-H 729.07" u="1"/>
        <s v="HP 200 CLR-48mm x 914m-6 rls/cs-S 2046.32" u="1"/>
        <s v="HP 200 CLR-48mm x 914m-6 rls/cs-S 5833.56" u="1"/>
        <s v="HM 014 CLR-48mm x 100m-36 rls/cs-S 2719.33" u="1"/>
        <s v="HP 200 CLR-72mm x 100m-24 rls/cs-S 24634.37" u="1"/>
        <s v="HP 200 ORG-48mm x 914m-6 rls/cs-H 254.11" u="1"/>
        <s v="HP 200 CLR-72mm x 914m-4 rls/cs-S 1493.91" u="1"/>
        <s v="CP 105 NAT-12mm x 55m-72 rls/cs-H 290.82" u="1"/>
        <s v="CP 106 NAT-48mm x 55m-24 rls/cs-S 1973.03" u="1"/>
        <s v="HP 200 CLR-48mm x 914m-6 rls/cs-S 2496.11" u="1"/>
        <s v="HP 200 CLR-48mm x 1828m-6 rls/cs-S 15312.49" u="1"/>
        <s v="HP 200 CLR-72mm x 100m-24 rls/cs-S 18618.3" u="1"/>
        <s v="HP 200 CLR-48mm x 100m-36 rls/cs-S 1204.27" u="1"/>
        <s v="HP 100 CLR-53mm x 1500m-6 rls/cs-S 10029.69" u="1"/>
        <s v="AP 180 TAN-48mm x 100m-36 rls/cs-H " u="1"/>
        <s v="HP 200 CLR-48mm x 200m-36 rls/cs-H 1724.98" u="1"/>
        <s v="FP 097 KFT-72mm x 55m-16 rls/cs-H/A 2347.51" u="1"/>
        <s v="HP 235 CLR-72mm x 1371m-4 rls/cs-H 80917.05" u="1"/>
        <s v="FP 097 KFT-18mm x 55m-48 rls/cs-H 845.86" u="1"/>
        <s v="CP 105 NAT-18mm x 55m-48 rls/cs-S 7390.32" u="1"/>
        <s v="HP 200 CLR-48mm x 914m-6 rls/cs-S 6022" u="1"/>
        <s v="HP 100 CLR-48mm x 100m-36 rls/cs-S 9665.54" u="1"/>
        <s v="HP 100 CLR-48mm x 914m-6 rls/cs-S 50943.83" u="1"/>
        <s v="HM 018 CLR-72mm x 100m-24 rls/cs-H/A 3820.62" u="1"/>
        <s v="HP 200 CLR-48mm x 914m-6 rls/cs-S 8890" u="1"/>
        <s v="HP 200 CLR-48mm x 100m-36 rls/cs-S 2662.3" u="1"/>
        <s v="HP 235 CLR-72mm x 100m-24 rls/cs-H 4171.31" u="1"/>
        <s v="HP 200  EZ 72mm x 100m CLR-24 rls/cs-H " u="1"/>
        <s v="AP 180 CLR-48mm x 1371m-6 rls/cs-H 16681" u="1"/>
        <s v="FP 097 KFT-18mm x 55m-48 rls/cs-H 382.05" u="1"/>
        <s v="WP 100 NAT-70mm x 153m(500ft)-6 rls/cs-H 69" u="1"/>
        <s v="HP 100 CLR-72mm x 1371m-4 rls/cs-H/T 3099.25" u="1"/>
        <s v="HP 240 WR STOP-48mm x 100m-36 rls/cs-H 2031.48" u="1"/>
        <s v="CP 106 NAT-48mm x 55m-24 rls/cs-S 125.45" u="1"/>
        <s v="HP 500 CLR-72mm x 50m-24 rls/cs-H/A 28155.6" u="1"/>
        <s v="HP 235 CLR-72mm x 1371m-4 rls/cs-H 9723.82" u="1"/>
        <s v="HP 500 CLR-48mm x 50m-36 rls/cs-H/A 442.65" u="1"/>
        <s v="HP 200 CLR-72mm x 1371m-4 rls/cs-S 38626.63" u="1"/>
        <s v="DP 050 CLR-48mm x 50m-24 rls/cs-H 10220.62" u="1"/>
        <s v="CP 106 NAT-48mm x 55m-24 rls/cs-S 188.42" u="1"/>
        <s v="HP 200 CLR-48mm x 914m-6 rls/cs-S 13400.64" u="1"/>
        <s v="HP 300 CLR-72mm x 100m-24 RLS/CS-H 14632" u="1"/>
        <s v="CP 66L NAT-4in x 240yd-3 rls/cs-H 34290.44" u="1"/>
        <s v="CP 631 BLK-18mm x 55m-48 rls/cs-H 273.72" u="1"/>
        <s v="AP 101 CLR-48mm x 914m-6 rls/cs-H 8521.05" u="1"/>
        <s v="HP 200 CLR-48mm x 100m-36 rls/cs-S 10841.66" u="1"/>
        <s v="WP 150 WB NXG 70mmx138m(450FT)-10rl/cs 3688.74" u="1"/>
        <s v="SD 936, 2&quot; PISTOL GRIP SILENT DISP-H/A/T 50" u="1"/>
        <s v="CT 109 NAT- 12MM X 66M- 144 RLS/CS-H 222.39" u="1"/>
        <s v="HP 500 CLR-72mm x 914m-4 rls/cs-S 184834.71" u="1"/>
        <s v="CP 105 NAT-18mm x 55m-48 rls/cs-S 33256.37" u="1"/>
        <s v="SD 934  PISTOL GRIP TAPE DISPNSR PREM.-S 27.38" u="1"/>
        <s v="HP 100 CLR-72mm x 914m-4 rls/cs-S 1856.73" u="1"/>
        <s v="HP 200 CLR-48mm x 1500m-6 rls/cs-H 81631.27" u="1"/>
        <s v="HP 100 CLR-72mm x 100m-24 rls/cs-S 281.32" u="1"/>
        <s v="WP 100 WB SER 70mmx305(1000ft)-6rl/cs-NS " u="1"/>
        <s v="HP 200 CLR-48mm x 1371m-6 rls/cs-S 6868.53" u="1"/>
        <s v="HP 100 CLR-48mm x 100m-36 rls/cs-S 29885.22" u="1"/>
        <s v="HM 014 CLR-48mm x 100m-36 rls/cs-S 3207.6" u="1"/>
        <s v="CP 105 NAT-24mm x 55m- 36 rls/cs-S 87.66" u="1"/>
        <s v="CP 450 NAT-24mm x 55m-36 rls/cs-H 434.1" u="1"/>
        <s v="HP 100 CLR-48mm x 100m-36 rls/cs-S 11651.1" u="1"/>
        <s v="HP 100 CLR-48mm x 100m-36 rls/cs-S 35001.33" u="1"/>
        <s v="CP 106 NAT-36mm x 55m-24 rls/cs-S 364.95" u="1"/>
        <s v="HP 200 CLR-48mm x 914m-6 rls/cs-S 893.38" u="1"/>
        <s v="CP 106 NAT-48mm x 55m-24 rls/cs-S 692.6" u="1"/>
        <s v="PC 600 SIL-72mm x 55m-16 rls/cs-H 167.9" u="1"/>
        <s v="CP 106 NAT-48mm x 55m-24 rls/cs-S 10299.97" u="1"/>
        <s v="HP 200 TAN-48mm x 914m-6 rls/cs-H 356.04" u="1"/>
        <s v="HP 100 CLR-72mm x 100m-24 rls/cs-S 879.12" u="1"/>
        <s v="FP 096 KFT-72mm x 55m-16 rls/cs-H 628.69" u="1"/>
        <s v="AP 180 CLR-48mm x 100m-36 rls/cs-H/A 2758.54" u="1"/>
        <s v="FP 115 BRN-72mm x 55m-16 rls/cs-H 175.82" u="1"/>
        <s v="FP 115 BRN-72mm x 55m-16 rls/cs-H 775.52" u="1"/>
        <s v="HP 200 BLU-72mm x 914m-4 rls/cs-H 34619.3" u="1"/>
        <s v="HP 200 CLR-48mm x 100m-36 rls/cs-S 145.41" u="1"/>
        <s v="GS 490 CLR-18mm x 55m-48 rls/cs-H/A 7223.05" u="1"/>
        <s v="FP 097 KFT-18mm x 55m-48 rls/cs-H 176.78" u="1"/>
        <s v="AP 201 CLR-48mm x 1371m-6 rls/cs-H/A 8962.02" u="1"/>
        <s v="AP 180 CLR-48mm x 100m-36 rls/cs-H/A 1348.26" u="1"/>
        <s v="AP 180 CLR-48mm x 100m-36 rls/cs-H/A 1568.15" u="1"/>
        <s v="CP 106 NAT-24mm x 55m-36 rls/cs-S 444.8" u="1"/>
        <s v="GS 521 CLR-18mm x 55m-48 rls/cs-H 939.95" u="1"/>
        <s v="AP 401 CLR-72mm x 100m-24 rls/cs-H 1896.05" u="1"/>
        <s v="HP 200 CLR-48mm x 1371m-6 rls/cs-S 9763.93" u="1"/>
        <s v="HP 200 CLR-48mm x 100m-36 rls/cs-S 20571.42" u="1"/>
        <s v="HP 200 CLR-48mm x 1828m-6 rls/cs-S 30248.43" u="1"/>
        <s v="HM 016 CLR-72mm x 100m-24 rls/cs-H/A 594" u="1"/>
        <s v="CP 631 GRN-18mm x 55m-48 rls/cs-H 971.31" u="1"/>
        <s v="HP 400 CLR-72mm x 914m-4 rls/cs-H/A 624.41" u="1"/>
        <s v="FE 53 Folded-Edge Tape Dispenser 79.16" u="1"/>
        <s v="HM 016 CLR-48mm x 100m-36 rls/cs-S 29.58" u="1"/>
        <s v="HP 400 CLR-48mm x 50m-36 rls/cs-H 609.44" u="1"/>
        <s v="HP 232 CLR-48mm x 914m-6 rls/cs-H/A 6979.74" u="1"/>
        <s v="HP 400 CLR-48mm x 100m-36 rls/cs-H/A 3455.66" u="1"/>
        <s v="HP 200 CLR-48mm x 100m-36 rls/cs-S 545.29" u="1"/>
        <s v="HP 300 CLR-72mm x 914m-4 rls/cs-H 3293" u="1"/>
        <s v="HM 016 CLR-72mm  *DO NOT USE* 594" u="1"/>
        <s v="CP 106 NAT-48mm x 55m-24 rls/cs-S 1585.27" u="1"/>
        <s v="HP 200 CLR-72mm x 914m-4 rls/cs-S 3813" u="1"/>
        <s v="HP 200 CLR-48mm x 1371m-6 rls/cs-S 940.89" u="1"/>
        <s v="DF 065 NAT-18mm x 33m-48 rls/cs-H/A 2583.18" u="1"/>
        <s v="HM 014 CLR-72mm x 100m-24 rls/cs-S 698.54" u="1"/>
        <s v="SD 935, PISTOL GRIP DISPNSR-3 IN. ROLL-S 878" u="1"/>
        <s v="HP 100 CLR-72mm x 914m-4 rls/cs-S 1400.85" u="1"/>
        <s v="HP 200 CLR-48mm x 100m-36 rls/cs-S 7035.32" u="1"/>
        <s v="HP 132 CLR-48mm x 914m-6 rls/cs-H/T 85182.44" u="1"/>
        <s v="HP 400 CLR-72mm x 50m-24 rls/cs-H 739.89" u="1"/>
        <s v="HP 300 CLR-48mm x 914m-6 rls/cs-H 585.09" u="1"/>
        <s v="GS 490 CLR-72mm x 55m-12 rls/cs-H " u="1"/>
        <s v="AP 101 CLR-72mm x 100m-24 rls/cs-H/A " u="1"/>
        <s v="GS 490 WHI-48mm x 55m-24 rls/cs-H/A 1552" u="1"/>
        <s v="PC 460 SIL-48mm x 55m-24 rls/cs-H " u="1"/>
        <s v="HP 200 CLR-72mm x 914m-4 rls/cs-S 9938.16" u="1"/>
        <s v="HP 200 CLR-48mm x 914m-6 rls/cs-S 13400.65" u="1"/>
        <s v="CP 083 NAT-48mm x 55m-24 rls/cs-S 1470.75" u="1"/>
        <s v="HP 200 CLR-48mm x 914m-6 rls/cs-S 32464.96" u="1"/>
        <s v="HP 100 CLR-48mm x 1371m-6 rls/cs- S 5132.16" u="1"/>
        <s v="HP 200 CLR-72mm x 1371m-4 rls/cs-S 7686.84" u="1"/>
        <s v="HP 100 CLR-53mm x 1500m-6 rls/cs-S 14354.37" u="1"/>
        <s v="HP 200 CLR-48mm x 1371m-6 rls/cs-H/A 36181.69" u="1"/>
        <s v="HP 500 CLR-72mm x 914m-4 rls/cs-S 140826.47" u="1"/>
        <s v="HP 200 CLR-48mm x 1828m-6 rls/cs-S 17822.73" u="1"/>
        <s v="HM 018 CLR-48mm x 1500m-6 rls/cs-NS 33226.28" u="1"/>
        <s v="FP 097 KFT-72mm x 55m-16 rls/cs-H/A 133.69" u="1"/>
        <s v="HP 200 CLR-48mm x 200m-36 rls/cs-H 543.16" u="1"/>
        <s v="CP 66L NAT-4in x 240yd-3 rls/cs-H 94298.71" u="1"/>
        <s v="HP 200 CLR-48mm x 100m-36 rls/cs-S 10328.48" u="1"/>
        <s v="HP 100 CLR-48mm x 100m-36 rls/cs-S 9855.16" u="1"/>
        <s v="HP 100 CLR-48mm x 100m-36 rls/cs-S 918.09" u="1"/>
        <s v="HP 400 CLR-72mm x 100m-24 rls/cs-H/A 858.21" u="1"/>
        <s v="CP 105 NAT-72mm x 55m-16 rls/cs-H 2703.09" u="1"/>
        <s v="HP 100 CLR-72mm x 914m-4 rls/cs-S 7185.03" u="1"/>
        <s v="HP 200 CLR-48mm x 1371m-6 rls/cs-S 13501.87" u="1"/>
        <s v="HP 200 TAN-48mm x 914m-6 rls/cs-H 133.29" u="1"/>
        <s v="HP 500 CLR-72mm x 914m-4 rls/cs-S 788440.74" u="1"/>
        <s v="HP 200 CLR-72mm x 914m-4 rls/cs-S 3804" u="1"/>
        <s v="HP 200 GRN-48mm x 100m-36 r/c-H 269.44" u="1"/>
        <s v="CP 106 NAT-12mm x 55m-72 rls/cs-H/A 1642.29" u="1"/>
        <s v="HP 300 CLR-72mm x 100m-24 RLS/CS-H 1682" u="1"/>
        <s v="CP 631 RED-18mm x 55m-48 rls/cs-H 277.52" u="1"/>
        <s v="5800 PA1 EXTERNAL LOW TAPE SENSOR 659.97" u="1"/>
        <s v="AP 201 CLR-72mm x 914m-4 rls/cs-H 5358.66" u="1"/>
        <s v="HP 200 CLR-72mm x 914m-4 rls/cs-S 9129.54" u="1"/>
        <s v="GS 490 WHI-48mm x 55m-24 rls/cs-H/A 844.9" u="1"/>
        <s v="GS 490 WHI-12mm x 55m-72 rls/cs-H/A 2072.08" u="1"/>
        <s v="GS 490 CLR-48mm x 55m-24 rls/cs-H/A 8316" u="1"/>
        <s v="HP 100 CLR-48mm x 100m-36 rls/cs-S 1394.95" u="1"/>
        <s v="CP 106 NAT-72mm x 55m-16 rls/cs-S 1312.19" u="1"/>
        <s v="FP 115 BRN-72mm x 55m-16 rls/cs-H 598.75" u="1"/>
        <s v="HP 242 WR SECURITY-72mm x 914m-4rl/cs-NS 24508.92" u="1"/>
        <s v="GS 490 WHI-48mm x 55m-24 rls/cs-H/A " u="1"/>
        <s v="DP 050 CLR-48mm x 50m-24 rls/cs-H 5715.46" u="1"/>
        <s v="HP 500 CLR-72mm x 914m-4 rls/cs-S 296573.27" u="1"/>
        <s v="HP 100 CLR-48mm x 914m-6 rls/cs-S 7817.99" u="1"/>
        <s v="HP 100 CLR-72mm x 100m-24 rls/cs-S 6058.8" u="1"/>
        <s v="HP 500 CLR-72mm x 914m-4 rls/cs-S 149628.12" u="1"/>
        <s v="HP 200 CLR-48mm x 100m-36 rls/cs-S 7698" u="1"/>
        <s v="AP 201 CLR-72mm x 100m-24 rls/cs-H/A 2031.48" u="1"/>
        <s v="HP 100 CLR-48mm x 1371m-6 rls/cs- S 26839.05" u="1"/>
        <s v="HP 300 CLR-72mm x 100m-24 RLS/CS-H 1682.2" u="1"/>
        <s v="CP 106 NAT-48mm x 55m-24 rls/cs-S 1547.25" u="1"/>
        <s v="HP 200 CLR-72mm x 100m-24 rls/cs-S 252.33" u="1"/>
        <s v="PC 600 BLK-48mm x 55m-24 rls/cs-S 1090.58" u="1"/>
        <s v="HP 100 CLR-48mm x 914m-6 rls/cs-S 336.44" u="1"/>
        <s v="AP 201 CLR-72mm x 914m-4 rls/cs-H 4542.27" u="1"/>
        <s v="HP 200 CLR-48mm x 914m-6 rls/cs-S 15430.68" u="1"/>
        <s v="HP 200 CLR-72mm x 100m-24 rls/cs-S 1052.1" u="1"/>
        <s v="CP 66L NAT-18mm x 55m-48 rls/cs-H 554.08" u="1"/>
        <s v="AP 201 CLR-48mm x 100m-36 rls/cs-H/A 47493.9" u="1"/>
        <s v="HM 016 CLR-48mm x 100m-36 rls/cs-S 118.32" u="1"/>
        <s v="HP 200 CLR-72mm x 914m-4 rls/cs-S 11758.34" u="1"/>
        <s v="HP 200 CLR-48mm x 914m-6 rls/cs-S 5080.84" u="1"/>
        <s v="HP 200 CLR-48mm x 914m-6 rls/cs-S 11900.92" u="1"/>
        <s v="AP 201 CLR-72mm x 100m-24 rls/cs-H/A " u="1"/>
        <s v="CP 083 NAT-48mm x 55m-24 rls/cs-S 648.65" u="1"/>
        <s v="HP 200 CLR-48mm x 1371m-6 rls/cs-H/A 3015.15" u="1"/>
        <s v="CP 631 GRN-18mm x 55m-48 rls/cs-H 320.29" u="1"/>
        <s v="CP 631 RED-18mm x 55m-48 rls/cs-H 845.86" u="1"/>
        <s v="HP 300 CLR-72mm x 100m-24 RLS/CS-H 57602.8" u="1"/>
        <s v="HP 200 CLR-48mm x 1371m-6 rls/cs-S 17588.34" u="1"/>
        <s v="WP 150 BLU APOQ 72mm x 138M - NS 2200.77" u="1"/>
        <s v="HP 100 CLR-48mm x 1371m-6 rls/cs- S 55795.14" u="1"/>
        <s v="HP 200 CLR-48mm x 100m-36 rls/cs-S 160.38" u="1"/>
        <s v="HP 200 CLR-48mm x 914m-6 rls/cs-S 3042.48" u="1"/>
        <s v="HP 200 CLR-72mm x 100m-24 rls/cs-S 14370.02" u="1"/>
        <s v="SD 935, PISTOL GRIP DISPNSR-3 IN. ROLL-S 100" u="1"/>
        <s v="FP 097 KFT-24mm x 55m-36 rls/cs-H 230.95" u="1"/>
        <s v="HP 100 CLR-48mm x 914m-6 rls/cs-S 3874.08" u="1"/>
        <s v="SD 932, PISTOL GRIP TAPE DISP. ECONOMY-S 3" u="1"/>
        <s v="HP 100 CLR-53mm x 1500m-6 rls/cs-S 42671.73" u="1"/>
        <s v="PS 748 BLK-12mm x 55m-144 rls/cs-H " u="1"/>
        <s v="HP 240 WR STOP-48mm x 100m-36 rls/cs-H " u="1"/>
        <s v="HP 100 CLR-53mm x 1500m-6 rls/cs-S 19959.82" u="1"/>
        <s v="HP 100 CLR-48mm x 1371m-6 rls/cs- S 12103.34" u="1"/>
        <s v="PC 600 BLK-48mm x 55m-24 rls/cs-S 2468.67" u="1"/>
        <s v="HP 100 CLR-48mm x 100m-36 rls/cs-S 7185.02" u="1"/>
        <s v="HP 200 CLR-48mm x 100m-36 rls/cs-S 7185.01" u="1"/>
        <s v="GS 490 WHI-48mm x 55m-24 rls/cs-H/A 821.62" u="1"/>
        <s v="GS 490 WHI-48mm x 55m-24 rls/cs-H/A 0" u="1"/>
        <s v="CP 106 NAT-36mm x 55m-24 rls/cs-S 1491.17" u="1"/>
        <s v="AP 401 CLR-48mm x 100m-36 rls/cs-H/A 593.05" u="1"/>
        <s v="HP 200 RED-48mm x 914m-6 rls/cs-H 524.02" u="1"/>
        <s v="CP 106 NAT-72mm x 55m-16 rls/cs-S 3142.66" u="1"/>
        <s v="FP 097 KFT-48mm x 55m-24 rls/cs-H/A 333.35" u="1"/>
        <s v="HP 500 CLR-72mm x 914m-4 rls/cs-S 153708.2" u="1"/>
        <s v="HP 200 CLR-48mm x 914m-6 rls/cs-S 1005.05" u="1"/>
        <s v="HP 100 CLR-48mm x 100m-36 rls/cs-S 1774.87" u="1"/>
        <s v="HP 200 CLR-48mm x 100m-36 rls/cs-S 1774.86" u="1"/>
        <s v="HP 132 CLR-72mm x 914m-4 rls/cs-H/T 2893.02" u="1"/>
        <s v="HP 200 CLR-48mm x 1371m-6 rls/cs-S 22225" u="1"/>
        <s v="HP 200 CLR-48mm x 914m-6 rls/cs-S 2010.1" u="1"/>
        <s v="AP 201 CLR-48mm x 100m-36 rls/cs-H/A 6415.2" u="1"/>
        <s v="HP 100 CLR-48mm x 1371m-6 rls/cs- S 30713.66" u="1"/>
        <s v="CP 106 NAT-24mm x 55m-36 rls/cs-S 29.94" u="1"/>
        <s v="AP 180 CLR-48mm x 914m-6 rls/cs-H/A 2623" u="1"/>
        <s v="HP 100 CLR-72mm x 100m-24 rls/cs-S 9940.71" u="1"/>
        <s v="HP 100 CLR-48mm x 1828m-6 rls/cs-S 25549.6" u="1"/>
        <s v="HP 200 CLR-48mm x 914m-6 rls/cs-S 10365.54" u="1"/>
        <s v="HP 200 CLR-72mm x 100m-24 rls/cs-S 204.34" u="1"/>
        <s v="HP 200 CLR-72mm x 1371m-4 rls/cs-S 28010.2" u="1"/>
        <s v="HP 100 CLR-72mm x 100m-24 rls/cs-S 6115.83" u="1"/>
        <s v="HP 500 CLR-72mm x 914m-4 rls/cs-S 479764.27" u="1"/>
        <s v="AP 180 CLR-72mm x 100m-24 rls/cs-H/A 6842.88" u="1"/>
        <s v="HP 200 CLR-72mm x 1371m-4 rls/cs-S 40147.75" u="1"/>
        <s v="GS 490 WHI-24mm x 55m-36 rls/cs-H/A 518.92" u="1"/>
        <s v="HP 232 CLR-48mm x 914m-6 rls/cs-H/A 8148.2" u="1"/>
        <s v="HP 200 CLR-48mm x 1500m-6 rls/cs-H 63010.08" u="1"/>
        <s v="HP 500 CLR-72mm x 914m-4 rls/cs-S 13408.98" u="1"/>
        <s v="HP 200 CLR-48mm x 100m-36 rls/cs-S 302.23" u="1"/>
        <s v="FP 115 BRN-72mm x 55m-16 rls/cs-H 1109.9" u="1"/>
        <s v="HP 300 CLR-72mm x 100m-24 RLS/CS-H 210.28" u="1"/>
        <s v="CP 500 NAT-24mm x 55m-36 rls/cs-H " u="1"/>
        <s v="HM 016 CLR-48mm x 100m-36 rls/cs-S 562.05" u="1"/>
        <s v="HP 300 CLR-48mm x 914m-6 rls/cs-H 4413.19" u="1"/>
        <s v="HM 016 CLR-48mm x 914m-6 rls/cs-H/A 11598.43" u="1"/>
        <s v="HP 200 CLR-48mm x 914m-6 rls/cs-S 3464.21" u="1"/>
        <s v="HP 200 CLR-48mm x 1371m-6 rls/cs-S 4128.54" u="1"/>
        <s v="SD 932, PISTOL GRIP TAPE DISP. ECONOMY-S 28.62" u="1"/>
        <s v="HP 100 CLR-72mm x 100m-24 rls/cs-S 8515.57" u="1"/>
        <s v="CP 106 NAT-18mm x 55m-48 rls/cs-S 2828" u="1"/>
        <s v="HP 200 CLR-48mm x 914m-6 rls/cs-S 489.92" u="1"/>
        <s v="HP 100 CLR-48mm x 914m-6 rls/cs-S 18336.06" u="1"/>
        <s v="HP 100 CLR-48mm x 914m-6 rls/cs-S 1068.01" u="1"/>
        <s v="HP 100 CLR-48mm x 914m-6 rls/cs-S 5254.76" u="1"/>
        <s v="HP 100 CLR-48mm x 914m-6 rls/cs-S 1068.02" u="1"/>
        <s v="HP 500 CLR-72mm x 914m-4 rls/cs-S 7348.03" u="1"/>
        <s v="HP 200 CLR-48mm x 1828m-6 rls/cs-S 12548.13" u="1"/>
        <s v="HP 200 CLR-48mm x 914m-6 rls/cs-S 3294.33" u="1"/>
        <s v="HP 200 RED-48mm x 914m-6 rls/cs-H 533.64" u="1"/>
        <s v="HP 100 CLR-53mm x 1500m-6 rls/cs-S 16758.62" u="1"/>
        <s v="VP 410 GRN-75mm x 33m-18 rls/cs-H 80.9" u="1"/>
        <s v="AP 201 CLR-72mm x 914m-4 rls/cs-H 677.95" u="1"/>
        <s v="DT 200 GLA-12mm x 50m-72 rls/cs-H 118.32" u="1"/>
        <s v="AP 201 CLR-48mm x 914m-6 rls/cs-H/A 3350.75" u="1"/>
        <s v="HP 500 CLR-72mm x 914m-4 rls/cs-S 959157.91" u="1"/>
        <s v="HP 100 CLR-72mm x 100m-24 rls/cs-S 2794.18" u="1"/>
        <s v="HP 500 CLR-72mm x 50m-24 rls/cs-H/A 35283.6" u="1"/>
        <s v="P- 628 BLK-48mm x 50m-24 RLS/CS-S " u="1"/>
        <s v="DF 065 NAT-48mm x 33m-24 rls/cs-S 275.62" u="1"/>
        <s v="GS 500 WHI-48mm x 55m-24 rls/cs-H/A 4756.98" u="1"/>
        <s v="DP 050 CLR-48mm x 50m-24 rls/cs-H 4379.43" u="1"/>
        <s v="HP 132 CLR-72mm x 100m-24 rls/cs-H 3545.94" u="1"/>
        <s v="HP 200 CLR-48mm x 914m-6 rls/cs-S 53829.72" u="1"/>
        <s v="CP 105 NAT-18mm x 55m-48 rls/cs-S 8576.41" u="1"/>
        <s v="HP 400 CLR-72mm x 50m-24 rls/cs-H 3999.29" u="1"/>
        <s v="AP 180 CLR-48mm x 914m-6 rls/cs-H/A 2280.96" u="1"/>
        <s v="AP 015 CLR-96mm x 66m-18 rls/cs-H " u="1"/>
        <s v="HP 200 GRN-48mm x 914m-6 rls/cs-H 593.7" u="1"/>
        <s v="AP 015 CLR-96mm x 66m-18 rls/cs-H 1475.54" u="1"/>
        <s v="HP 100 CLR-48mm x 100m-36 rls/cs-S 568.1" u="1"/>
        <s v="HP 100 CLR-48mm x 1371m-6 rls/cs- S 64300.24" u="1"/>
        <s v="HP 100 CLR-53mm x 1500m-6 rls/cs-S 10033.38" u="1"/>
        <s v="AP 201 CLR-72mm x 914m-4 rls/cs-H 645.48" u="1"/>
        <s v="HP 200 CLR-48mm x 100m-36 rls/cs-S 563.11" u="1"/>
        <s v="HP 500 CLR-72mm x 914m-4 rls/cs-S 216146.63" u="1"/>
        <s v="HM 018 CLR-72mm x 100m-24 rls/cs-H/A 7256.3" u="1"/>
        <s v="HP 500 CLR-72mm x 50m-24 rls/cs-H/A 11718.43" u="1"/>
        <s v="HP 500 CLR-72mm x 50m-24 rls/cs-H/A 83083.96" u="1"/>
        <s v="WP 100 WHI-70mm x 138m(450ft)-10rls/cs-H 8744.18" u="1"/>
        <s v="HP 200 CLR-72mm x 1371m-4 rls/cs-S 10465.31" u="1"/>
        <s v="HP 400 CLR-72mm x 914m-4 rls/cs-H/A 4237.12" u="1"/>
        <s v="WP 100 NAT-70mmx138m(450ft)-10rls/cs-H/A 615.19" u="1"/>
        <s v="GS 521 WHI-18mm x 55m-48 rls/cs-H 421.03" u="1"/>
        <s v="P- 628 BLK-4in x 50m-12 rls/cs-H 15759.08" u="1"/>
        <s v="AP 201 CLR-48mm x 100m-36 rls/cs-H/A 38811.96" u="1"/>
        <s v="CP 105 NAT-12mm x 55m-72 rls/cs-H 139.7" u="1"/>
        <s v="HP 100 CLR-48mm x 1828m-6 rls/cs-S 8262.78" u="1"/>
        <s v="WP 100 NAT-70mm x 153m(500ft)-6 rls/cs-H 206.37" u="1"/>
        <s v="HP 100 CLR-48mm x 100m-36 rls/cs-S 80.55" u="1"/>
        <s v="CP 101 NAT-72mm *DO NOT USE* " u="1"/>
        <s v="PC 460 SIL-48mm x 55m-24 rls/cs-H/A 864.86" u="1"/>
        <s v="HP 500 CLR-72mm x 914m-4 rls/cs-S 12226.9" u="1"/>
        <s v="WP 100 NAT-70mm x 153m(500ft)-6 rls/cs-H 178.79" u="1"/>
        <s v="HP 500 CLR-72mm x 914m-4 rls/cs-S 239706.75" u="1"/>
        <s v="CP 500 NAT-24mm x 55m-36 rls/cs-H 2206.82" u="1"/>
        <s v="HP 500 TAN-72mm x 50m-24 rls/cs-H/A 106.92" u="1"/>
        <s v="AP 201 CLR-48mm x 914m-6 rls/cs-H/A 983.66" u="1"/>
        <s v="HP 100 CLR-72mm x 100m-24 rls/cs-S 12659.34" u="1"/>
        <s v="HP 100 CLR-72mm x 1371m-4 rls/cs-H/T 15496.25" u="1"/>
        <s v="HP 200 CLR-72mm x 100m-24 rls/cs-S 436.23" u="1"/>
        <s v="HP 100 CLR-72mm x 100m-24 rls/cs-S 17107.21" u="1"/>
        <s v="DF 065 NAT-18mm x 33m-48 rls/cs-H/A 614" u="1"/>
        <s v="DP 380 GLA-48mm x 50m-24 rls/cs-H 269.44" u="1"/>
        <s v="HP 100 CLR-53mm x 1500m-6 rls/cs-S 6391.68" u="1"/>
        <s v="HP 400 CLR-72mm x 914m-4 rls/cs-H/A 3716.78" u="1"/>
        <s v="HP 200 CLR-72mm x 100m-24 rls/cs-S 436.24" u="1"/>
        <s v="FP 097 KFT-72mm x 55m-16 rls/cs-H/A 5302.28" u="1"/>
        <s v="HP 100 CLR-48mm x 1371m-6 rls/cs- S 85" u="1"/>
        <s v="HP 300 CLR-72mm x 100m-24 RLS/CS-H 4448" u="1"/>
        <s v="AP 201 CLR-48mm x 100m-36 rls/cs-H/A 76.98" u="1"/>
        <s v="HP 100 CLR-48mm x 100m-36 rls/cs-S 16936.12" u="1"/>
        <s v="HP 200 CLR-48mm x 1371m-6 rls/cs-S 2728.61" u="1"/>
        <s v="AP 180 CLR-48mm x 100m-36 rls/cs-H/A 5324.61" u="1"/>
        <s v="HP 200 WHI-72mm x 100m-24 rls/cs-NS 14303.99" u="1"/>
        <s v="CP 105 NAT-48mm x 55m-24 rls/cs-S 830.66" u="1"/>
        <s v="PC 600 BLK-48mm x 55m-24 rls/cs-S 2617.4" u="1"/>
        <s v="WP 150 GRN CAP 72mm x 138m - 10rls/cs NS " u="1"/>
        <s v="HP 100 CLR-72mm x 100m-24 rls/cs-S 8675.25" u="1"/>
        <s v="HP 500 CLR-72mm x 914m-4 rls/cs-S 180433.91" u="1"/>
        <s v="HP 500 CLR-72mm x 50m-24 rls/cs-H/A 12937.32" u="1"/>
        <s v="HM 016 CLR-48mm  *DO NOT USE* 469.02" u="1"/>
        <s v="AP 180 CLR-48mm x 914m-6 rls/cs-H/A 2395.01" u="1"/>
        <s v="CP 105 NAT-12mm x 55m-72 rls/cs-H 273.7" u="1"/>
        <s v="GS 490 WHI-48mm x 55m-24 rls/cs-H/A 13481.88" u="1"/>
        <s v="HM 014 CLR-48mm x 100m-36 rls/cs-S 164.66" u="1"/>
        <s v="HP 100 CLR-53mm x 1500m-6 rls/cs-S 15695.85" u="1"/>
        <s v="HP 100 CLR-48mm x 1371m-6 rls/cs- S 6359.6" u="1"/>
        <s v="DP 391 GLA-24mm *DO NOT USE* 949.45" u="1"/>
        <s v="HP 200 BLU-48mm x 914m-6 rls/cs-H 1734.37" u="1"/>
        <s v="HP 200 CLR-48mm x 914m-6 rls/cs-S 2007.24" u="1"/>
        <s v="HP 200 CLR-72mm x 100m-24 rls/cs-S 686.19" u="1"/>
        <s v="GG 200 NAT-48mm x 33m-24 rls/cs-H " u="1"/>
        <s v="HP 100 CLR-53mm x 1500m-6 rls/cs-S 9597.14" u="1"/>
        <s v="AP 180 CLR-72mm x 1371m-4 rls/cs-H 41382.09" u="1"/>
        <s v="AP 201 CLR-48mm x 100m-36 rls/cs-H/A 4170" u="1"/>
        <s v="HP 400 CLR-72mm x 100m-24 rls/cs-H/A 11707.02" u="1"/>
        <s v="WP 100 NAT-72mmx138m(450ft)-10rls/cs-H/A 53.56" u="1"/>
        <s v="CP 106 NAT-48mm x 55m-24 rls/cs-S 4369.92" u="1"/>
        <s v="PC 618 BLU-48mm x 55m-24 rls/cs-H/A 149" u="1"/>
        <s v="CP 66L NAT-4in x 240yd-3 rls/cs-H 86609.94" u="1"/>
        <s v="HP 200 BLU-72mm x 914m-4 rls/cs-NS 36197.97" u="1"/>
        <s v="AP 180 CLR-72mm x 1371m-4 rls/cs-H 55474.37" u="1"/>
        <s v="HP 200 CLR-53mm x 1371m-6 rls/cs-H 39675.88" u="1"/>
        <s v="HP 500 CLR-72mm x 50m-24 rls/cs-H/A 31938.2" u="1"/>
        <s v="AP 301 CLR-48mm x 100m-36 rls/cs-H " u="1"/>
        <s v="HP 100 CLR-48mm x 1371m-6 rls/cs- S 12381.34" u="1"/>
        <s v="GS 490 WHI-48mm x 55m-24 rls/cs-H/A 2079" u="1"/>
        <s v="CP 66L NAT-4in x 240yd-3 rls/cs-H 147821.4" u="1"/>
        <s v="AP 180 CLR-72mm x 100m-24 rls/cs-H/A 389.66" u="1"/>
        <s v="DT 200 GLA-48mm x 50m-24 rls/cs-H 24555.95" u="1"/>
        <s v="HP 232 CLR-48mm x 100m-36 rls/cs-H/A 2993.76" u="1"/>
        <s v="GS 531 WHI-36mm x 55m-24 rls/cs-H 35902.31" u="1"/>
        <s v="HP 200 WHI-72mm x 914m-4 rls/cs-H 2912.5" u="1"/>
        <s v="HP 100 CLR-72mm x 100m-24 rls/cs-S 16779.33" u="1"/>
        <s v="FP 097 KFT-24mm x 55m-36 rls/cs-H 1518.25" u="1"/>
        <s v="HP 200 CLR-48mm x 100m-36 rls/cs-S 16879.1" u="1"/>
        <s v="HP 500 CLR-72mm x 914m-4 rls/cs-S 83615.71" u="1"/>
        <s v="HM 016 CLR-72mm x 100m-24 rls/cs-H/A 1903.18" u="1"/>
        <s v="HP 300 CLR-48mm x 914m-6 rls/cs-H 468.07" u="1"/>
        <s v="HP 300 CLR-72mm x 914m-4 rls/cs-H " u="1"/>
        <s v="CP 101 NAT-24mm x 55m-36 rls/cs-H/T 136.86" u="1"/>
        <s v="HP 200 CLR-72mm x 1371m-4 rls/cs-S 8091.03" u="1"/>
        <s v="HP 100 CLR-53mm x 1500m-6 rls/cs-S 47061.89" u="1"/>
        <s v="HP 100 CLR-48mm x 1371m-6 rls/cs- S 83339.85" u="1"/>
        <s v="FE-2 Folded-Edge Tape Dispenser - H 876.15" u="1"/>
        <s v="HP 100 CLR-48mm x 914m-6 rls/cs-S 22835.24" u="1"/>
        <s v="HP 200 CLR-48mm x 1371m-6 rls/cs-S 45368.28" u="1"/>
        <s v="HP 232 CLR-48mm x 914m-6 rls/cs-H/A 1593.28" u="1"/>
        <s v="FP 097 KFT-48mm x 50m-24 rls/cs-H 729.91" u="1"/>
        <s v="DT 200 GLA-48mm x 50m-24 rls/cs-H 58554.15" u="1"/>
        <s v="HP 100 CLR-72mm x 914m-4 rls/cs-S 10503.82" u="1"/>
        <s v="HP 232 CLR-48mm x 100m-36 rls/cs-H/A 521.42" u="1"/>
        <s v="HP 200 CLR-72mm x 914m-4 rls/cs-S 2664.92" u="1"/>
        <s v="HP 200 CLR-72mm x 914m-4 rls/cs-S 26896.3" u="1"/>
        <s v="AP 180 CLR-72mm x 100m-24 rls/cs-H/A 250.91" u="1"/>
        <s v="PC 609 SIL-48mm x 55m-24 rls/cs-H/A 6306.86" u="1"/>
        <s v="HP 100 CLR-48mm x 1828m-6 rls/cs-S 8262.79" u="1"/>
        <s v="HM 018 CLR-48mm x 1500m-6 rls/cs-NS 33972.94" u="1"/>
        <s v="WP 150 WB SER 70mmx138(450FT) 10RL/CS-NS 1844.37" u="1"/>
        <s v="GG 200 NAT-48mm x 33m-24 rls/cs-H 2645.68" u="1"/>
        <s v="HP 200 CLR-48mm x 200m-36 rls/cs-H 322.18" u="1"/>
        <s v="FP 115 BRN-48mm x 55m-24 rls/cs-H 8059.39" u="1"/>
        <s v="HP 200 CLR-48mm x 914m-6 rls/cs-S 2258.15" u="1"/>
        <s v="HP 200 CLR-72mm x 100m-24 rls/cs-S 670.04" u="1"/>
        <s v="HP 232 CLR-48mm x 914m-6 rls/cs-H/A 2924.86" u="1"/>
        <s v="HP 500 CLR-72mm x 50m-24 rls/cs-H/A 60730.56" u="1"/>
        <s v="HP 200 CLR-48mm x 100m-36 rls/cs-S 155.39" u="1"/>
        <s v="CP 106 NAT-48mm x 55m-24 rls/cs-S 958" u="1"/>
        <s v="GS 490 WHI-24mm x 55m-36 rls/cs-H/A 758.42" u="1"/>
        <s v="HP 200 WHI-72mm x 914m-4 rls/cs-H 2957.64" u="1"/>
        <s v="SD 934  PISTOL GRIP TAPE DISPNSR PREM.-S 137.49" u="1"/>
        <s v="FP 115 BRN-72mm x 55m-16 rls/cs-H 290.82" u="1"/>
        <s v="HP 200 CLR-48mm x 914m-6 rls/cs-S 3250.24" u="1"/>
        <s v="HP 100 CLR-48mm x 100m-36 rls/cs-S 5335.33" u="1"/>
        <s v="SD 934  PISTOL GRIP TAPE DISPNSR PREM.-S 221.76" u="1"/>
        <s v="DP 380 GLA-19mm x 50m-48 rls/cs-NS 463.8" u="1"/>
        <s v="HP 100 CLR-48mm x 914m-6 rls/cs-S 2023.16" u="1"/>
        <s v="HP 200 CLR-53mm x 1371m-6 rls/cs-H 20421.72" u="1"/>
        <s v="HP 100 CLR-48mm x 914m-6 rls/cs-S 3252.26" u="1"/>
        <s v="HP 200 CLR-72mm x 1371m-4 rls/cs-S 6341.42" u="1"/>
        <s v="HP 100 CLR-48mm x 1371m-6 rls/cs- S 6351.05" u="1"/>
        <s v="HP 100 CLR-53mm x 1500m-6 rls/cs-S 0" u="1"/>
        <s v="HP 200 CLR-72mm x 914m-4 rls/cs-S 20372.76" u="1"/>
        <s v="HP 100 CLR-72mm x 100m-24 rls/cs-S 613.01" u="1"/>
        <s v="AP 180 CLR-72mm x 1371m-4 rls/cs-H 55253.18" u="1"/>
        <s v="AP 101 CLR-48mm x 100m-36 rls/cs-S " u="1"/>
        <s v="HP 100 CLR-53mm x 1500m-6 rls/cs-S 58701.54" u="1"/>
        <s v="HP 240 WR STOP-48mm x 100m-36 rls/cs-H 2081.38" u="1"/>
        <s v="HP 100 CLR-53mm x 1500m-6 rls/cs-S 21225.76" u="1"/>
        <s v="AP 201 CLR-48mm x 100m-36 rls/cs-H/A 6842.87" u="1"/>
        <s v="HP 300 CLR-48mm x 914m-6 rls/cs-H 0" u="1"/>
        <s v="HP 100 CLR-72mm x 100m-24 rls/cs-S 4048.7" u="1"/>
        <s v="HP 200 CLR-48mm x 914m-6 rls/cs-S 3638.13" u="1"/>
        <s v="HP 200 RED-48mm x 914m-6 rls/cs-H 8468.06" u="1"/>
        <s v="WP 100 NAT-72mmx138m(450ft)-10rls/cs-H/A 234.04" u="1"/>
        <s v="CP 101 NAT-24mm x 55m-36 rls/cs-H/T 906.68" u="1"/>
        <s v="GS 490 CLR-12mm x 55m-72 rls/cs-H/A 795.48" u="1"/>
        <s v="CP 106 NAT-24mm x 55m-36 rls/cs-S 179.63" u="1"/>
        <s v="HP 500 CLR-72mm x 914m-4 rls/cs-S 90479.97" u="1"/>
        <s v="HM 016 CLR-48mm x 100m-36 rls/cs-S 10649.22" u="1"/>
        <s v="HP 100 CLR-53mm x 1500m-6 rls/cs-S 4721.59" u="1"/>
        <s v="CP 105 NAT-12mm x 55m-72 rls/cs-H 69.85" u="1"/>
        <s v="WP 100 NAT-70mm x 115m(375ft)-8 rls/cs-H " u="1"/>
        <s v="CP 107 NAT-48mm x 55m-24 rls/cs-H/A " u="1"/>
        <s v="CP 450 NAT-36mm x 55m-24 rls/cs-H 30295.9" u="1"/>
        <s v="HP 100 TAN-48mm x 100m-36 rls/cs-S 5100.07" u="1"/>
        <s v="PC 609 SIL-48mm x 55m-24 rls/cs-H/A 7676.38" u="1"/>
        <s v="HP 500 CLR-72mm x 50m-24 rls/cs-H/A 7174.33" u="1"/>
        <s v="CP 450 NAT-24mm x 55m-36 rls/cs-H 592.34" u="1"/>
        <s v="HP 200 BLU-48mm x 914m-6 rls/cs-H 11427.6" u="1"/>
        <s v="HP 200 CLR-72mm x 100m-24 rls/cs-S 809.02" u="1"/>
        <s v="HP 200 CLR-72mm x 100m-24 rls/cs-S 809.03" u="1"/>
        <s v="HP 300 CLR-72mm x 914m-4 rls/cs-H 2006.92" u="1"/>
        <s v="HP 050 CLR-48mm x 100m-36 *DO NOT USE* 1796.26" u="1"/>
        <s v="HP 400 CLR-48mm x 50m-36 rls/cs-H 899.91" u="1"/>
        <s v="AP 180 CLR-48mm x 914m-6 rls/cs-H/A 5288.97" u="1"/>
        <s v="AP 180 CLR-72mm x 1371m-4 rls/cs-H 23774.74" u="1"/>
        <s v="CP 650 NAT-72mm x 55m-16 rls/cs-H 1313.78" u="1"/>
        <s v="HP 200 CLR-72mm x 100m-24 rls/cs-S 2594.59" u="1"/>
        <s v="HP 200 CLR-48mm x 1371m-6 rls/cs-H/A 6030.28" u="1"/>
        <s v="AP 180 CLR-72mm x 100m-24 rls/cs-H/A 16850.58" u="1"/>
        <s v="HP 200 CLR-72mm x 914m-4 rls/cs-H/A 13344.81" u="1"/>
        <s v="HP 200 CLR-48mm x 914m-6 rls/cs-S 4690.23" u="1"/>
        <s v="HP 200 CLR-48mm x 914m-6 rls/cs-S 4690.24" u="1"/>
        <s v="HP 200 CLR-72mm x 100m-24 rls/cs-S 629.16" u="1"/>
        <s v="SD 934  PISTOL GRIP TAPE DISPNSR PREM.-S 97.57" u="1"/>
        <s v="HP 100 CLR-53mm x 1500m-6 rls/cs-S 14063.91" u="1"/>
        <s v="HP 100 CLR-53mm x 1500m-6 rls/cs-S 2991.62" u="1"/>
        <s v="HP 400 CLR-72mm x 914m-4 rls/cs-H/A 594.72" u="1"/>
        <s v="HP 300 CLR-72mm x 100m-24 RLS/CS-H 12282.97" u="1"/>
        <s v="HP 100 CLR-48mm x 1371m-6 rls/cs- S 20861.51" u="1"/>
        <s v="HP 200 CLR-72mm x 100m-24 rls/cs-S 245.2" u="1"/>
        <s v="HP 200 TAN-48mm x 100m-36 rls/cs-H/A 8391.09" u="1"/>
        <s v="HP 132 CLR-48mm x 914m-6 rls/cs-H/T 103435.82" u="1"/>
        <s v="FE 53 Folded-Edge Tape Dispenser 539.55" u="1"/>
        <s v="GS 490 WHI-12mm x 55m-72 rls/cs-H/A 333.6" u="1"/>
        <s v="HP 100 CLR-53mm x 1500m-6 rls/cs-S 25359.65" u="1"/>
        <s v="HP 200 CLR-48mm x 100m-36 rls/cs-S 727.05" u="1"/>
        <s v="HP 200 CLR-48mm x 100m-36 rls/cs-S 5925.53" u="1"/>
        <s v="HP 500 CLR-72mm x 914m-4 rls/cs-S 660124.06" u="1"/>
        <s v="AP 201 CLR-48mm x 914m-6 rls/cs-H/A 1355.5" u="1"/>
        <s v="GS 490 WHI-12mm x 55m-72 rls/cs-H/A 233.8" u="1"/>
        <s v="HP 200 CLR-48mm x 100m-36 rls/cs-S 727.06" u="1"/>
        <s v="HP 200 CLR-72mm x 100m-24 rls/cs-S 899.09" u="1"/>
        <s v="WP 150 K SUNDWN 70MMX138M-10rl/cs-NS 2019.6" u="1"/>
        <s v="HP 300 CLR-72mm x 914m-4 rls/cs-H 1000.64" u="1"/>
        <s v="AP 101 CLR-48mm x 100m-36 rls/cs-S 6457.96" u="1"/>
        <s v="DF 065 NAT-18mm x 33m-48 rls/cs-H/A 1024.06" u="1"/>
        <s v="CP 631 BLK-18mm x 55m-48 rls/cs-H 182.48" u="1"/>
        <s v="HP 100 CLR-53mm x 1500m-6 rls/cs-S 21106.02" u="1"/>
        <s v="HP 235 CR BISTOP-72mmx914m-4 rls/cs-NS 5573.78" u="1"/>
        <s v="HP 100 CLR-53mm x 1500m-6 rls/cs-S 30331.08" u="1"/>
        <s v="HP 500 CLR-72mm x 914m-4 rls/cs-S 237766.92" u="1"/>
        <s v="AP 180 CLR-72mm x 100m-24 rls/cs-H/A 1913.14" u="1"/>
        <s v="CP 106 NAT-24mm x 55m-36 rls/cs-S 278" u="1"/>
        <s v="CP 450 NAT-24mm x 55m-36 rls/cs-H 455.48" u="1"/>
        <s v="HP 200 CLR-72mm x 914m-4 rls/cs-S 517.02" u="1"/>
        <s v="HP 200 CLR-48mm x 100m-36 rls/cs-S 7905.68" u="1"/>
        <s v="HP 200 CLR-72mm x 1371m-4 rls/cs-S 28499.88" u="1"/>
        <s v="HP 200 CLR-48mm x 914m-6 rls/cs-S 5600.47" u="1"/>
        <s v="HP 200 CLR-72mm x 1828m-4 rls/cs-H 3880.01" u="1"/>
        <s v="DP 380 GLA-24mm x 50m-36 rls/cs-H 0" u="1"/>
        <s v="HP 100 CLR-48mm x 914m-6 rls/cs-S 7840.79" u="1"/>
        <s v="HP 500 CLR-72mm x 914m-4 rls/cs-S 51236.06" u="1"/>
        <s v="HP 200 CLR-48mm x 1371m-6 rls/cs-S 172" u="1"/>
        <s v="PE 333 STR-48mm x 55m-24 rls/cs-H/A 656.96" u="1"/>
        <s v="SD 935, PISTOL GRIP DISPNSR-3 IN. ROLL-S 167.22" u="1"/>
        <s v="WP 100 NAT-72mmx138m(450ft)-10rls/cs-H/A 1606.77" u="1"/>
        <s v="HP 200 BLU-48mm x 914m-6 rls/cs-H 1538.46" u="1"/>
        <s v="HP 200 CLR-72mm x 914m-4 rls/cs-S 2877.81" u="1"/>
        <s v="HP 100 CLR-53mm x 1500m-6 rls/cs-S 14913.19" u="1"/>
        <s v="DF 065 NAT-18mm x 33m-48 rls/cs-H/A " u="1"/>
        <s v="AP 180 CLR-48mm x 100m-36 rls/cs-H/A " u="1"/>
        <s v="HP 100 CLR-48mm x 914m-6 rls/cs-S 861.6" u="1"/>
        <s v="HP 200 CLR-72mm x 100m-24 rls/cs-S 4105.72" u="1"/>
        <s v="HM 018 CLR-72mm x 100m-24 rls/cs-H/A 23294.3" u="1"/>
        <s v="HP 500 CLR-72mm x 914m-4 rls/cs-S 249658.2" u="1"/>
        <s v="P- 628 BLK-48mm x 50m-24 RLS/CS-S 1863.27" u="1"/>
        <s v="AP 201 CLR-72mm x 100m-24 rls/cs-H/A 679.54" u="1"/>
        <s v="HP 200 CLR-48mm x 100m-36 rls/cs-S 10264.3" u="1"/>
        <s v="HP 500 CLR-72mm x 914m-4 rls/cs-S 90479.98" u="1"/>
        <s v="GS 490 WHI-48mm x 55m-24 rls/cs-H/A 3725.56" u="1"/>
        <s v="HP 200 CLR-48mm x 100m-36 rls/cs-S 528.18" u="1"/>
        <s v="HP 200 CLR-72mm x 1371m-4 rls/cs-S 8901.09" u="1"/>
        <s v="CP 105 NAT-48mm x 55m-24 rls/cs-S 1148.56" u="1"/>
        <s v="HP 100 CLR-48mm x 1371m-6 rls/cs- S 32311.23" u="1"/>
        <s v="HP 100 TAN-48mm x 100m-36 rls/cs-S 5100.08" u="1"/>
        <s v="SD 935, PISTOL GRIP DISPNSR-3 IN. ROLL-S 183.93" u="1"/>
        <s v="HP 100 CLR-48mm x 1828m-6 rls/cs-S 33051.12" u="1"/>
        <s v="HP 200 GRN-48mm x 914m-6 rls/cs-H/A 593.7" u="1"/>
        <s v="PC 460 SIL-48mm x 55m-24 rls/cs-H/A 1550.1" u="1"/>
        <s v="CP 083 NAT-24mm x 55m-36 rls/cs-S 128.3" u="1"/>
        <s v="CP 66L NAT-18mm *DO NOT USE* 353.55" u="1"/>
        <s v="HP 200 CLR-48mm x 914m-6 rls/cs-S 3013.36" u="1"/>
        <s v="AP 015 CLR-96mm x 66m-18 rls/cs-H 754.15" u="1"/>
        <s v="HP 300 CLR-72mm x 914m-4 rls/cs-H 4822.8" u="1"/>
        <s v="HM 014 CLR-48mm x 100m-36 rls/cs-S 3164.83" u="1"/>
        <s v="HP 100 CLR-53mm x 1500m-6 rls/cs-S 30232.58" u="1"/>
        <s v="HP 232 CLR-72mm x 914m-4 rls/cs-H/A 18315" u="1"/>
        <s v="FP 115 BRN-48mm x 55m-24 rls/cs-H 1982.53" u="1"/>
        <s v="FP 097 KFT-72mm x 55m-16 rls/cs-H/A 64.63" u="1"/>
        <s v="AP 180 CLR-48mm x 100m-36 rls/cs-H/A 501.81" u="1"/>
        <s v="GG 200 NAT-48mm x 33m-24 rls/cs-H 2615.5" u="1"/>
        <s v="CP 66L NAT-4in x 240yd-3 rls/cs-H 8572.61" u="1"/>
        <s v="SD 937 TRIM SET for BG SLR P605TS 17.17" u="1"/>
        <s v="HP 100 CLR-53mm x 1500m-6 rls/cs-S 4291.77" u="1"/>
        <s v="HP 100 CLR-48mm x 1371m-6 rls/cs- S 3612.47" u="1"/>
        <s v="GS 490 CLR-48mm x 55m-24 rls/cs-H/A 1951.17" u="1"/>
        <s v="HP 100 CLR-53mm x 1500m-6 rls/cs-S 39389.31" u="1"/>
        <s v="AP 180 CLR-72mm x 100m-24 rls/cs-H/A 1273.53" u="1"/>
        <s v="FP 097 KFT-72mm x 55m-16 rls/cs-H/A 1355.9" u="1"/>
        <s v="HP 100 CLR-72mm x 100m-24 rls/cs-S 626.08" u="1"/>
        <s v="HP 200 BLU-48mm x 914m-6 rls/cs-H 3130.97" u="1"/>
        <s v="HP 200 CLR-72mm x 914m-4 rls/cs-S 1442.71" u="1"/>
        <s v="DF 065 NAT-18mm x 33m-48 rls/cs-H/A 0" u="1"/>
        <s v="FP 097 KFT-24mm x 55m-36 rls/cs-H 958" u="1"/>
        <s v="PS 748 NAT-18mm x 55m-96 rls/cs-H 1503.55" u="1"/>
        <s v="HP 500 CLR-48mm x 914m-6 rls/cs-H 7274.84" u="1"/>
        <s v="SD 934  PISTOL GRIP TAPE DISPNSR PREM.-S 133.06" u="1"/>
        <s v="FP 115 BRN-48mm x 55m-24 rls/cs-H 390.85" u="1"/>
        <s v="HP 200 WHI-48mm x 914m-6 rls/cs-H 933.88" u="1"/>
        <s v="HP 100 CLR-48mm x 1371m-6 rls/cs- S 112499.77" u="1"/>
        <s v="GS 490 WHI-18mm x 55m-48 rls/cs-H/A 91.24" u="1"/>
        <s v="HP 500 CLR-72mm x 914m-4 rls/cs-S 51236.07" u="1"/>
        <s v="GS 501 WHI-18mm x 330m-16 rls/cs-C 325.99" u="1"/>
        <s v="HP 100 CLR-53mm x 1500m-6 rls/cs-S 10713.39" u="1"/>
        <s v="HP 100 CLR-53mm x 1500m-6 rls/cs-S 8532.22" u="1"/>
        <s v="HP 200 TAN-72mm x 914m-4 rls/cs-H 19205.69" u="1"/>
        <s v="HP 200 WHI-48mm x 914m-6 rls/cs-H 11206.64" u="1"/>
        <s v="HP 200 BLU-48mm x 914m-6 rls/cs-H 13534.65" u="1"/>
        <s v="HP 200 CLR-48mm x 914m-6 rls/cs-S 16816.36" u="1"/>
        <s v="CP 66L NAT-72mm x 55m-16 rls/cs-NS " u="1"/>
        <s v="HP 500 CLR-48mm x 914m-6 rls/cs-H 0" u="1"/>
        <s v="CP 631 GRN-18mm x 55m-48 rls/cs-H 693.79" u="1"/>
        <s v="HP 200 TAN-48mm x 100m-36 rls/cs-H/A 625.48" u="1"/>
        <s v="HP 100 CLR-48mm x 100m-36 rls/cs-S 23122.15" u="1"/>
        <s v="HM 018 CLR-48mm x 100m-36 rls/cs-S 3286.01" u="1"/>
        <s v="HM 018 CLR-72mm  *DO NOT USE* 318.38" u="1"/>
        <s v="HP 300 CLR-72mm x 914m-4 rls/cs-H 3038" u="1"/>
        <s v="HP 500 CLR-72mm x 914m-4 rls/cs-S 549899.53" u="1"/>
        <s v="HP 200 GRN-48mm x 914m-6 rls/cs-H/A 430.34" u="1"/>
        <s v="HP 200 CLR-72mm x 914m-4 rls/cs-S 11901" u="1"/>
        <s v="CP 106 NAT-48mm x 55m-24 rls/cs-S 3978.37" u="1"/>
        <s v="WP 150 RKSAF 70MMx183M(600FT)-10rl/cs-NS 5732.1" u="1"/>
        <s v="GS 490 CLR-48mm x 55m-24 rls/cs-H/A 8665.27" u="1"/>
        <s v="HP 300 CLR-72mm x 914m-4 rls/cs-H 1273.54" u="1"/>
        <s v="GS 490 CLR-18mm x 55m-48 rls/cs-H/A 3773.08" u="1"/>
        <s v="HM 016 CLR-72mm x 100m-24 rls/cs-H/A 28" u="1"/>
        <s v="WP 100 NAT-70mm x 153m(500ft)-6 rls/cs-H 2558.95" u="1"/>
        <s v="SD 936  2&quot; PISTOL GRIP SILENT DISP-H/A/T 62.49" u="1"/>
        <s v="HP 500 CLR-72mm x 914m-4 rls/cs-S 24116.4" u="1"/>
        <s v="HP 200 CLR-48mm x 1371m-6 rls/cs-S 7743.17" u="1"/>
        <s v="AP 180 CLR-48mm x 1371m-6 rls/cs-H 5025.24" u="1"/>
        <s v="GS 531 WHI-36mm x 55m-24 rls/cs-H 7010.15" u="1"/>
        <s v="HP 100 CLR-53mm x 1500m-6 rls/cs-S 7527.17" u="1"/>
        <s v="PC 609 SIL-48mm x 55m-24 rls/cs-H/A 3355.39" u="1"/>
        <s v="HM 016 CLR-72mm x 100m-24 rls/cs-H/A 950.4" u="1"/>
        <s v="HP 100 CLR-53mm x 1500m-6 rls/cs-S 2591.74" u="1"/>
        <s v="SD 934  PISTOL GRIP TAPE DISPNSR PREM.-S 97.58" u="1"/>
        <s v="HP 100 CLR-72mm x 914m-4 rls/cs-S 9580.04" u="1"/>
        <s v="HP 200 CLR-48mm x 1371m-6 rls/cs-H/A 2931.38" u="1"/>
        <s v="HP 200 CLR-48mm x 100m-36 rls/cs-S 6800.12" u="1"/>
        <s v="HP 200 CLR-48mm x 100m-36 rls/cs-S 14754.96" u="1"/>
        <s v="CP 106 NAT-48mm x 55m-24 rls/cs-S 405.1" u="1"/>
        <s v="FP 115 BRN-24mm x 55m-36 rls/cs-H 137.57" u="1"/>
        <s v="HP 200 CLR-48mm x 914m-6 rls/cs-S 4470.2" u="1"/>
        <s v="HP 200 CLR-72mm x 914m-4 rls/cs-S 20162.99" u="1"/>
        <s v="HM 018 CLR-72mm x 100m-24 rls/cs-H/A 3820.61" u="1"/>
        <s v="WP 150 WB TR 70mmx138m(450FT)-10rl/cs-NS 3872.88" u="1"/>
        <s v="FP 097 KFT-48mm x 50m-24 rls/cs-H 13826.4" u="1"/>
        <s v="GS 490 CLR-48mm x 55m-24 rls/cs-H/A 637.72" u="1"/>
        <s v="FP 097 KFT-72mm x 55m-16 rls/cs-H/A 15945.18" u="1"/>
        <s v="SD 937, Bag Sealer MetalDisp-9MM Rol-H/A 15.08" u="1"/>
        <s v="VP 410 ORG-75mm x 33m-18 rls/cs-H 81" u="1"/>
        <s v="AF 075 SIL-1in x 60yd-36 rls/cs-H 2028.63" u="1"/>
        <s v="HP 132 CLR-48mm x 914m-6 rls/cs-H/T 24337.84" u="1"/>
        <s v="GS 490 CLR-48mm x 55m-24 rls/cs-H/A 5027.14" u="1"/>
        <s v="HP 200 CLR-48mm x 914m-6 rls/cs-S 977.25" u="1"/>
        <s v="HP 132 CLR-48mm x 914m-6 rls/cs-H/T 16668.89" u="1"/>
        <s v="HP 132 CLR-72mm x 100m-24 rls/cs-H 4790.02" u="1"/>
        <s v="WP 150 RKSAF 70MMx183M(600FT)-10rl/cs-NS 6636.17" u="1"/>
        <s v="HP 100 CLR-53mm x 1500m-6 rls/cs-S 12385.6" u="1"/>
        <s v="HP 100 CLR-53mm x 1500m-6 rls/cs-S 30585.06" u="1"/>
        <s v="PC 600 SIL-72mm x 55m-16 rls/cs-H 323.92" u="1"/>
        <s v="HP 200 CLR-72mm x 1371m-4 rls/cs-S 13081.65" u="1"/>
        <s v="CP 66L NAT-48mm x 165m- 6 rls/cs-C 3326.4" u="1"/>
        <s v="DF 065 NAT-18mm x 33m-48 rls/cs-H/A 584.5" u="1"/>
        <s v="AP 180 CLR-48mm x 1371m-6 rls/cs-H 11950.1" u="1"/>
        <s v="HP 235 CLR-72mm x 1371m-4 rls/cs-H 99277.35" u="1"/>
        <s v="WP 100 NAT-70mm x 153m(500ft)-6 rls/cs-H 130.92" u="1"/>
        <s v="HP 100 CLR-48mm x 100m-36 rls/cs-S 8740.35" u="1"/>
        <s v="HP 200 CLR-48mm x 914m-6 rls/cs-S 23550.91" u="1"/>
        <s v="AP 101 CLR-48mm x 100m-36 rls/cs-S 52.75" u="1"/>
        <s v="HP 100 CLR-48mm x 914m-6 rls/cs-S 6055.94" u="1"/>
        <s v="HP 100 CLR-53mm x 1500m-6 rls/cs-S 20721.1" u="1"/>
        <s v="HP 200 CLR-48mm x 914m-6 rls/cs-S 140.18" u="1"/>
        <s v="CP 66L NAT-4in x 240yd-3 rls/cs-H 20414.6" u="1"/>
        <s v="HP 100 CLR-48mm x 914m-6 rls/cs-S 6055.95" u="1"/>
        <s v="HP 200 CLR-48mm x 100m-36 rls/cs-S 3815.62" u="1"/>
        <s v="HP 200 CLR-48mm x 914m-6 rls/cs-S 10085.88" u="1"/>
        <s v="HP 200 CLR-48mm x 1371m-6 rls/cs-S 12907.38" u="1"/>
        <s v="GS 490 WHI-48mm x 55m-24 rls/cs-H/A 11725.54" u="1"/>
        <s v="HM 018 CLR-48mm x 100m-36 rls/cs-S 1226.01" u="1"/>
        <s v="HP 500 CLR-72mm x 914m-4 rls/cs-S 104743.1" u="1"/>
        <s v="HM 016 CLR-72mm  *DO NOT USE* 1839.02" u="1"/>
        <s v="AP 201 CLR-48mm x 100m-36 rls/cs-H/A 26400.69" u="1"/>
        <s v="CP 105 NAT-48mm x 55m-24 rls/cs-S 831" u="1"/>
        <s v="HP 200 CLR-48mm x 914m-6 rls/cs-S 35403" u="1"/>
        <s v="HP 300 CLR-72mm x 100m-24 RLS/CS-H 10880.17" u="1"/>
        <s v="HP 200 CLR-48mm x 914m-6 rls/cs-S 16816.37" u="1"/>
        <s v="FP 097 KFT-18mm x 55m-48 rls/cs-H 420.08" u="1"/>
        <s v="HP 200 CLR-48mm x 914m-6 rls/cs-S 23420.23" u="1"/>
        <s v="PC 006 SIL-48mm x 55m-24 rls/cs-H/A 1007.9" u="1"/>
        <s v="HP 100 CLR-53mm x 1500m-6 rls/cs-S 63823.76" u="1"/>
        <s v="HP 200 CLR-48mm x 914m-6 rls/cs-S 6637.6" u="1"/>
        <s v="HP 200 CLR-48mm x 914m-6 rls/cs-S 940.89" u="1"/>
        <s v="SD 934, PISTOL GRIP TAPE DISPNSR PREM.-S 72.53" u="1"/>
        <s v="CP 105 NAT-18mm x 55m-48 rls/cs-S 21897.21" u="1"/>
        <s v="GS 501 WHI-24mm x 55m-36 rls/cs-H/A 935.55" u="1"/>
        <s v="CP 66L NAT-4in x 240yd-3 rls/cs-H 8165.84" u="1"/>
        <s v="GS 490 CLR-24mm x 55m-36 rls/cs-H/A 353.55" u="1"/>
        <s v="HP 100 CLR-53mm x 1500m-6 rls/cs-S 2131.28" u="1"/>
        <s v="GS 490 WHI-48mm x 55m-24 rls/cs-H/A 5595.48" u="1"/>
        <s v="HP 200 CLR-48mm x 100m-36 rls/cs-S 7555.68" u="1"/>
        <s v="HP 100 CLR-53mm x 1500m-6 rls/cs-S 33793.85" u="1"/>
        <s v="HP 200 CLR-48mm x 914m-6 rls/cs-S 2010.09" u="1"/>
        <s v="FP 097 KFT-48mm x 55m-24 rls/cs-H/A 1839.97" u="1"/>
        <s v="HP 500 CLR-48mm x 914m-6 rls/cs-H 6858.32" u="1"/>
        <s v="CP 106 NAT-48mm x 55m-24 rls/cs-S 558.84" u="1"/>
        <s v="HP 100 CLR-48mm x 914m-6 rls/cs-S 6616.67" u="1"/>
        <s v="HM 016 CLR-48mm x 914m-6 rls/cs-H/A 467.24" u="1"/>
        <s v="HP 200 CLR-72mm x 914m-4 rls/cs-S 9597.18" u="1"/>
        <s v="SD 935  PISTOL GRIP DISPNSR-3 IN. ROLL-S 817.67" u="1"/>
        <s v="HP 200 CLR-72mm x 914m-4 rls/cs-S 35218.04" u="1"/>
        <s v="HP 200 CLR-72mm x 914m-4 rls/cs-S 3803.98" u="1"/>
        <s v="HP 100 CLR-72mm x 1371m-4 rls/cs-H/T 2950.99" u="1"/>
        <s v="HP 500 CLR-72mm x 914m-4 rls/cs-S 186582.54" u="1"/>
        <s v="HP 400 CLR-48mm x 100m-36 rls/cs-H/A 3455.65" u="1"/>
        <s v="HP 200 YEL-48mm x 914m-6 rls/cs-H 1067.3" u="1"/>
        <s v="HP 200 CLR-48mm x 914m-6 rls/cs-S 4476.38" u="1"/>
        <s v="HP 200 YEL-48mm x 914m-6 rls/cs-H 1014.32" u="1"/>
        <s v="HP 100 CLR-48mm x 100m-36 rls/cs-S 5065.85" u="1"/>
        <s v="HP 100 CLR-48mm x 1371m-6 rls/cs- S 26002.94" u="1"/>
        <s v="HP 500 CLR-72mm x 50m-24 rls/cs-H/A 28626.06" u="1"/>
        <s v="FP 097 KFT-24mm x 55m-36 rls/cs-H 1531.08" u="1"/>
        <s v="AP 201 CLR-72mm x 914m-4 rls/cs-H 4138.35" u="1"/>
        <s v="HP 200 CLR-72mm x 914m-4 rls/cs-S 12043.47" u="1"/>
        <s v="HP 200 CLR-72mm x 914m-4 rls/cs-S 9180.28" u="1"/>
        <s v="HP 500 CLR-72mm x 914m-4 rls/cs-S 322716.87" u="1"/>
        <s v="SD 934  PISTOL GRIP TAPE DISPNSR PREM.-S 490.08" u="1"/>
        <s v="GS 521 WHI-18mm x 55m-48 rls/cs-H 551" u="1"/>
        <s v="HP 235 CLR-72mm x 100m-24 rls/cs-H 3107.81" u="1"/>
        <s v="HP 100 CLR-53mm x 1500m-6 rls/cs-S 74639.79" u="1"/>
        <s v="HP 200 CLR-48mm x 914m-6 rls/cs-S 6015.92" u="1"/>
        <s v="PC 006 SIL-48mm x 55m-24 rls/cs-H/A 419.13" u="1"/>
        <s v="CP 083 NAT-48mm x 55m-24 rls/cs-S 206.71" u="1"/>
        <s v="HP 100 CLR-53mm x 1500m-6 rls/cs-S 10634.98" u="1"/>
        <s v="HP 200 CLR-72mm x 914m-4 rls/cs-S 2415.92" u="1"/>
        <s v="HP 200 WHI-72mm x 914m-4 rls/cs-H 2387.88" u="1"/>
        <s v="CP 450 NAT-72mm x 55m-16 rls/cs-NS 9512.24" u="1"/>
        <s v="HP 200 GRN-48mm x 914m-6 rls/cs-H/A 800.47" u="1"/>
        <s v="AP 180 CLR-48mm x 100m-36 rls/cs-H/A 2526.16" u="1"/>
        <s v="AF 075 SIL-1in x 60yd-36 rls/cs-H 1014.31" u="1"/>
        <s v="HP 200 CLR-48mm x 914m-6 rls/cs-S 23550.92" u="1"/>
        <s v="AP 180 CLR-72mm x 100m-24 rls/cs-H/A 1710.72" u="1"/>
        <s v="HP 200 ORG-48mm x 100m-36 rls/cs-H " u="1"/>
        <s v="AF 075 SIL-1in x 60yd-36 rls/cs-H 1014.32" u="1"/>
        <s v="HP 200 CLR-53mm x 1371m-6 rls/cs-H 7270.56" u="1"/>
        <s v="HP 500 CLR-72mm x 50m-24 rls/cs-H/A 23522.4" u="1"/>
        <s v="FE 53 Folded-Edge Tape Dispenser 123.75" u="1"/>
        <s v="HP 132 CLR-48mm x 914m-6 rls/cs-S 15396.48" u="1"/>
        <s v="HP 200 CLR-48mm x 100m-36 rls/cs-S 3815.63" u="1"/>
        <s v="HP 200 CLR-72mm x 100m-24 rls/cs-S 12317.16" u="1"/>
        <s v="CP 106 NAT-36mm x 55m-24 rls/cs-S 818.29" u="1"/>
        <s v="CP 105 NAT-18mm x 55m-48 rls/cs-S 22855" u="1"/>
        <s v="AP 101 CLR-48mm x 914m-6 rls/cs-H 2036" u="1"/>
        <s v="WP 150 BLU APOQ 72mm x 138M - NS 21856.82" u="1"/>
        <s v="HP 200 CLR-48mm x 100m-36 rls/cs-S 13146.57" u="1"/>
        <s v="HP 500 CLR-72mm x 914m-4 rls/cs-S 10166" u="1"/>
        <s v="HP 500 CLR-48mm x 914m-6 rls/cs-H 207.9" u="1"/>
        <s v="CP 083 NAT-48mm x 55m-24 rls/cs-S 216.22" u="1"/>
        <s v="HM 016 CLR-48mm  *DO NOT USE* 1961.98" u="1"/>
        <s v="CP 101 NAT-18mm x 55m-48 rls/cs-H/T 266.1" u="1"/>
        <s v="HP 200 CLR-72mm x 100m-24 rls/cs-S 5323.2" u="1"/>
        <s v="HP 132 CLR-48mm x 914m-6 rls/cs-H/T 6084" u="1"/>
        <s v="HP 200 TAN-72mm x 914m-4 rls/cs-H 22102.5" u="1"/>
        <s v="HP 500 CLR-72mm x 914m-4 rls/cs-S 242045.46" u="1"/>
        <s v="HP 200 CLR-48mm x 914m-6 rls/cs-S 46328" u="1"/>
        <s v="CP 66L NAT-4in x 240yd-3 rls/cs-H 47086.61" u="1"/>
        <s v="HM 018 CLR-72mm x 100m-24 rls/cs-H/A 1273.54" u="1"/>
        <s v="WP 150 WB NXG 70mmx138m(450FT)-10rl/cs 3811.7" u="1"/>
        <s v="DP 380 GLA-24mm x 50m-36 rls/cs-H 733.48" u="1"/>
        <s v="HP 400 CLR-72mm x 50m-24 rls/cs-H 372.08" u="1"/>
        <s v="WP 100 NAT-70mm x 153m(500ft)-6 rls/cs-H 4996.73" u="1"/>
        <s v="HP 200 CLR-72mm x 100m-24 rls/cs-S 14184.72" u="1"/>
        <s v="HP 200 WHI-72mm x 100m-24 rls/cs-NS 9604.03" u="1"/>
        <s v="HP 200 CLR-48mm x 1371m-6 rls/cs-S 2258.15" u="1"/>
        <s v="SD 934, PISTOL GRIP TAPE DISPNSR PREM.-S 87.59" u="1"/>
        <s v="VP 410 BLK- 75MM X 33M- 18 RLS/CS-NS 81" u="1"/>
        <s v="HP 235 CLR-48mm x 100m-36 rls/cs-H " u="1"/>
        <s v="HP 200 CLR-72mm x 100m-24 rls/cs-S 2138.4" u="1"/>
        <s v="DT 200 GLA-48mm x 50m-24 rls/cs-H 25310.58" u="1"/>
        <s v="HP 200 CLR-48mm x 914m-6 rls/cs-S 14826.24" u="1"/>
        <s v="AP 201 RED 48mm x 100m-36 rls/cs-H/A 3998.81" u="1"/>
        <s v="HP 200  EZ 72mm x 100m CLR-24 rls/cs-H 81.73" u="1"/>
        <s v="AP 201 CLR-48mm x 100m-36 rls/cs-H/A 2138.4" u="1"/>
        <s v="HP 235 CLR-72mm x 1371m-4 rls/cs-H 68940.78" u="1"/>
        <s v="HP 132 CLR-48mm x 914m-6 rls/cs-H/T 7698.24" u="1"/>
        <s v="HP 200 CLR-72mm x 100m-24 rls/cs-S 13258" u="1"/>
        <s v="HP 200 CLR-48mm x 1371m-6 rls/cs-S 752.72" u="1"/>
        <s v="HP 100 CLR-53mm x 1500m-6 rls/cs-S 46611.21" u="1"/>
        <s v="HP 100 CLR-48mm x 914m-6 rls/cs-S 300.8" u="1"/>
        <s v="HP 200 CLR-48mm x 1371m-6 rls/cs-S 3276.5" u="1"/>
        <s v="GS 490 WHI-18mm x 55m-48 rls/cs-H/A 1868.96" u="1"/>
        <s v="HP 232 CLR-72mm x 914m-4 rls/cs-H/A 12779.07" u="1"/>
        <s v="HP 300 CLR-72mm x 100m-24 RLS/CS-H 39517.66" u="1"/>
        <s v="HP 100 CLR-48mm x 100m-36 rls/cs-S 5645.37" u="1"/>
        <s v="HP 200 CLR-48mm x 1371m-6 rls/cs-S 32349.71" u="1"/>
        <s v="HM 016 CLR-48mm x 100m-36 rls/cs-S 1035.33" u="1"/>
        <s v="AP 201 CLR-48mm x 100m-36 rls/cs-H/A 1871.1" u="1"/>
        <s v="HP 200 CLR-72mm x 1371m-4 rls/cs-S 12419.84" u="1"/>
        <s v="HP 200 CLR-72mm x 100m-24 rls/cs-S 5033.3" u="1"/>
        <s v="HP 200 CLR-48mm x 100m-36 rls/cs-S 1028" u="1"/>
        <s v="AP 101 CLR-48mm x 914m-6 rls/cs-H 17449.38" u="1"/>
        <s v="CP 66L NAT-4in x 240yd-3 rls/cs-H 25717.81" u="1"/>
        <s v="HP 200 CLR-72mm x 914m-4 rls/cs-S 12043.48" u="1"/>
        <s v="HP 200 CLR-48mm x 100m-36 rls/cs-S 1218.9" u="1"/>
        <s v="HP 200 TAN-72mm x 914m-4 rls/cs-H 20419.98" u="1"/>
        <s v="CP 450 NAT-36mm x 55m-24 rls/cs-H 15499.14" u="1"/>
        <s v="HP 100 CLR-72mm x 914m-4 rls/cs-S 1232.74" u="1"/>
        <s v="HP 100 CLR-48mm x 914m-6 rls/cs-S 26659" u="1"/>
        <s v="HP 100 CLR-53mm x 1500m-6 rls/cs-S 46082.53" u="1"/>
        <s v="HP 200 CLR-48mm x 100m-36 rls/cs-S 8040.36" u="1"/>
        <s v="HP 200 CLR-48mm x 1371m-6 rls/cs-H/A 3015.14" u="1"/>
        <s v="HP 100 CLR-48mm x 100m-36 rls/cs-S 3175.52" u="1"/>
        <s v="HP 100 CLR-53mm x 1500m-6 rls/cs-S 15097.1" u="1"/>
        <s v="HP 100 CLR-48mm x 914m-6 rls/cs-S 6249.83" u="1"/>
        <s v="HP 300 CLR-48mm x 100m-36 rls/cs-H/A 838.25" u="1"/>
        <s v="DP 380 GLA-19mm x 50m-48 rls/cs-H 463.8" u="1"/>
        <s v="HP 500 TAN-72mm x 50m-24 rls/cs-H/A 366.85" u="1"/>
        <s v="HP 200 CLR-48mm x 100m-36 rls/cs-S 10779.7" u="1"/>
        <s v="HP 200 CLR-48mm x 914m-6 rls/cs-S 25830.18" u="1"/>
        <s v="CP 631 RED-18mm x 55m-48 rls/cs-H 172.5" u="1"/>
        <s v="HP 200 BLU-48mm x 914m-6 rls/cs-H 2307.69" u="1"/>
        <s v="HP 100 CLR-53mm x 1500m-6 rls/cs-S 24382.03" u="1"/>
        <s v="SD 935  PISTOL GRIP DISPNSR-3 IN. ROLL-S 295.1" u="1"/>
        <s v="HP 235 CLR-72mm x 1371m-4 rls/cs-H 29424" u="1"/>
        <s v="GS 531 WHI-36mm x 55m-24 rls/cs-H 26398.32" u="1"/>
        <s v="GS 490 WHI-48mm x 55m-24 rls/cs-H/A 5821.2" u="1"/>
        <s v="HP 235 CR BISTOP-72mmx914m-4 rls/cs-NS 32848.99" u="1"/>
        <s v="GS 490 WHI-12mm x 55m-72 rls/cs-H/A 520.35" u="1"/>
        <s v="SD 935, PISTOL GRIP DISPNSR-3 IN. ROLL-S 27.86" u="1"/>
        <s v="SD 935  PISTOL GRIP DISPNSR-3 IN. ROLL-S 442.65" u="1"/>
        <s v="HP 200 CLR-48mm x 100m-36 rls/cs-S 151.11" u="1"/>
        <s v="HP 200 CLR-48mm x 100m-36 rls/cs-S 14992.34" u="1"/>
        <s v="HP 200 CLR-53mm x 1371m-6 rls/cs-H 21811.68" u="1"/>
        <s v="CP 66L NAT-48mm x 55m-24 rls/cs- H/T 3946.06" u="1"/>
        <s v="GS 490 WHI-12mm x 55m-72 rls/cs-H/A 1419.91" u="1"/>
        <s v="HP 200 BLU-48mm x 914m-6 rls/cs-H 1121.47" u="1"/>
        <s v="HP 200 YEL-48mm x 914m-6 rls/cs-H 1067.32" u="1"/>
        <s v="HP 100 CLR-72mm x 100m-24 rls/cs-S 4045.85" u="1"/>
        <s v="HP 132 CLR-72mm x 100m-24 rls/cs-H 2940.53" u="1"/>
        <s v="AP 180 CLR-48mm x 100m-36 rls/cs-H/A 11247.99" u="1"/>
        <s v="HP 200 CLR-72mm x 1371m-4 rls/cs-S 17925.73" u="1"/>
        <s v="HP 300 CLR-48mm x 100m-36 rls/cs-H/A 2836.94" u="1"/>
        <s v="CP 106 NAT-72mm x 55m-16 rls/cs-S 1184.04" u="1"/>
        <s v="HM 016 CLR-48mm x 914m-6 rls/cs-H/A 6682.5" u="1"/>
        <s v="HP 200 GRN-48mm x 914m-6 rls/cs-H/A 5713.8" u="1"/>
        <s v="HP 200 CLR-48mm x 1371m-6 rls/cs-S 2258.16" u="1"/>
        <s v="AP 180 CLR-72mm x 100m-24 rls/cs-H/A 9408.95" u="1"/>
        <s v="HM 018 CLR-48mm x 100m-36 rls/cs-S 1999" u="1"/>
        <s v="HP 500 CLR-72mm x 50m-24 rls/cs-H/A 16583.29" u="1"/>
        <s v="JLAR CLR-1in x 72yd-3&quot;ID SC 72 rls/cs-H 658.64" u="1"/>
        <s v="HP 100 CLR-53mm x 1500m-6 rls/cs-S 25261.99" u="1"/>
        <s v="HP 100 CLR-48mm x 1371m-6 rls/cs- S 122815.41" u="1"/>
        <s v="HP 100 CLR-48mm x 914m-6 rls/cs-S 953.25" u="1"/>
        <s v="PC 609 SIL-48mm x 55m-24 rls/cs-H/A 5559.84" u="1"/>
        <s v="HP 200 CLR-48mm x 1371m-6 rls/cs-S 3096.4" u="1"/>
        <s v="SD 930, CLAM SHELL TAPE DISPENSER - H 81.97" u="1"/>
        <s v="HP 100 CLR-48mm x 914m-6 rls/cs-S 16266.08" u="1"/>
        <s v="HP 132 CLR-48mm x 914m-6 rls/cs-H/T 12168.92" u="1"/>
        <s v="HP 200 TAN-48mm x 100m-36 rls/cs-H/A 2630.23" u="1"/>
        <s v="HP 300 CLR-72mm x 914m-4 rls/cs-H 2401.53" u="1"/>
        <s v="AP 101 CLR-72mm x 100m-24 rls/cs-H/A 9123.84" u="1"/>
        <s v="CP 106 NAT-48mm x 55m-24 rls/cs-S 5955.68" u="1"/>
        <s v="FP 097 KFT-72mm x 55m-16 rls/cs-H/A 254.71" u="1"/>
        <s v="DP 050 CLR-48mm x 50m-24 rls/cs-H 7785.67" u="1"/>
        <s v="HM 014 CLR-48mm x 100m-36 rls/cs-S 199.58" u="1"/>
        <s v="HP 232 CLR-48mm x 914m-6 rls/cs-H/A 985.8" u="1"/>
        <s v="HP 100 CLR-72mm x 1500m-4 rls/cs-H/T 33648.45" u="1"/>
        <s v="PC 599 WHI 48mm x 55m - 24 rls/cs -H " u="1"/>
        <s v="HP 200 CLR-48mm x 1371m-6 rls/cs-S 4298.18" u="1"/>
        <s v="AP 180 CLR-48mm x 1371m-6 rls/cs-H 12563.1" u="1"/>
        <s v="HM 018 CLR-72mm x 100m-24 rls/cs-H 2076.15" u="1"/>
        <s v="HP 100 CLR-48mm x 100m-36 rls/cs-S 5645.38" u="1"/>
        <s v="CP 631 RED-18mm x 55m-48 rls/cs-H 157.77" u="1"/>
        <s v="HP 200 CLR-72mm x 914m-4 rls/cs-S 29789.32" u="1"/>
        <s v="HP 100 CLR-72mm x 1371m-4 rls/cs-H/T 8852.97" u="1"/>
        <s v="CP 106 NAT-48mm x 55m-24 rls/cs-S 1589.07" u="1"/>
        <s v="HM 018 CLR-48mm x 100m-36 rls/cs-S 1999.4" u="1"/>
        <s v="CP 105 NAT-48mm x 55m-24 rls/cs-S 1182.31" u="1"/>
        <s v="HP 200 BLU-48mm x 914m-6 rls/cs-H 1732.17" u="1"/>
        <s v="FP 115 BRN-24mm x 55m-36 rls/cs-H 133.3" u="1"/>
        <s v="CP 66L NAT-4in x 240yd-3 rls/cs-H 8572.59" u="1"/>
        <s v="HP 200 CLR-48mm x 914m-6 rls/cs-S 4063.44" u="1"/>
        <s v="HP 100 CLR-48mm x 1371m-6 rls/cs- S 6543.5" u="1"/>
        <s v="HP 200 CLR-48mm x 914m-6 rls/cs-S 32115.92" u="1"/>
        <s v="CP 631 GRN-18mm x 55m-48 rls/cs-H 182.48" u="1"/>
        <s v="GS 501 WHI-24mm x 55m-36 rls/cs-H/A 4927.23" u="1"/>
        <s v="HP 100 CLR-53mm x 1500m-6 rls/cs-S 17716.64" u="1"/>
        <s v="HP 100 CLR-72mm x 1371m-4 rls/cs-H/T 3438.55" u="1"/>
        <s v="HP 200 BLU-48mm x 914m-6 rls/cs-H 400.24" u="1"/>
        <s v="HP 200 CLR-48mm x 100m-36 rls/cs-S 4533.4" u="1"/>
        <s v="HP 100 CLR-48mm x 100m-36 rls/cs-S 1005.03" u="1"/>
        <s v="HP 132 CLR-48mm x 914m-6 rls/cs-H/T 42591.22" u="1"/>
        <s v="HP 500 CLR-72mm x 50m-24 rls/cs-H/A 1568" u="1"/>
        <s v="WP 100 NAT-70mm x 153m(500ft)-6 rls/cs-H 196.38" u="1"/>
        <s v="CP 66L NAT-72mm x 55m-16 rls/cs-NS 4647.46" u="1"/>
        <s v="HP 100 CLR-72mm x 100m-24 rls/cs-S 5730.92" u="1"/>
        <s v="AP 180 CLR-48mm x 100m-36 rls/cs-H/A 898.13" u="1"/>
        <s v="AP 201 CLR-48mm x 100m-36 rls/cs-H/A 9280.66" u="1"/>
        <s v="WP 150 RED SIMP-72mmx138m(450FT)-10rl/cs 19364.4" u="1"/>
        <s v="SD 934, PISTOL GRIP TAPE DISPNSR PREM.-S 40.3" u="1"/>
        <s v="HM 014 CLR-72mm x 100m-24 rls/cs-S 2844.06" u="1"/>
        <s v="CT 109 NAT- 12MM X 66M- 144 RLS/CS-H 889.57" u="1"/>
        <s v="HP 100 CLR-48mm x 914m-6 rls/cs-S 10819" u="1"/>
        <s v="HP 500 CLR-72mm x 914m-4 rls/cs-S 440289.44" u="1"/>
        <s v="HP 100 CLR-48mm x 914m-6 rls/cs-S 4806.05" u="1"/>
        <s v="GS 490 WHI-12mm x 55m-72 rls/cs-H/A 320.76" u="1"/>
        <s v="HP 100 CLR-72mm x 100m-24 rls/cs-S 54736.65" u="1"/>
        <s v="HP 200 GRN-48mm x 914m-6 rls/cs-H/A 7239.2" u="1"/>
        <s v="CP 105 NAT-72mm x 55m-16 rls/cs-H 753.99" u="1"/>
        <s v="CP 106 NAT-48mm x 55m-24 rls/cs-S 5327.92" u="1"/>
        <s v="HP 200 CLR-48mm x 914m-6 rls/cs-S 20135.16" u="1"/>
        <s v="HP 200 CLR-48mm x 914m-6 rls/cs-S 12706.73" u="1"/>
        <s v="CP 083 NAT-48mm x 55m-24 rls/cs-S " u="1"/>
        <s v="GS 490 WHI-48mm x 55m-24 rls/cs-H/A 7864" u="1"/>
        <s v="HP 200 CLR-72mm x 914m-4 rls/cs-S 15829.86" u="1"/>
        <s v="HP 200 CLR-48mm x 100m-36 rls/cs-S 8810.19" u="1"/>
        <s v="HP 100 CLR-48mm x 100m-36 rls/cs-S 14605.29" u="1"/>
        <s v="HP 200 CLR-72mm x 914m-4 rls/cs-S 2822.69" u="1"/>
        <s v="HP 500 CLR-48mm x 914m-6 rls/cs-H 4468.06" u="1"/>
        <s v="HP 132 CLR-72mm x 914m-4 rls/cs-H/T " u="1"/>
        <s v="HP 200 CLR-48mm x 914m-6 rls/cs-S 111.67" u="1"/>
        <s v="CP 66L NAT-48mm x 165m- 6 rls/cs-C 8069.31" u="1"/>
        <s v="HP 200 BLU-72mm x 914m-4 rls/cs-H 12337.06" u="1"/>
        <s v="HP 200 CLR-72mm x 914m-4 rls/cs-S 9186.21" u="1"/>
        <s v="HP 200 CLR-48mm x 100m-36 rls/cs-S 13856.81" u="1"/>
        <s v="CP 106 NAT-48mm x 55m-24 rls/cs-S 745.11" u="1"/>
        <s v="HP 200 CLR-72mm x 914m-4 rls/cs-S 376.36" u="1"/>
        <s v="HP 200 TAN-48mm x 100m-36 rls/cs-H/A 16945.74" u="1"/>
        <s v="HP 200 CLR-72mm x 1371m-4 rls/cs-S 18162.11" u="1"/>
        <s v="HP 400 CLR-72mm x 914m-4 rls/cs-H/A 8554.86" u="1"/>
        <s v="HP 050 CLR-48mm x 100m-36 *DO NOT USE* 1111.97" u="1"/>
        <s v="CP 106 NAT-48mm x 55m-24 rls/cs-S 250.91" u="1"/>
        <s v="HP 200 CLR-48mm x 1828m-6 rls/cs-S 28761" u="1"/>
        <s v="HM 016 CLR-48mm x 100m-36 rls/cs-S 1035.35" u="1"/>
        <s v="CP 106 NAT-48mm x 55m-24 rls/cs-S 5310.86" u="1"/>
        <s v="AP 101 CLR-48mm x 914m-6 rls/cs-S 14423.03" u="1"/>
        <s v="VP 415 BKY- 50MM X 33M- 24 RLS/CS-H/T " u="1"/>
        <s v="CP 66L NAT-4in x 240yd-3 rls/cs-H 25717.83" u="1"/>
        <s v="CT 109 NAT- 18MM X 66M- 96 RLS/CS-H 104.54" u="1"/>
        <s v="CP 631 BLK-48mm x 55m-24 rls/cs-H/T 1646.58" u="1"/>
        <s v="HP 500 CLR-72mm x 914m-4 rls/cs-S 1117135.77" u="1"/>
        <s v="HP 200 CLR-48mm x 914m-6 rls/cs-S 7099" u="1"/>
        <s v="HP 200 GRN-48mm x 914m-6 rls/cs-H/A 1208.67" u="1"/>
        <s v="HP 100 CLR-72mm x 1371m-4 rls/cs-H/T 5462.9" u="1"/>
        <s v="HP 200 GRN-48mm x 914m-6 rls/cs-H/A 280.36" u="1"/>
        <s v="FE-3 Folded-Edge Tape Dispenser 62.37" u="1"/>
        <s v="FP 097 KFT-72mm x 55m-16 rls/cs-H/A 4701.48" u="1"/>
        <s v="HP 200 CLR-48mm x 200m-36 rls/cs-H 181.05" u="1"/>
        <s v="HP 132 CLR-48mm x 914m-6 rls/cs-H/T 1318.68" u="1"/>
        <s v="CP 105 NAT-12mm x 55m-72 rls/cs-H 357.83" u="1"/>
        <s v="FP 097 KFT-72mm x 55m-16 rls/cs-H/A 764.12" u="1"/>
        <s v="HP 132 CLR-72mm x 100m-24 rls/cs-H 8921.41" u="1"/>
        <s v="CP 66L NAT-24mm x 55m-36 rls/cs-H 56.67" u="1"/>
        <s v="HP 200 CLR-48mm x 200m-36 rls/cs-H 161.09" u="1"/>
        <s v="HP 500 CLR-72mm x 914m-4 rls/cs-S 10053.33" u="1"/>
        <s v="GS 490 WHI-48mm x 55m-24 rls/cs-H/A 571.19" u="1"/>
        <s v="FP 097 KFT-48mm x 55m-24 rls/cs-H/A 1931.21" u="1"/>
        <s v="HP 200 TAN-48mm x 100m-36 rls/cs-H/A 6424.82" u="1"/>
        <s v="HP 200 CLR-48mm x 914m-6 rls/cs-S 20625.57" u="1"/>
        <s v="HP 200 CLR-48mm x 1500m-6 rls/cs-H 2058.8" u="1"/>
        <s v="HP 200 CLR-48mm x 1371m-6 rls/cs-S 2488.86" u="1"/>
        <s v="HP 100 CLR-72mm x 100m-24 rls/cs-S 459.05" u="1"/>
        <s v="CP 450 NAT-36mm x 55m-24 rls/cs-H 16874.83" u="1"/>
        <s v="HP 200 CLR-48mm x 914m-6 rls/cs-S 29874" u="1"/>
        <s v="HP 200 CLR-48mm x 914m-6 rls/cs-S 16256.59" u="1"/>
        <s v="HP 200 CLR-48mm x 1371m-6 rls/cs-S 42162.82" u="1"/>
        <s v="SD 935, PISTOL GRIP DISPNSR-3 IN. ROLL-S 27.87" u="1"/>
        <s v="SD 934  PISTOL GRIP TAPE DISPNSR PREM.-S 381.06" u="1"/>
        <s v="CP 450 NAT-72mm x 55m-16 rls/cs-NS " u="1"/>
        <s v="HP 200 BLU-72mm x 914m-4 rls/cs-H 24047.02" u="1"/>
        <s v="HP 300 CLR-72mm x 100m-24 RLS/CS-H 5770.82" u="1"/>
        <s v="HP 200 CLR-48mm x 100m-36 rls/cs-S 325.04" u="1"/>
        <s v="CP 101 NAT-18mm x 55m-48 rls/cs-H/T 283.22" u="1"/>
        <s v="SD 934  PISTOL GRIP TAPE DISPNSR PREM.-S 22.18" u="1"/>
        <s v="HP 200 CLR-48mm x 914m-6 rls/cs-S 4046.45" u="1"/>
        <s v="HP 200 CLR-48mm x 914m-6 rls/cs-S 5645.36" u="1"/>
        <s v="HP 200 WHI-48mm x 914m-6 rls/cs-H 6327.52" u="1"/>
        <s v="HP 400 CLR-72mm x 50m-24 rls/cs-H 2355.09" u="1"/>
        <s v="HP 200 CLR-48mm x 914m-6 rls/cs-S 5645.37" u="1"/>
        <s v="HP 200 CLR-72mm x 914m-4 rls/cs-S 1015.86" u="1"/>
        <s v="HP 232 CLR-48mm x 914m-6 rls/cs-H/A 1810.51" u="1"/>
        <s v="HP 200 WHI-72mm x 914m-4 rls/cs-H 10639.94" u="1"/>
        <s v="SD 934  PISTOL GRIP TAPE DISPNSR PREM.-S 42.27" u="1"/>
        <s v="SD 934, PISTOL GRIP TAPE DISPNSR PREM.-S 32.67" u="1"/>
        <s v="AP 101 CLR-48mm x 100m-36 rls/cs-S 5132.16" u="1"/>
        <s v="CP 66L NAT-4in x 240yd-3 rls/cs-H 183731.4" u="1"/>
        <s v="HP 200 CLR-72mm x 100m-24 rls/cs-S 2335.13" u="1"/>
        <s v="AP 180 CLR-48mm x 1371m-6 rls/cs-H 11085.45" u="1"/>
        <s v="HP 200 CLR-72mm x 914m-4 rls/cs-S 2654.78" u="1"/>
        <s v="HP 500 CLR-72mm x 50m-24 rls/cs-H/A 10153.84" u="1"/>
        <s v="WP 100 NAT-70mm x 153m(500ft)-6 rls/cs-H 515.89" u="1"/>
        <s v="HP 100 CLR-48mm x 100m-36 rls/cs-S 367.09" u="1"/>
        <s v="HP 100 CLR-48mm x 100m-36 rls/cs-S 4640.32" u="1"/>
        <s v="HP 200 CLR-72mm x 100m-24 rls/cs-S 218.12" u="1"/>
        <s v="GS 490 CLR-48mm x 55m-24 rls/cs-H/A 177.25" u="1"/>
        <s v="HP 400 CLR-48mm x 914m-6 rls/cs-H/A 2890.05" u="1"/>
        <s v="GS 490 CLR-24mm x 55m-36 rls/cs-H/A 493.97" u="1"/>
        <s v="HP 200 BLU-72mm x 914m-4 rls/cs-H 12337.07" u="1"/>
        <s v="HP 100 CLR-48mm x 100m-36 rls/cs-S 10114.63" u="1"/>
        <s v="HP 200 CLR-48mm x 1371m-6 rls/cs-S 30964.05" u="1"/>
        <s v="HP 200 TAN-72mm x 100m-24 rls/cs-H/A 191.27" u="1"/>
        <s v="AP 201 CLR-48mm x 100m-36 rls/cs-H/A 13228.14" u="1"/>
        <s v="AP 201 CLR-72mm x 100m-24 rls/cs-H/A 235.7" u="1"/>
        <s v="AP 180 CLR-48mm x 100m-36 rls/cs-H/A 564.54" u="1"/>
        <s v="DF 065 NAT-18mm x 33m-48 rls/cs-H/A 3013.71" u="1"/>
        <s v="HP 100 CLR-48mm x 1371m-6 rls/cs- S 15129.2" u="1"/>
        <s v="HP 100 CLR-72mm x 914m-4 rls/cs-S 21248.08" u="1"/>
        <s v="AP 101 CLR-48mm x 100m-36 rls/cs-S 1205.7" u="1"/>
        <s v="CP 450 NAT-24mm x 55m-36 rls/cs-H 701.75" u="1"/>
        <s v="TG 356 NAT- 19mm X 33m-48 rls/cs-H/T 111.2" u="1"/>
        <s v="HM 016 CLR-72mm  *DO NOT USE* 2001.54" u="1"/>
        <s v="HP 132 CLR-48mm x 1371m-6 rls/cs-H 607.54" u="1"/>
        <s v="SD 934  PISTOL GRIP TAPE DISPNSR PREM.-S 182.56" u="1"/>
        <s v="HP 400 CLR-48mm x 100m-36 rls/cs-H/A 539.95" u="1"/>
        <s v="HP 200 ORG-48mm x 914m-6 rls/cs-H 508" u="1"/>
        <s v="CP 106 NAT-48mm x 55m-24 rls/cs-S 2188.3" u="1"/>
        <s v="HP 100 CLR-48mm x 100m-36 rls/cs-S 14391" u="1"/>
        <s v="HP 500 CLR-72mm x 50m-24 rls/cs-H/A 29403" u="1"/>
        <s v="CP 106 NAT-48mm x 55m-24 rls/cs-S 152.06" u="1"/>
        <s v="HP 100 CLR-48mm x 100m-36 rls/cs-S 44061.73" u="1"/>
        <s v="HP 100 CLR-53mm x 1500m-6 rls/cs-S 23203.77" u="1"/>
        <s v="HP 500 CLR-48mm x 914m-6 rls/cs-H 430.41" u="1"/>
        <s v="DF 065 NAT-18mm x 33m-48 rls/cs-H/A 861.06" u="1"/>
        <s v="HM 018 CLR-48mm x 100m-36 rls/cs-S 10905.84" u="1"/>
        <s v="HP 200 CLR-48mm x 100m-36 rls/cs-S 2203" u="1"/>
        <s v="HM 016 CLR-48mm x 914m-6 rls/cs-H/A 7137.49" u="1"/>
        <s v="HP 100 CLR-48mm x 914m-6 rls/cs-S 6637.59" u="1"/>
        <s v="HP 500 CLR-72mm x 50m-24 rls/cs-H/A 2352.24" u="1"/>
        <s v="HP 200 TAN-48mm x 914m-6 rls/cs-H 6398.1" u="1"/>
        <s v="AP 180 TAN-48mm x 100m-36 rls/cs-H 1932.04" u="1"/>
        <s v="HP 100 CLR-53mm x 1500m-6 rls/cs-S 5317.49" u="1"/>
        <s v="FP 097 KFT-72mm x 55m-16 rls/cs-H/A 1824.42" u="1"/>
        <s v="HP 100 CLR-72mm x 914m-4 rls/cs-S 2633.6" u="1"/>
        <s v="CP 101 NAT-18mm x 55m-48 rls/cs-H/T 38.97" u="1"/>
        <s v="SD 934, PISTOL GRIP TAPE DISPNSR PREM.-S 161.17" u="1"/>
        <s v="HP 235 CLR-72mm x 1371m-4 rls/cs-H 3933.23" u="1"/>
        <s v="HP 232 CLR-72mm x 914m-4 rls/cs-H/A 23710.58" u="1"/>
        <s v="HP 500 CLR-48mm x 914m-6 rls/cs-H 501.93" u="1"/>
        <s v="HP 200 CLR-48mm x 1828m-6 rls/cs-S 44769.95" u="1"/>
        <s v="DP 380 GLA-19mm x 50m-48 rls/cs-X " u="1"/>
        <s v="HP 200 CLR-72mm x 914m-4 rls/cs-H/A 6979.5" u="1"/>
        <s v="HP 100 CLR-72mm x 1500m-4 rls/cs-H/T 12625.13" u="1"/>
        <s v="HP 100 CLR-53mm x 1500m-6 rls/cs-S 15952.47" u="1"/>
        <s v="HP 100 CLR-72mm x 914m-4 rls/cs-S 1288.78" u="1"/>
        <s v="HP 100 CLR-48mm x 1828m-6 rls/cs-S 36780.5" u="1"/>
        <s v="DP 380 GLA-24mm x 50m-36 rls/cs-H 449.06" u="1"/>
        <s v="CP 101 NAT-18mm x 55m-48 rls/cs-H/T 41.82" u="1"/>
        <s v="HP 100 CLR-48mm x 100m-36 rls/cs-S 23181.32" u="1"/>
        <s v="HP 300 CLR-72mm x 914m-4 rls/cs-H 2026.73" u="1"/>
        <s v="GS 490 WHI-18mm x 55m-48 rls/cs-H/A 235.22" u="1"/>
        <s v="HP 200 CLR-48mm x 100m-36 rls/cs-S 5695.27" u="1"/>
        <s v="GS 490 WHI-18mm x 55m-48 rls/cs-H/A 1286.85" u="1"/>
        <s v="AP 180 CLR-48mm x 100m-36 rls/cs-H/A 1277.35" u="1"/>
        <s v="SD 935  PISTOL GRIP DISPNSR-3 IN. ROLL-S 122.96" u="1"/>
        <s v="HP 200 YEL-48mm x 100m-36 rls/cs-H 718.5" u="1"/>
        <s v="AP 015 CLR-96mm x 66m-18 rls/cs-H 3040.81" u="1"/>
        <s v="HM 016 CLR-72mm x 914m-4 rls/cs-H 2001.54" u="1"/>
        <s v="HP 200 CLR-48mm x 100m-36 rls/cs-S 1405.64" u="1"/>
        <s v="CP 106 NAT-36mm x 55m-24 rls/cs-S 1010.02" u="1"/>
        <s v="GS 490 WHI-48mm x 55m-24 rls/cs-H/A 691.89" u="1"/>
        <s v="AP 101 CLR-48mm x 100m-36 rls/cs-S 1925" u="1"/>
        <s v="CP 083 NAT-48mm x 55m-24 rls/cs-S 2090.88" u="1"/>
        <s v="DP 380 GLA-48mm x 50m-24 rls/cs-H 1108.16" u="1"/>
        <s v="FE 53 Folded-Edge Tape Dispenser 321.75" u="1"/>
        <s v="CP 450 NAT-36mm x 55m-24 rls/cs-H " u="1"/>
        <s v="AP 201 RED 48mm x 100m-36 rls/cs-H/A 277.28" u="1"/>
        <s v="WP 100 NAT-70mm x 153m(500ft)-6 rls/cs-H " u="1"/>
        <s v="HP 100 CLR-53mm x 1500m-6 rls/cs-S 30382.4" u="1"/>
        <s v="SD 935  PISTOL GRIP DISPNSR-3 IN. ROLL-S 117.02" u="1"/>
        <s v="HP 132 CLR-48mm x 100m-36 rls/cs-H 1000.77" u="1"/>
        <s v="HP 200 CLR-72mm x 914m-4 rls/cs-S 16024.94" u="1"/>
        <s v="HP 500 CLR-72mm x 914m-4 rls/cs-S 1255997.79" u="1"/>
        <s v="HP 100 CLR-48mm x 914m-6 rls/cs-S 640.81" u="1"/>
        <s v="HP 200 BLU-72mm x 914m-4 rls/cs-H 15902.09" u="1"/>
        <s v="CP 631 RED-18mm x 55m-48 rls/cs-H 315.54" u="1"/>
        <s v="HP 100 CLR-48mm x 1828m-6 rls/cs-S 24788.34" u="1"/>
        <s v="CP 106 NAT-48mm x 55m-24 rls/cs-S 149.69" u="1"/>
        <s v="AP 201 CLR-48mm x 914m-6 rls/cs-H/A 64.57" u="1"/>
        <s v="HP 100 CLR-53mm x 1500m-6 rls/cs-S 6282.62" u="1"/>
        <s v="HP 500 CLR-72mm x 914m-4 rls/cs-S 530769.42" u="1"/>
        <s v="FP 115 BRN-72mm x 55m-16 rls/cs-H 1534.41" u="1"/>
        <s v="HP 132 CLR-48mm x 914m-6 rls/cs-S 12431.24" u="1"/>
        <s v="WP 150 BLU HILLS 72mmx138m(450FT)-10r/cs 21291.34" u="1"/>
        <s v="FP 097 KFT-72mm x 55m-16 rls/cs-H " u="1"/>
        <s v="HP 200 CLR-48mm x 914m-6 rls/cs-S 15681.61" u="1"/>
        <s v="WP 100 WHI-70mm x 138m(450ft)-10rls/cs-H 2445.3" u="1"/>
        <s v="HP 500 CLR-72mm x 914m-4 rls/cs-S 233243.83" u="1"/>
        <s v="CP 107 NAT-48mm x 55m-24 rls/cs-H/A 3719.87" u="1"/>
        <s v="HP 500 CLR-72mm x 914m-4 rls/cs-S 484090.98" u="1"/>
        <s v="HP 200 CLR-48mm x 100m-36 rls/cs-S 1015.74" u="1"/>
        <s v="VP 410 WHI- 50mm X 33m- 24 rls/cs-H 498.96" u="1"/>
        <s v="DF 065 NAT-24mm x 33m-36 rls/cs-S " u="1"/>
        <s v="HP 100 CLR-48mm x 914m-6 rls/cs-S 4093.37" u="1"/>
        <s v="HP 500 CLR-72mm x 914m-4 rls/cs-S 100533.31" u="1"/>
        <s v="WP 100 NAT-70mmx138m(450ft)-10rls/cs-H/A 397.58" u="1"/>
        <s v="HP 132 CLR-72mm x 914m-4 rls/cs-H/T 19245.6" u="1"/>
        <s v="AP 101 CLR-72mm x 100m-24 rls/cs-H/A 1454.11" u="1"/>
        <s v="HP 100 CLR-72mm x 100m-24 rls/cs-S 5450.54" u="1"/>
        <s v="FP 097 KFT-36mm x 55m-24 rls/cs-H 1183.71" u="1"/>
        <s v="HP 200 CLR-48mm x 914m-6 rls/cs-S 6637.59" u="1"/>
        <s v="HP 200 CLR-48mm x 100m-36 rls/cs-S 3635.27" u="1"/>
        <s v="HP 235 CLR-72mm x 100m-24 rls/cs-H 3427.85" u="1"/>
        <s v="GS 501 CLR-24mm x 55m-36 rls/cs-H/A 2027.56" u="1"/>
        <s v="HP 200 CLR-72mm x 914m-4 rls/cs-S 1898.43" u="1"/>
        <s v="HP 100 CLR-48mm x 914m-6 rls/cs-S 4037.3" u="1"/>
        <s v="HP 500 CLR-72mm x 914m-4 rls/cs-S 120639.97" u="1"/>
        <s v="VP 410 WHI- 50mm X 33m- 24 rls/cs-H 1268.78" u="1"/>
        <s v="HP 200 CLR-48mm x 914m-6 rls/cs-S 501.81" u="1"/>
        <s v="HP 200 CLR-48mm x 100m-36 rls/cs-S 1005.05" u="1"/>
        <s v="HP 200 CLR-48mm x 914m-6 rls/cs-S 21020.45" u="1"/>
        <s v="SD 934, PISTOL GRIP TAPE DISPNSR PREM.-S 12.09" u="1"/>
        <s v="HP 100 CLR-72mm x 914m-4 rls/cs-S 4657" u="1"/>
        <s v="HP 200 CLR-72mm x 1371m-4 rls/cs-S 10914.39" u="1"/>
        <s v="GS 490 WHI-48mm x 55m-24 rls/cs-H/A 2788.49" u="1"/>
        <s v="HP 200 CLR-48mm x 100m-36 rls/cs-S 1165.42" u="1"/>
        <s v="SD 935, PISTOL GRIP DISPNSR-3 IN. ROLL-S 117.02" u="1"/>
        <s v="HP 200 CLR-48mm x 1371m-6 rls/cs-S 12231.66" u="1"/>
        <s v="HM 018 CLR-72mm x 100m-24 rls/cs-H/A 7641.21" u="1"/>
        <s v="HP 100 CLR-53mm x 1500m-6 rls/cs-S 55677.17" u="1"/>
        <s v="HP 200 CLR-48mm x 914m-6 rls/cs-S 39880.89" u="1"/>
        <s v="AP 180 CLR-48mm x 1371m-6 rls/cs-H 9006.93" u="1"/>
        <s v="HP 232 CLR-72mm x 914m-4 rls/cs-H/A 10538.04" u="1"/>
        <s v="CP 083 NAT-48mm x 55m-24 rls/cs-S 723" u="1"/>
        <s v="AP 101 CLR-48mm x 100m-36 rls/cs-S 1745" u="1"/>
        <s v="FP 097 KFT-48mm x 55m-24 rls/cs-H/A 68.67" u="1"/>
        <s v="HP 200 CLR-48mm x 1500m-6 rls/cs-H 82176.56" u="1"/>
        <s v="AP 180 CLR-48mm x 100m-36 rls/cs-H/A 2780" u="1"/>
        <s v="HP 200 YEL-48mm x 914m-6 rls/cs-H 1067.29" u="1"/>
        <s v="DF 545 BLU-48mm x 33m-24 rls/cs-H 687" u="1"/>
        <s v="HM 018 CLR-72mm x 100m-24 rls/cs-H/A 2076.15" u="1"/>
        <s v="HP 200 CLR-48mm x 100m-36 rls/cs-S 12635.82" u="1"/>
        <s v="HP 200 WHI-72mm x 100m-24 rls/cs-NS 8191.49" u="1"/>
        <s v="HP 100 CLR-72mm x 1500m-4 rls/cs-H/T 25633.73" u="1"/>
        <s v="HP 100 CLR-53mm x 1500m-6 rls/cs-S 32733.23" u="1"/>
        <s v="HP 500 CLR-72mm x 914m-4 rls/cs-S 496057.43" u="1"/>
        <s v="HM 016 CLR- 48mm x 100m- 36 rls/cs - S " u="1"/>
        <s v="P- 628 BLK-48mm x 50m-24 RLS/CS-S 811.17" u="1"/>
        <s v="HP 500 CLR-48mm x 914m-6 rls/cs-H 5019.3" u="1"/>
        <s v="AP 180 CLR-48mm x 914m-6 rls/cs-H/A 14432.9" u="1"/>
        <s v="HP 100 CLR-53mm x 1500m-6 rls/cs-S 42289.34" u="1"/>
        <s v="HP 200 CLR-48mm x 914m-6 rls/cs-S 6021.73" u="1"/>
        <s v="DF 065 NAT-18mm x 33m-48 rls/cs-H/A 931.39" u="1"/>
        <s v="CP 631 RED-18mm x 55m-48 rls/cs-H 157.76" u="1"/>
        <s v="HP 100 CLR-48mm x 914m-6 rls/cs-S 28036.79" u="1"/>
        <s v="HP 200 CLR-72mm x 100m-24 rls/cs-S 2195.42" u="1"/>
        <s v="HP 200 CLR-48mm x 914m-6 rls/cs-S 6021.74" u="1"/>
        <s v="WP 100 NAT-70mm x 153m(500ft)-6 rls/cs-H 277.89" u="1"/>
        <s v="HP 100 CLR-48mm x 914m-6 rls/cs-S 9697" u="1"/>
        <s v="HP 200 TAN-72mm x 914m-4 rls/cs-H 2968.02" u="1"/>
        <s v="HP 200 CLR-72mm x 100m-24 rls/cs-S 3230.41" u="1"/>
        <s v="CP 083 NAT-48mm x 55m-24 rls/cs-S 1254.53" u="1"/>
        <s v="AP 401 CLR-48mm x 100m-36 rls/cs-H/A 187.11" u="1"/>
        <s v="HP 200 CLR-72mm x 1371m-4 rls/cs-H/A " u="1"/>
        <s v="FP 097 KFT-72mm x 55m-16 rls/cs-H/A 534.76" u="1"/>
        <s v="HP 100 CLR-53mm x 1500m-6 rls/cs-S 6962.64" u="1"/>
        <s v="CP 106 NAT-72mm x 55m-16 rls/cs-S 227.3" u="1"/>
        <s v="HP 200 CLR-48mm x 1828m-6 rls/cs-S 12551.22" u="1"/>
        <s v="HP 200 BLU-48mm x 914m-6 rls/cs-H 400.23" u="1"/>
        <s v="HP 500 CLR-72mm x 914m-4 rls/cs-S 21348.36" u="1"/>
        <s v="HP 100 CLR-72mm x 914m-4 rls/cs-S 99.79" u="1"/>
        <s v="GS 501 WHI-24mm x 55m-36 rls/cs-H/A 1824.78" u="1"/>
        <s v="HP 500 CLR-72mm x 914m-4 rls/cs-S 272851.28" u="1"/>
        <s v="HP 100 CLR-48mm x 100m-36 rls/cs-S 2710.42" u="1"/>
        <s v="HP 100 CLR-72mm x 914m-4 rls/cs-S 32006.6" u="1"/>
        <s v="HP 200 CLR-48mm x 914m-6 rls/cs-S 7401.71" u="1"/>
        <s v="HP 200 CLR-72mm x 1371m-4 rls/cs-S 0" u="1"/>
        <s v="HP 500 CLR-72mm x 914m-4 rls/cs-S 2653.75" u="1"/>
        <s v="HP 132 CLR-48mm x 914m-6 rls/cs-H/T 56520.11" u="1"/>
        <s v="HP 200 CLR-48mm x 100m-36 rls/cs-S 3635.28" u="1"/>
        <s v="HP 235 CLR-72mm x 100m-24 rls/cs-H 3427.86" u="1"/>
        <s v="HP 200 TAN-48mm x 100m-36 rls/cs-H/A 6785.85" u="1"/>
        <s v="HP 200 CLR-48mm x 914m-6 rls/cs-S 13611.62" u="1"/>
        <s v="HP 200 CLR-48mm x 914m-6 rls/cs-S 740.83" u="1"/>
        <s v="HP 500 CLR-72mm x 50m-24 rls/cs-H/A 51354.88" u="1"/>
        <s v="HP 300 CLR-72mm x 914m-4 rls/cs-H 1003.46" u="1"/>
        <s v="HP 500 CLR-72mm x 914m-4 rls/cs-S 227490.13" u="1"/>
        <s v="FP 097 KFT-48mm x 50m-24 rls/cs-H 2543.97" u="1"/>
        <s v="GG 200 NAT-48mm x 33m-24 rls/cs-H 4201.97" u="1"/>
        <s v="HP 200 CLR-48mm x 914m-6 rls/cs-S 21020.46" u="1"/>
        <s v="HP 100  EZ 53mm x 100m CLR-36 rls/cs-H/A 2330.86" u="1"/>
        <s v="CP 66L NAT-18mm x 55m-48 rls/cs-NS 151.11" u="1"/>
        <s v="WP 150 BLU APOQ 72mm x 138M - NS " u="1"/>
        <s v="HP 200 CLR-48mm x 914m-6 rls/cs-S 6272.64" u="1"/>
        <s v="TG 356 NAT- 19mm X 33m-48 rls/cs-H/T 7070.96" u="1"/>
        <s v="HP 200  EZ 72mm x 100m CLR-24 rls/cs-H 1307.76" u="1"/>
        <s v="HP 100 CLR-48mm x 100m-36 rls/cs-S 6030.29" u="1"/>
        <s v="HP 200 CLR-48mm x 100m-36 rls/cs-S 6030.28" u="1"/>
        <s v="HP 500 CLR-72mm x 914m-4 rls/cs-S 154028.95" u="1"/>
        <s v="WP 100 NAT-72mmx138m(450ft)-10rls/cs-H/A 16723.05" u="1"/>
        <s v="HP 100 CLR-48mm x 914m-6 rls/cs-S 11504.6" u="1"/>
        <s v="HP 200 CLR-48mm x 100m-36 rls/cs-S 1165.43" u="1"/>
        <s v="HP 100 CLR-72mm x 100m-24 rls/cs-S 7070.98" u="1"/>
        <s v="HP 100 CLR-53mm x 1500m-6 rls/cs-S 13353.12" u="1"/>
        <s v="HP 100 CLR-72mm x 914m-4 rls/cs-S " u="1"/>
        <s v="HP 200 CLR-48mm x 914m-6 rls/cs-S 4020.2" u="1"/>
        <s v="HP 200 BLU-48mm x 914m-6 rls/cs-H 5713.8" u="1"/>
        <s v="HP 200 CLR-48mm x 914m-6 rls/cs-S 6472.58" u="1"/>
        <s v="CP 105 NAT-18mm x 55m-48 rls/cs-S 29698.07" u="1"/>
        <s v="HP 100 CLR-53mm x 1500m-6 rls/cs-S 12445.48" u="1"/>
        <s v="GG 200 NAT-24mm x 33m-36 rls/cs-H 814.73" u="1"/>
        <s v="HP 200 CLR-48mm x 1371m-6 rls/cs-S 7527" u="1"/>
        <s v="HP 100 CLR-72mm x 914m-4 rls/cs-S 2824.59" u="1"/>
        <s v="CT 109 NAT- 12MM X 66M- 144 RLS/CS-H 333.59" u="1"/>
        <s v="DP 380 GLA-12mm x 50m-72 rls/cs-H 1368.58" u="1"/>
        <s v="HP 300 CLR-72mm x 914m-4 rls/cs-H 3802.41" u="1"/>
        <s v="HP 100 CLR-48mm x 914m-6 rls/cs-S 26276.64" u="1"/>
        <s v="WP 100 NAT-70mmx138m(450ft)-10rls/cs-H/A 112.86" u="1"/>
        <s v="HP 200 CLR-72mm x 914m-4 rls/cs-S 3011" u="1"/>
        <s v="HP 200 CLR-48mm x 914m-6 rls/cs-S 393.52" u="1"/>
        <s v="HP 200 CLR-72mm x 914m-4 rls/cs-S 1263.68" u="1"/>
        <s v="HP 100 CLR-53mm x 1500m-6 rls/cs-S 4702.34" u="1"/>
        <s v="SD 932  PISTOL GRIP TAPE DISP. ECONOMY-S 33.42" u="1"/>
        <s v="DT 200 GLA-12mm x 50m-72 rls/cs-H 106.92" u="1"/>
        <s v="AP 201 CLR-72mm x 914m-4 rls/cs-H 7983.36" u="1"/>
        <s v="HP 400 CLR-72mm x 914m-4 rls/cs-H/A 1533.87" u="1"/>
        <s v="FP 097 KFT-18mm *DO NOT USE* 191.03" u="1"/>
        <s v="HP 200 CLR-48mm x 1828m-6 rls/cs-S 3908.52" u="1"/>
        <s v="HP 200 CLR-48mm x 914m-6 rls/cs-S 358.54" u="1"/>
        <s v="AP 101 CLR-48mm x 100m-36 rls/cs-S 3592.52" u="1"/>
        <s v="HP 100 CLR-72mm x 914m-4 rls/cs-S 199.58" u="1"/>
        <s v="HP 100 CLR-72mm x 100m-24 rls/cs-S 1513.5" u="1"/>
        <s v="SD 935  PISTOL GRIP DISPNSR-3 IN. ROLL-S 87.76" u="1"/>
        <s v="HP 200 CLR-72mm x 914m-4 rls/cs-S 376.35" u="1"/>
        <s v="HP 200 CLR-48mm x 1371m-6 rls/cs-S 746.66" u="1"/>
        <s v="CP 66L NAT-4in x 240yd-3 rls/cs-H 37407.73" u="1"/>
        <s v="CP 66L NAT-4in x 240yd-3 rls/cs-H 80069.31" u="1"/>
        <s v="HP 100 CLR-72mm x 1500m-4 rls/cs-H/T 22647.11" u="1"/>
        <s v="AP 101 CLR-48mm x 914m-6 rls/cs-H " u="1"/>
        <s v="HP 200 CLR-48mm x 914m-6 rls/cs-S 6253.63" u="1"/>
        <s v="HP 132 CLR-72mm x 100m-24 rls/cs-H 7956.77" u="1"/>
        <s v="HP 200 CLR-48mm x 914m-6 rls/cs-S 7632.66" u="1"/>
        <s v="PC 006 SIL-48mm x 55m-24 rls/cs-H/A 389.66" u="1"/>
        <s v="HP 200 CLR-72mm x 100m-24 rls/cs-S 286.07" u="1"/>
        <s v="HP 500 CLR-72mm x 914m-4 rls/cs-S 265917.18" u="1"/>
        <s v="HP 200 CLR-72mm x 1371m-4 rls/cs-S 9487.46" u="1"/>
        <s v="HP 200 RED-48mm x 914m-6 rls/cs-H 352.84" u="1"/>
        <s v="PC 600 BLK-48mm x 55m-24 rls/cs-S 3053.63" u="1"/>
        <s v="HP 100 CLR-48mm x 914m-6 rls/cs-S 4297.23" u="1"/>
        <s v="HP 200 CLR-72mm x 100m-24 rls/cs-S 3473.7" u="1"/>
        <s v="HP 200 CLR-48mm x 1828m-6 rls/cs-S 7028.69" u="1"/>
        <s v="HP 200 CLR-72mm x 1371m-4 rls/cs-S 132177" u="1"/>
        <s v="GS 490 WHI-12mm x 55m-72 rls/cs-H/A 450.49" u="1"/>
        <s v="HP 100 CLR-48mm x 914m-6 rls/cs-S 0" u="1"/>
        <s v="HM 014 CLR-72mm x 100m-24 rls/cs-S 2594.58" u="1"/>
        <s v="HP 200 CLR-72mm x 914m-4 rls/cs-H/A 5379.26" u="1"/>
        <s v="5651 PA-1C TAPE MONIT RECE C/W TOW LIGHT 4965.68" u="1"/>
        <s v="HP 200 CLR-48mm x 1371m-6 rls/cs-H/A 6867.82" u="1"/>
        <s v="HP 200 CLR-48mm x 100m-36 rls/cs-S 20528.6" u="1"/>
        <s v="AP 180 CLR-48mm x 1371m-6 rls/cs-H 3695.15" u="1"/>
        <s v="CP 631 GRN-24mm x 55m-36 rls/cs-H 652.92" u="1"/>
        <s v="HP 200 CLR-72mm x 914m-4 rls/cs-S 12307.7" u="1"/>
        <s v="HP 100 CLR-48mm x 914m-6 rls/cs-S 10766.12" u="1"/>
        <s v="HP 200 CLR-48mm x 1371m-6 rls/cs-S 22782.51" u="1"/>
        <s v="DT 200 GLA-36mm x 50m-24 rls/cs-H 468.55" u="1"/>
        <s v="HP 100 CLR-53mm x 1500m-6 rls/cs-S 58436.09" u="1"/>
        <s v="GG 200 NAT-48mm x 33m-24 rls/cs-H 1089.4" u="1"/>
        <s v="HP 232 CLR-48mm x 1371m-6 rls/cs-H/T 10424.7" u="1"/>
        <s v="AP 180 CLR-72mm x 1371m-4 rls/cs-H 5619.72" u="1"/>
        <s v="GS 490 WHI-18mm x 55m-48 rls/cs-H/A 1714.53" u="1"/>
        <s v="HP 500 CLR-72mm x 914m-4 rls/cs-S 743478.89" u="1"/>
        <s v="HP 200 CLR-48mm x 100m-36 rls/cs-S 1165.44" u="1"/>
        <s v="SD 935, PISTOL GRIP DISPNSR-3 IN. ROLL-S 87.76" u="1"/>
        <s v="HP 100 CLR-48mm x 914m-6 rls/cs-S 13201.05" u="1"/>
        <s v="PC 006 SIL-48mm x 55m-24 rls/cs-H/A 1257.39" u="1"/>
        <s v="HP 200 CLR-72mm x 914m-4 rls/cs-S " u="1"/>
        <s v="HP 200 CLR-48mm x 1500m-6 rls/cs-H 14057.84" u="1"/>
        <s v="HP 200 CLR-48mm x 914m-6 rls/cs-S 5245.49" u="1"/>
        <s v="AP 180 CLR-72mm x 100m-24 rls/cs-H/A 1890.35" u="1"/>
        <s v="SD 934, PISTOL GRIP TAPE DISPNSR PREM.-S 52.38" u="1"/>
        <s v="HP 200 CLR-72mm x 1371m-4 rls/cs-S 5427.82" u="1"/>
        <s v="HM 016 CLR-48mm x 100m-36 rls/cs-S 7986.92" u="1"/>
        <s v="HP 100 CLR-72mm x 100m-24 rls/cs-S 5360.26" u="1"/>
        <s v="HP 200 CLR-48mm x 914m-6 rls/cs-S 597.56" u="1"/>
        <s v="P- 628 BLK-48mm x 50m-24 RLS/CS-S 2637.37" u="1"/>
        <s v="FP 097 KFT-48mm x 55m-24 rls/cs-H/A 12625.12" u="1"/>
        <s v="HP 100 CLR-48mm x 100m-36 rls/cs-S 1965.55" u="1"/>
        <s v="HP 200 CLR-48mm x 1371m-6 rls/cs-S 1493.32" u="1"/>
        <s v="WP 150 BLU HEART-72mmx138m(450FT)-10r/cs 4768.34" u="1"/>
        <s v="CP 66L NAT-72mm x 55m-16 rls/cs-NS 2337.98" u="1"/>
        <s v="HP 500 CLR-72mm x 914m-4 rls/cs-S 447373.24" u="1"/>
        <s v="HP 500 TAN-48mm x 50m-36 rls/cs-H 103.36" u="1"/>
        <s v="HP 100 CLR-72mm x 100m-24 rls/cs-S 1810.51" u="1"/>
        <s v="FP 097 KFT-72mm x 55m-16 rls/cs-H 1853.27" u="1"/>
        <s v="HP 200 CLR-72mm x 914m-4 rls/cs-S 3624.83" u="1"/>
        <s v="GS 490 CLR-18mm x 55m-48 rls/cs-H/A 670.03" u="1"/>
        <s v="HP 100 CLR-48mm x 914m-6 rls/cs-S 7806.58" u="1"/>
        <s v="HP 200 CLR-48mm x 1500m-6 rls/cs-H 49007.84" u="1"/>
        <s v="GS 490 CLR-18mm x 55m-48 rls/cs-H/A 2211.1" u="1"/>
        <s v="HP 500 CLR-72mm x 50m-24 rls/cs-H/A 2352" u="1"/>
        <s v="HP 500 CLR-48mm x 914m-6 rls/cs-H 16397.25" u="1"/>
        <s v="FP 097 KFT-72mm x 55m-16 rls/cs-H/A 2666.5" u="1"/>
        <s v="HM 016 CLR-72mm x 100m-24 rls/cs-H/A 3653.1" u="1"/>
        <s v="HP 100 CLR-72mm x 100m-24 rls/cs-S 12673.58" u="1"/>
        <s v="HP 500 CLR-72mm x 50m-24 rls/cs-H/A 13400.64" u="1"/>
        <s v="HP 200 CLR-48mm x 914m-6 rls/cs-S 0" u="1"/>
        <s v="HP 200 BLU-48mm x 914m-6 rls/cs-H 5713.81" u="1"/>
        <s v="HP 100 CLR-72mm x 100m-24 rls/cs-S 42504.99" u="1"/>
        <s v="HP 100 CLR-48mm x 100m-36 rls/cs-S 1835.47" u="1"/>
        <s v="HP 400 CLR-48mm x 914m-6 rls/cs-H/A 6011.04" u="1"/>
        <s v="HP 200 CLR-48mm x 914m-6 rls/cs-S 298.78" u="1"/>
        <s v="HP 300 CLR-53mm x 914m-6 rls/cs-H " u="1"/>
        <s v="HP 100 TAN-48mm x 100m-36 rls/cs-S 12749.85" u="1"/>
        <s v="GS 490 WHI-18mm x 55m-48 rls/cs-H/A 705.67" u="1"/>
        <s v="HP 100 CLR-72mm x 914m-4 rls/cs-S 46513.31" u="1"/>
        <s v="HP 500 CLR-72mm x 914m-4 rls/cs-S 699684.46" u="1"/>
        <s v="HP 200 CLR-48mm x 1500m-6 rls/cs-H 3663.8" u="1"/>
        <s v="HP 200 CLR-72mm x 100m-24 rls/cs-S 28683.05" u="1"/>
        <s v="FP 097 KFT-72mm x 55m-16 rls/cs-H/A 1356.21" u="1"/>
        <s v="HP 200 CLR-72mm x 914m-4 rls/cs-S 3605.82" u="1"/>
        <s v="FP 097 KFT-48mm x 55m-24 rls/cs-H/A 5360.25" u="1"/>
        <s v="HP 200 CLR-72mm x 100m-24 rls/cs-S 16166.29" u="1"/>
        <s v="HP 200 CLR-48mm x 100m-36 rls/cs-S 4370.54" u="1"/>
        <s v="HP 200 TAN-48mm x 100m-36 rls/cs-H/A 14315.51" u="1"/>
        <s v="HP 400 CLR-72mm x 914m-4 rls/cs-H/A 3746.47" u="1"/>
        <s v="FP 096 KFT-48mm x 55m-24 rls/cs-S 100.74" u="1"/>
        <s v="HP 500 CLR-72mm x 50m-24 rls/cs-H/A 14156.21" u="1"/>
        <s v="WP 100 NAT-70mmx138m(450ft)-10rls/cs-H/A 1356.3" u="1"/>
        <s v="HP 100 CLR-48mm x 1371m-6 rls/cs- S 21983" u="1"/>
        <s v="HP 232 CLR-48mm x 914m-6 rls/cs-H/A 1267.35" u="1"/>
        <s v="HP 100 CLR-48mm x 100m-36 rls/cs-S 4390.84" u="1"/>
        <s v="DT 200 GLA-48mm x 50m-24 rls/cs-H 0" u="1"/>
        <s v="CP 66L NAT-72mm x 55m-16 rls/cs-NS 4950" u="1"/>
        <s v="CP 450 NAT-72mm x 55m-16 rls/cs-NS 7382.05" u="1"/>
        <s v="HP 500 CLR-72mm x 914m-4 rls/cs-S 928377.63" u="1"/>
        <s v="CP 631 RED-12mm x 55m-72 rls/cs-H 126.88" u="1"/>
        <s v="HP 200 CLR-48mm x 914m-6 rls/cs-S 4204.1" u="1"/>
        <s v="AP 180 CLR-48mm x 1371m-6 rls/cs-H 4830.65" u="1"/>
        <s v="HP 200 CLR-72mm x 1371m-4 rls/cs-S 2491.24" u="1"/>
        <s v="HP 200 ORG-48mm x 914m-6 rls/cs-H 705.68" u="1"/>
        <s v="FP 097 KFT-24mm x 55m-36 rls/cs-H 2182.22" u="1"/>
        <s v="HP 100 CLR-48mm x 100m-36 rls/cs-S 9526.57" u="1"/>
        <s v="HP 100 CLR-53mm x 1500m-6 rls/cs-S 14113.44" u="1"/>
        <s v="PC 006 SIL-48mm x 55m-24 rls/cs-H/A 1571.02" u="1"/>
        <s v="HP 200 CLR-48mm x 1371m-6 rls/cs-S 3763.58" u="1"/>
        <s v="WP 150 BLU PURINA 72mmx138m-10rl/cs-NS 18562.5" u="1"/>
        <s v="P- 628 BLK-4in x 50m-12 rls/cs-H 10444.9" u="1"/>
        <s v="HP 100 CLR-48mm x 100m-36 rls/cs-S 11290.74" u="1"/>
        <s v="HP 100 CLR-53mm x 1500m-6 rls/cs-S 10011.99" u="1"/>
        <s v="AP 180 CLR-72mm x 100m-24 rls/cs-H/A 1753.49" u="1"/>
        <s v="HP 200 CLR-72mm x 1371m-4 rls/cs-S 217292.83" u="1"/>
        <s v="HM 018 CLR-72mm x 100m-24 rls/cs-H/A 4298.18" u="1"/>
        <s v="HP 300 CLR-72mm x 914m-4 rls/cs-H 1020.38" u="1"/>
        <s v="HP 200 CLR-48mm x 100m-36 rls/cs-S 11333.52" u="1"/>
        <s v="CP 66L NAT-18mm x 55m-48 rls/cs-H 621.56" u="1"/>
        <s v="HP 200 CLR-48mm x 100m-36 rls/cs-S 2740.72" u="1"/>
        <s v="AP 101 CLR-48mm x 100m-36 rls/cs-S 3412.88" u="1"/>
        <s v="HP 500 CLR-72mm x 50m-24 rls/cs-H/A 80888.54" u="1"/>
        <s v="HP 300 CLR-72mm x 100m-24 RLS/CS-H 5440.09" u="1"/>
        <s v="HP 100 CLR-48mm x 914m-6 rls/cs-S 3084.05" u="1"/>
        <s v="HP 300 CLR-72mm x 914m-4 rls/cs-H 2037.66" u="1"/>
        <s v="FP 115 BRN-48mm x 55m-24 rls/cs-H 1311.55" u="1"/>
        <s v="HP 200 TAN-72mm x 914m-4 rls/cs-H 12803.8" u="1"/>
        <s v="HP 100 CLR-72mm x 1371m-4 rls/cs-H/T 1639.44" u="1"/>
        <s v="WP 100 NAT-70mm x 153m(500ft)-6 rls/cs-H 1313.92" u="1"/>
        <s v="GS 490 WHI-18mm x 55m-48 rls/cs-H/A 305.08" u="1"/>
        <s v="CP 631 RED-24mm x 55m-36 rls/cs-H 233.09" u="1"/>
        <s v="HP 100 CLR-72mm x 914m-4 rls/cs-S 1852.29" u="1"/>
        <s v="HP 132 CLR-48mm x 914m-6 rls/cs-H/T 174991.61" u="1"/>
        <s v="CP 027 BWP-48mm x 55m-24 rls/cs-H " u="1"/>
        <s v="GS 521 CLR-18mm x 55m-48 rls/cs-H 376.36" u="1"/>
        <s v="HP 200 TAN-72mm x 914m-4 rls/cs-H 27515.97" u="1"/>
        <s v="CP 106 NAT-24mm x 55m-36 rls/cs-S 351" u="1"/>
        <s v="HP 100 CLR-72mm x 914m-4 rls/cs-S 2689.63" u="1"/>
        <s v="HP 100 CLR-72mm x 100m-24 rls/cs-S 9101.02" u="1"/>
        <s v="WP 100 NAT-70mmx138m(450ft)-10rls/cs-H/A " u="1"/>
        <s v="AP 015 CLR-96mm x 66m-18 rls/cs-H 2252.45" u="1"/>
        <s v="AP 180 CLR-48mm x 100m-36 rls/cs-H/A 1140.48" u="1"/>
        <s v="HP 500 CLR-72mm x 50m-24 rls/cs-H/A 10631.18" u="1"/>
        <s v="HP 200 CLR-48mm x 1371m-6 rls/cs-S 1223.17" u="1"/>
        <s v="HP 200 CLR-48mm x 914m-6 rls/cs-S 11844" u="1"/>
        <s v="CP 450 NAT-24mm x 55m-36 rls/cs-H 159.67" u="1"/>
        <s v="GG 200 NAT-48mm x 33m-24 rls/cs-H 2291.41" u="1"/>
        <s v="HP 200 CLR-48mm x 914m-6 rls/cs-S 18567.02" u="1"/>
        <s v="CP 106 NAT-24mm x 55m-36 rls/cs-S 611.59" u="1"/>
        <s v="HP 100 CLR-48mm x 914m-6 rls/cs-S 3065.03" u="1"/>
        <s v="HP 100 CLR-48mm x 914m-6 rls/cs-S 5243.36" u="1"/>
        <s v="PS 748 NAT-18mm x 55m-96 rls/cs-H 1102.46" u="1"/>
        <s v="FP 115 BRN-48mm x 55m-24 rls/cs-H 3117" u="1"/>
        <s v="HP 100 CLR-48mm x 914m-6 rls/cs-S 3065.04" u="1"/>
        <s v="HM 014 CLR-48mm x 100m-36 rls/cs-S 16251.8" u="1"/>
        <s v="SD 934  PISTOL GRIP TAPE DISPNSR PREM.-S 545.53" u="1"/>
        <s v="HP 200 CLR-48mm x 914m-6 rls/cs-S 5841.08" u="1"/>
        <s v="HP 100 CLR-48mm x 914m-6 rls/cs-S 10766.14" u="1"/>
        <s v="HP 100 CLR-48mm x 1371m-6 rls/cs- S 80609.14" u="1"/>
        <s v="HP 100 CLR-72mm x 100m-24 rls/cs-S 1473" u="1"/>
        <s v="HP 100 CLR-53mm x 1500m-6 rls/cs-S 34180.2" u="1"/>
        <s v="HP 200 CLR-48mm x 1828m-6 rls/cs-S 8843.96" u="1"/>
        <s v="HP 100 CLR-48mm x 914m-6 rls/cs-S 392.51" u="1"/>
        <s v="HM 016 CLR-72mm x 100m-24 rls/cs-H/A 2079" u="1"/>
        <s v="HP 200 CLR-72mm x 914m-4 rls/cs-H/A 1786.75" u="1"/>
        <s v="HP 400 CLR-48mm x 914m-6 rls/cs-H/A 25968.72" u="1"/>
        <s v="HP 100 CLR-72mm x 914m-4 rls/cs-S 277.2" u="1"/>
        <s v="HP 100 CLR-48mm x 914m-6 rls/cs-S 155.63" u="1"/>
        <s v="AP 201 CLR-72mm x 914m-4 rls/cs-H 12291.06" u="1"/>
        <s v="SD 932, PISTOL GRIP TAPE DISP. ECONOMY-S 73.51" u="1"/>
        <s v="HP 200 CLR-48mm x 100m-36 rls/cs-S 1625.18" u="1"/>
        <s v="HP 200 CLR-72mm x 100m-24 rls/cs-S 2165.97" u="1"/>
        <s v="CP 66L NAT-48mm x 165m- 6 rls/cs-C 10198.44" u="1"/>
        <s v="CP 450 NAT-72mm x 55m-16 rls/cs-NS 2737.15" u="1"/>
        <s v="HP 100 CLR-48mm x 100m-36 rls/cs-S 9526.58" u="1"/>
        <s v="HM 018 CLR-72mm x 100m-24 rls/cs-H/A 13372.12" u="1"/>
        <s v="HP 200 CLR-48mm x 914m-6 rls/cs-S 5879.17" u="1"/>
        <s v="HP 100 CLR-72mm x 914m-4 rls/cs-S 778.14" u="1"/>
        <s v="HP 100 CLR-48mm x 914m-6 rls/cs-S 7689.69" u="1"/>
        <s v="HP 200 CLR-48mm x 914m-6 rls/cs-S 5879.18" u="1"/>
        <s v="HP 500 CLR-72mm x 50m-24 rls/cs-H/A " u="1"/>
        <s v="CP 631 RED-18mm x 55m-48 rls/cs-H 138.76" u="1"/>
        <s v="HP 100 CLR-48mm x 914m-6 rls/cs-S 6483.41" u="1"/>
        <s v="SD 934  PISTOL GRIP TAPE DISPNSR PREM.-S 62.09" u="1"/>
        <s v="GS 490 CLR-24mm x 55m-36 rls/cs-H/A 537.1" u="1"/>
        <s v="GS 490 WHI-48mm x 55m-24 rls/cs-H/A 2534.7" u="1"/>
        <s v="HP 200 TAN-72mm x 100m-24 rls/cs-H/A 2295.22" u="1"/>
        <s v="SD 934, PISTOL GRIP TAPE DISPNSR PREM.-S 193.4" u="1"/>
        <s v="AP 180 CLR-48mm x 100m-36 rls/cs-H/A 689.99" u="1"/>
        <s v="HP 200 BLU-48mm x 914m-6 rls/cs-H 1102.29" u="1"/>
        <s v="HM 018 CLR-48mm x 100m-36 rls/cs-H 2181.17" u="1"/>
        <s v="HP 100 CLR-53mm x 1500m-6 rls/cs-S 28881.23" u="1"/>
        <s v="HP 200 CLR-48mm x 1500m-6 rls/cs-H 26623.08" u="1"/>
        <s v="AP 101 CLR-48mm x 100m-36 rls/cs-S 925.93" u="1"/>
        <s v="HP 200 TAN-48mm x 914m-6 rls/cs-H 6398.09" u="1"/>
        <s v="HP 235 CLR-72mm x 100m-24 rls/cs-H 13058.48" u="1"/>
        <s v="HM 018 CLR-72mm x 100m-24 rls/cs-H/A 1146.18" u="1"/>
        <s v="FP 115 BRN-72mm x 55m-16 rls/cs-H 1996.14" u="1"/>
        <s v="CP 66L NAT-48mm x 165m- 6 rls/cs-C 3493.67" u="1"/>
        <s v="HP 100 CLR-72mm x 1500m-4 rls/cs-H/T 9306.33" u="1"/>
        <s v="HM 016 CLR-72mm x 914m-4 rls/cs-H/A 395.05" u="1"/>
        <s v="HP 100 CLR-72mm x 100m-24 rls/cs-S 1730.92" u="1"/>
        <s v="PC 618 SIL-4in x 60yd-12 rls/cs-H 183.55" u="1"/>
        <s v="HP 100 CLR-53mm x 1500m-6 rls/cs-S 47132.6" u="1"/>
        <s v="HP 200 CLR-48mm x 100m-36 rls/cs-S 17748.72" u="1"/>
        <s v="CP 106 NAT-12mm x 55m-72 rls/cs-H/A 473.3" u="1"/>
        <s v="HP 132 CLR-72mm x 100m-24 rls/cs-H 1816.21" u="1"/>
        <s v="HP 200 CLR-72mm x 100m-24 rls/cs-S 3070.73" u="1"/>
        <s v="HP 500 CLR-72mm x 914m-4 rls/cs-S 950578.66" u="1"/>
        <s v="HP 100 CLR-72mm x 914m-4 rls/cs-S 1008.6" u="1"/>
        <s v="AP 015 CLR-96mm x 66m-18 rls/cs-H 14968.8" u="1"/>
        <s v="DP 380 GLA-12mm x 50m-72 rls/cs-H 1140.48" u="1"/>
        <s v="HP 400 CLR-72mm x 100m-24 rls/cs-H/A 2309.47" u="1"/>
        <s v="HP 100 CLR-72mm x 100m-24 rls/cs-S 73.66" u="1"/>
        <s v="HP 200 CLR-72mm x 914m-4 rls/cs-S 1003.62" u="1"/>
        <s v="HP 500 CLR-72mm x 50m-24 rls/cs-H/A 18817.92" u="1"/>
        <s v="HP 200 YEL-48mm x 100m-36 rls/cs-H 741.31" u="1"/>
        <s v="HP 200 CLR-48mm x 100m-36 rls/cs-S 1635.88" u="1"/>
        <s v="HP 100 CLR-72mm x 100m-24 rls/cs-S 1620.43" u="1"/>
        <s v="HP 100 CLR-53mm x 1500m-6 rls/cs-S 13038.59" u="1"/>
        <s v="HP 200 CLR-48mm x 1371m-6 rls/cs-S 39637.37" u="1"/>
        <s v="WP 100 NAT-72mmx138m(450ft)-10rls/cs-H/A 3976.82" u="1"/>
        <s v="HP 200 CLR-48mm x 914m-6 rls/cs-S 22616.92" u="1"/>
        <s v="CP 106 NAT-72mm x 55m-16 rls/cs-S 222.55" u="1"/>
        <s v="AP 015 CLR-96mm x 66m-18 rls/cs-H 4276.8" u="1"/>
        <s v="HP 200 YEL-48mm x 914m-6 rls/cs-H 2001.22" u="1"/>
        <s v="HM 018 CLR-48mm x 100m-36 rls/cs-S 14541.12" u="1"/>
        <s v="HM 018 CLR-72mm x 100m-24 rls/cs-H/A 1710.72" u="1"/>
        <s v="CP 105 NAT-18mm x 55m-48 rls/cs-S 9306.31" u="1"/>
        <s v="HM 014 CLR-48mm x 100m-36 rls/cs-S 6500.72" u="1"/>
        <s v="CP 083 NAT-48mm x 55m-24 rls/cs-S 732.29" u="1"/>
        <s v="GS 490 WHI-48mm x 55m-24 rls/cs-H/A 532.22" u="1"/>
        <s v="AP 180 CLR-48mm x 1371m-6 rls/cs-H 4490.64" u="1"/>
        <s v="DP 380 GLA-48mm x 50m-24 rls/cs-H 5388.77" u="1"/>
        <s v="HP 200 CLR-48mm x 914m-6 rls/cs-S 738.34" u="1"/>
        <s v="AP 180 CLR-72mm x 100m-24 rls/cs-H/A 3421.44" u="1"/>
        <s v="PC 600 BLK-48mm x 55m-24 rls/cs-S 6837.89" u="1"/>
        <s v="HP 100  EZ 53mm x 100m CLR-36 rls/cs-H/A 4234.04" u="1"/>
        <s v="HP 500 CLR-72mm x 914m-4 rls/cs-S " u="1"/>
        <s v="CP 106 NAT-48mm x 55m-24 rls/cs-S 707.11" u="1"/>
        <s v="HP 232 CLR-48mm x 914m-6 rls/cs-H/A 2053.75" u="1"/>
        <s v="HP 200 CLR-48mm x 914m-6 rls/cs-S 5457.2" u="1"/>
        <s v="HP 200 BLU-48mm x 914m-6 rls/cs-H 1334.12" u="1"/>
        <s v="HP 200 CLR-72mm x 100m-24 rls/cs-S 1130.02" u="1"/>
        <s v="HP 400 CLR-72mm x 914m-4 rls/cs-H/A 4029.93" u="1"/>
        <s v="FP 097 KFT-72mm x 55m-16 rls/cs-H/A 2347.47" u="1"/>
        <s v="HP 100 CLR-53mm x 1500m-6 rls/cs-S 16377.07" u="1"/>
        <s v="SD 934, PISTOL GRIP TAPE DISPNSR PREM.-S 28.21" u="1"/>
        <s v="CP 106 NAT-48mm x 55m-24 rls/cs-S 415.81" u="1"/>
        <s v="HP 200 CLR-48mm x 914m-6 rls/cs-S 3006.04" u="1"/>
        <s v="HP 200 CLR-48mm x 100m-36 rls/cs-S 4080.06" u="1"/>
        <s v="HP 200 CLR-72mm x 914m-4 rls/cs-S 1254.52" u="1"/>
        <s v="HP 100 CLR-48mm x 1828m-6 rls/cs-S 4043.71" u="1"/>
        <s v="HP 100 CLR-72mm x 914m-4 rls/cs-S 13179.19" u="1"/>
        <s v="HP 100 CLR-72mm x 1371m-4 rls/cs-H/T 18150.72" u="1"/>
        <s v="HP 200 RED-48mm x 914m-6 rls/cs-H 593.71" u="1"/>
        <s v="HP 200 CLR-72mm x 914m-4 rls/cs-S 1254.53" u="1"/>
        <s v="GS 490 WHI-48mm x 55m-24 rls/cs-H/A 3381.53" u="1"/>
        <s v="HP 200 CLR-72mm x 914m-4 rls/cs-S 1244.55" u="1"/>
        <s v="PC 600 BLK-48mm x 55m-24 rls/cs-S 3413.37" u="1"/>
        <s v="HP 400 CLR-48mm x 914m-6 rls/cs-H/A 15413.58" u="1"/>
        <s v="HP 200 CLR-48mm x 100m-36 rls/cs-S 2640.94" u="1"/>
        <s v="HP 200 CLR-48mm x 1371m-6 rls/cs-S 6509.29" u="1"/>
        <s v="HP 500 CLR-48mm x 50m-36 rls/cs-H/A 663.97" u="1"/>
        <s v="HP 100 CLR-48mm x 914m-6 rls/cs-S 4037.29" u="1"/>
        <s v="HP 132 CLR-53mm x1500m-6 rls/cs- S " u="1"/>
        <s v="HP 100 CLR-72mm x 100m-24 rls/cs-S 60459.72" u="1"/>
        <s v="HP 500 CLR-72mm x 50m-24 rls/cs-H/A 784" u="1"/>
        <s v="AP 101 CLR-48mm x 100m-36 rls/cs-S 703.9" u="1"/>
        <s v="CP 106 NAT-48mm x 55m-24 rls/cs-S 802.13" u="1"/>
        <s v="HP 200 CLR-48mm x 100m-36 rls/cs-S 14066.41" u="1"/>
        <s v="CP 105 NAT-72mm x 55m-16 rls/cs-H 399.18" u="1"/>
        <s v="HM 018 CLR-72mm x 100m-24 rls/cs-H/A 7185.02" u="1"/>
        <s v="HP 132 CLR-72mm x 100m-24 rls/cs-H 1816.22" u="1"/>
        <s v="CP 105 NAT-48mm x 55m-24 rls/cs-S 3326.4" u="1"/>
        <s v="HP 200 TAN-72mm x 100m-24 rls/cs-H/A 408.67" u="1"/>
        <s v="HP 235 CLR-72mm x 100m-24 rls/cs-H 2562.51" u="1"/>
        <s v="HP 500 CLR-72mm x 50m-24 rls/cs-H/A 39988.08" u="1"/>
        <s v="P- 628 BLK-4in x 50m-12 rls/cs-H 522.25" u="1"/>
        <s v="HP 100 CLR-48mm x 100m-36 rls/cs-S 21348.35" u="1"/>
        <s v="FP 097 KFT-48mm x 50m-24 rls/cs-H 1946.43" u="1"/>
        <s v="HP 200 CLR-48mm x 914m-6 rls/cs-S 12796.17" u="1"/>
        <s v="HP 200 CLR-48mm x 914m-6 rls/cs-S 251" u="1"/>
        <s v="CP 106 NAT-48mm x 55m-24 rls/cs-S 752.71" u="1"/>
        <s v="HP 200 CLR-48mm x 1500m-6 rls/cs-H 3500.56" u="1"/>
        <s v="HP 200 CLR-72mm x 914m-4 rls/cs-S 60901.68" u="1"/>
        <s v="PC 599 WHI-48mm x 55m-24 rls/cs-H " u="1"/>
        <s v="GS 490 WHI-18mm x 55m-48 rls/cs-H/A 745.58" u="1"/>
        <s v="PC 609 SIL-48mm x 55m-24 rls/cs-H/A 300.33" u="1"/>
        <s v="HP 100 CLR-53mm x 1500m-6 rls/cs-S 18385.96" u="1"/>
        <s v="HP 200 CLR-48mm x 1828m-6 rls/cs-S 17571.71" u="1"/>
        <s v="HP 200 BLU-48mm x 914m-6 rls/cs-H 934" u="1"/>
        <s v="HP 100 CLR-48mm x 1371m-6 rls/cs- S 12691.72" u="1"/>
        <s v="HP 200 CLR-72mm x 914m-4 rls/cs-S 1075.62" u="1"/>
        <s v="CP 66L NAT-4in x 240yd-3 rls/cs-H 112280.3" u="1"/>
        <s v="HP 100 CLR-48mm x 100m-36 rls/cs-S 2330.86" u="1"/>
        <s v="HP 500 CLR-72mm x 914m-4 rls/cs-S 886577.79" u="1"/>
        <s v="HP 100 CLR-72mm x 100m-24 rls/cs-S 1620.44" u="1"/>
        <s v="HP 300 CLR-48mm x 100m-36 rls/cs-H/A 1847.58" u="1"/>
        <s v="AP 180 CLR-48mm x 100m-36 rls/cs-H/A 3207.6" u="1"/>
        <s v="FP 097 KFT-72mm x 55m-16 rls/cs-H/A 1122.72" u="1"/>
        <s v="HP 200 BLU-48mm x 914m-6 rls/cs-H 593.7" u="1"/>
        <s v="HP 200 CLR-48mm x 1371m-6 rls/cs-S 1523.79" u="1"/>
        <s v="AP 180 CLR-48mm x 914m-6 rls/cs-H/A 16351.64" u="1"/>
        <s v="CP 106 NAT-48mm x 55m-24 rls/cs-S 162.52" u="1"/>
        <s v="HP 200 WHI-72mm x 914m-4 rls/cs-H 4775.76" u="1"/>
        <s v="HM 016 CLR-48mm x 100m-36 rls/cs-H 3216.15" u="1"/>
        <s v="HP 200 CLR-48mm x 1371m-6 rls/cs-S 91544.91" u="1"/>
        <s v="HP 200 CLR-72mm x 1371m-4 rls/cs-S 20930.65" u="1"/>
        <s v="HP 100 CLR-53mm x 1500m-6 rls/cs-S 18373.61" u="1"/>
        <s v="HP 200 GRN-48mm x 914m-6 rls/cs-H/A " u="1"/>
        <s v="HP 800 CLR-72mm x 50m-24 rls/cs-H 7128" u="1"/>
        <s v="FP 097 KFT-24mm x 55m-36 rls/cs-H 1119.08" u="1"/>
        <s v="HP 200 CLR-72mm x 914m-4 rls/cs-H/A 725.86" u="1"/>
        <s v="WP 100 NAT-72mmx138m(450ft)-10rls/cs-H/A 2574.99" u="1"/>
        <s v="HP 200 CLR-48mm x 914m-6 rls/cs-S 4077.22" u="1"/>
        <s v="HP 100 CLR-53mm x 1500m-6 rls/cs-S 4062.96" u="1"/>
        <s v="HP 240 TK SECURITY-72mmx100m-24rls/cs-H 4361.86" u="1"/>
        <s v="HP 200 BLU-48mm x 914m-6 rls/cs-H 622.39" u="1"/>
        <s v="HP 200 CLR-72mm x 100m-24 rls/cs-S 5660.59" u="1"/>
        <s v="SD 934, PISTOL GRIP TAPE DISPNSR PREM.-S 92.68" u="1"/>
        <s v="HP 100 CLR-72mm x 100m-24 rls/cs-S 17114.36" u="1"/>
        <s v="HP 500 CLR-72mm x 914m-4 rls/cs-S 209905.38" u="1"/>
        <s v="HP 500 CLR-72mm x 914m-4 rls/cs-S 412813.84" u="1"/>
        <s v="HP 200 ORG-48mm x 914m-6 rls/cs-H 266.82" u="1"/>
        <s v="WP 100 NAT-70mm x 153m(500ft)-6 rls/cs-H 1548.2" u="1"/>
        <s v="HP 100 CLR-72mm x 100m-24 rls/cs-S 10549.45" u="1"/>
        <s v="FP 096 KFT-48mm x 55m-24 rls/cs-S 208.61" u="1"/>
        <s v="HP 500 CLR-72mm x 50m-24 rls/cs-H/A 91609.05" u="1"/>
        <s v="HP 200 TAN-72mm x 914m-4 rls/cs-H 7760.96" u="1"/>
        <s v="HP 232 CLR-72mm x 914m-4 rls/cs-H/A 23710.57" u="1"/>
        <s v="CP 66L NAT-4in x 240yd-3 rls/cs-H 68580.88" u="1"/>
        <s v="GS 490 WHI-48mm x 55m-24 rls/cs-H/A 2275" u="1"/>
        <s v="CP 500 NAT-24mm x 55m-36 rls/cs-H 2829.11" u="1"/>
        <s v="GS 501 CLR-24mm x 55m-36 rls/cs-H/A " u="1"/>
        <s v="AP 015 CLR-96mm x 66m-18 rls/cs-H 18475.79" u="1"/>
        <s v="WP 100 WHI-70mm x 138m(450ft)-10rls/cs-H 1175.62" u="1"/>
        <s v="HP 100 CLR-48mm x 100m-36 rls/cs-S 5046.62" u="1"/>
        <s v="FP 097 KFT-48mm x 50m-24 rls/cs-H 9243.12" u="1"/>
        <s v="CP 66L NAT-72mm x 55m-16 rls/cs-NS 1482.62" u="1"/>
        <s v="GS 500 WHI-48mm x 55m-24 rls/cs-H/A 969.65" u="1"/>
        <s v="HP 200 CLR-48mm x 914m-6 rls/cs-S 4020.18" u="1"/>
        <s v="HP 200 CLR-48mm x 1828m-6 rls/cs-S 15969.08" u="1"/>
        <s v="HP 200 CLR-48mm x 914m-6 rls/cs-S 4020.19" u="1"/>
        <s v="HP 400 CLR-72mm x 914m-4 rls/cs-H/A 2676.1" u="1"/>
        <s v="HP 200 ORG-48mm x 914m-6 rls/cs-H 10173.08" u="1"/>
        <s v="GS 490 WHI-48mm x 55m-24 rls/cs-H/A 6137.21" u="1"/>
        <s v="HP 132 CLR-72mm x 100m-24 rls/cs-H 13145.92" u="1"/>
        <s v="DT 200 GLA-48mm x 50m-24 rls/cs-H 291.77" u="1"/>
        <s v="HP 100 CLR-53mm x 1500m-6 rls/cs-S 7368.92" u="1"/>
        <s v="CP 450 NAT-72mm x 55m-16 rls/cs-NS 2867.66" u="1"/>
        <s v="AF 099 SIL-72mm x 55m-16 rls/cs-H/A 1549.94" u="1"/>
        <s v="AP 201 CLR-48mm x 914m-6 rls/cs-H/A 5428.68" u="1"/>
        <s v="HM 016 CLR-72mm x 100m-24 rls/cs-H/A 13641.12" u="1"/>
        <s v="PE 444 RED- 48mm X 55m- 24 rls/cs-H/A 1116.72" u="1"/>
        <s v="HP 100 CLR-72mm x 914m-4 rls/cs-S 4656.96" u="1"/>
        <s v="HM 016 CLR-48mm x 100m-36 rls/cs-S 2070.68" u="1"/>
        <s v="HP 200 CLR-48mm x 100m-36 rls/cs-S 2330.86" u="1"/>
        <s v="HP 100 CLR-53mm x 1500m-6 rls/cs-S 11258.68" u="1"/>
        <s v="HM 018 CLR-72mm x 100m-24 rls/cs-H/A 1591.92" u="1"/>
        <s v="P- 628 BLK-48mm x 50m-24 RLS/CS-S 1242.18" u="1"/>
        <s v="HP 500 CLR-48mm x 50m-36 rls/cs-H/A 73.77" u="1"/>
        <s v="HM 016 CLR-48mm x 914m-6 rls/cs-H/A 1978.02" u="1"/>
        <s v="WP 100 WHI-70mm x 138m(450ft)-10rls/cs-H 12597.74" u="1"/>
        <s v="HP 100 CLR-72mm x 100m-24 rls/cs-S 1420.85" u="1"/>
        <s v="HP 100 CLR-72mm x 914m-4 rls/cs-S 336.21" u="1"/>
        <s v="HP 200 WHI-72mm x 914m-4 rls/cs-H 3348.73" u="1"/>
        <s v="HP 800 CLR-48mm x 50m-36 rls/cs-H 641.52" u="1"/>
        <s v="FP 115 BRN-48mm x 55m-24 rls/cs-H 2777.54" u="1"/>
        <s v="HP 100 CLR-48mm x 100m-36 rls/cs-S 9366.19" u="1"/>
        <s v="HP 200 GRN-48mm x 914m-6 rls/cs-H/A 0" u="1"/>
        <s v="CP 631 GRN-24mm x 55m-36 rls/cs-H 289.75" u="1"/>
        <s v="GS 521 CLR-18mm x 55m-48 rls/cs-H 347.85" u="1"/>
        <s v="HP 100 CLR-72mm x 914m-4 rls/cs-S 840.51" u="1"/>
        <s v="HP 100 CLR-48mm x 914m-6 rls/cs-S 5052.33" u="1"/>
        <s v="P- 628 BLK- 48mm x 50m- 24 RLS/CS-S " u="1"/>
        <s v="HP 200 ORG-48mm x 914m-6 rls/cs-H 741" u="1"/>
        <s v="HP 200 TAN-72mm x 914m-4 rls/cs-H 23388" u="1"/>
        <s v="CP 106 NAT-24mm x 55m-36 rls/cs-S 285.12" u="1"/>
        <s v="GS 490 CLR-48mm x 55m-24 rls/cs-H/A 1810.04" u="1"/>
        <s v="DP 380 GLA-24mm x 50m-36 rls/cs-H 611.58" u="1"/>
        <s v="HP 200 CLR-48mm x 100m-36 rls/cs-S 81" u="1"/>
        <s v="CP 101 NAT-18mm x 55m-48 rls/cs-H/T 99.79" u="1"/>
        <s v="CP 631 RED-48mm x 55m-24 rls/cs-H " u="1"/>
        <s v="FP 096 KFT-72mm x 55m-16 rls/cs-H " u="1"/>
        <s v="GS 531 WHI-36mm x 55m-24 rls/cs-H 21456" u="1"/>
        <s v="HM 018 CLR-48mm x 100m-36 rls/cs-S 2181.17" u="1"/>
        <s v="HP 200 CLR-48mm x 1500m-6 rls/cs-H 32974.13" u="1"/>
        <s v="AP 101 CLR-48mm x 914m-6 rls/cs-H 3877.64" u="1"/>
        <s v="HP 100 CLR-48mm x 914m-6 rls/cs-S 9696.92" u="1"/>
        <s v="FP 097 KFT-72mm x 55m-16 rls/cs-H/A 4015.43" u="1"/>
        <s v="HP 100 CLR-48mm x 1371m-6 rls/cs- S 74899.62" u="1"/>
        <s v="SD 934  PISTOL GRIP TAPE DISPNSR PREM.-S 481.46" u="1"/>
        <s v="HP 200 CLR-72mm x 1371m-4 rls/cs-H/A 2460.74" u="1"/>
        <s v="AP 180 CLR-72mm x 100m-24 rls/cs-H/A 9323.42" u="1"/>
        <s v="HP 200 CLR-72mm x 914m-4 rls/cs-S 3626.73" u="1"/>
        <s v="HP 200 CLR-72mm x 914m-4 rls/cs-H/A 725.87" u="1"/>
        <s v="GS 490 WHI-18mm x 55m-48 rls/cs-H/A 8724.68" u="1"/>
        <s v="AP 180 CLR-48mm x 1371m-6 rls/cs-H 5136.91" u="1"/>
        <s v="HP 132 CLR-48mm x 1371m-6 rls/cs-H 2044.84" u="1"/>
        <s v="HP 200 CLR-48mm x 100m-36 rls/cs-S 24634.35" u="1"/>
        <s v="HP 200 CLR-48mm x 1500m-6 rls/cs-H 59353.44" u="1"/>
        <s v="PC 460 SIL-48mm x 55m-24 rls/cs-H/A 1130.97" u="1"/>
        <s v="DF 132 WHI-24MM x 72YD-9 RLS/CS-NS 126.97" u="1"/>
        <s v="HP 100 CLR-48mm x 914m-6 rls/cs-S 17135.7" u="1"/>
        <s v="HP 200 CLR-53mm x 1371m-6 rls/cs-H 81686.9" u="1"/>
        <s v="HM 016 CLR-72mm x 100m-24 rls/cs-H/A 4747.24" u="1"/>
        <s v="FE-2 Folded-Edge Tape Dispenser - H 427.68" u="1"/>
        <s v="HP 200 CLR-72mm x 100m-24 rls/cs-S 1430.34" u="1"/>
        <s v="AP 180 CLR-48mm x 100m-36 rls/cs-H/A 2320.87" u="1"/>
        <s v="HP 100 CLR-72mm x 100m-24 rls/cs-S 9551.53" u="1"/>
        <s v="HP 100 CLR-72mm x 1371m-4 rls/cs-H/T 18595.5" u="1"/>
        <s v="FP 097 KFT-36mm x 55m-24 rls/cs-H 957.53" u="1"/>
        <s v="HP 200 TAN-48mm x 914m-6 rls/cs-H 712.09" u="1"/>
        <s v="FP 097 KFT-36mm x 55m-24 rls/cs-H 739.64" u="1"/>
        <s v="HP 200 CLR-72mm x 1371m-4 rls/cs-S 178778.83" u="1"/>
        <s v="FP 097 KFT-48mm x 55m-24 rls/cs-H/A 60.35" u="1"/>
        <s v="PC 609 SIL-48mm x 55m-24 rls/cs-H/A 750.82" u="1"/>
        <s v="AP 201 CLR-72mm x 100m-24 rls/cs-H/A 471.39" u="1"/>
        <s v="HP 100 CLR-53mm x 1500m-6 rls/cs-S 26168.35" u="1"/>
        <s v="FP 115 BRN-48mm x 55m-24 rls/cs-H 302.23" u="1"/>
        <s v="GS 490 WHI-48mm x 55m-24 rls/cs-H/A 1810.51" u="1"/>
        <s v="HP 100 CLR-48mm x 914m-6 rls/cs-S 5233.25" u="1"/>
        <s v="TG 356 NAT- 19mm X 33m-48 rls/cs-H 2474.84" u="1"/>
        <s v="AP 201 CLR-72mm x 914m-4 rls/cs-H 7921.11" u="1"/>
        <s v="CP 450 NAT-48mm x 55m-24 rls/cs-H 4763.88" u="1"/>
        <s v="HP 400 CLR-48mm x 914m-6 rls/cs-H/A 3425.24" u="1"/>
        <s v="CP 106 NAT-48mm x 55m-24 rls/cs-S 4516.32" u="1"/>
        <s v="HP 200 CLR-48mm x 1371m-6 rls/cs-S 7224.96" u="1"/>
        <s v="CP 101 NAT-24mm x 55m-36 rls/cs-H/T 397.74" u="1"/>
        <s v="GS 521 CLR-36mm x 55m-24 rls/cs-X " u="1"/>
        <s v="HP 100 CLR-48mm x 100m-36 rls/cs-S 5726.64" u="1"/>
        <s v="HP 100 CLR-72mm x 1500m-4 rls/cs-H/T 36851.79" u="1"/>
        <s v="HP 200 YEL-48mm x 100m-36 rls/cs-H 1437" u="1"/>
        <s v="FP 097 KFT-24mm x 55m-36 rls/cs-H 752.71" u="1"/>
        <s v="HP 300 CLR-48mm x 1371m-6 rls/cs-H/A 55085.2" u="1"/>
        <s v="CP 631 RED-18mm x 55m-48 rls/cs-H 285.12" u="1"/>
        <s v="HP 200 CLR-48mm x 1371m-6 rls/cs-S 4179.84" u="1"/>
        <s v="FP 097 KFT-4in x 60yd-12 rls/cs-H 287.02" u="1"/>
        <s v="HP 200 CLR-72mm x 914m-4 rls/cs-S 3877.64" u="1"/>
        <s v="FP 097 KFT-48mm x 55m-24 rls/cs-H/A 274.66" u="1"/>
        <s v="HP 300 CLR-48mm x 100m-36 rls/cs-H/A 2794.19" u="1"/>
        <s v="HP 200 CLR-48mm x 1371m-6 rls/cs-S 564.53" u="1"/>
        <s v="HP 100 CLR-53mm x 1500m-6 rls/cs-S 1587.17" u="1"/>
        <s v="FP 097 KFT-4in x 60yd-12 rls/cs-H 150.64" u="1"/>
        <s v="HP 500 CLR-72mm x 914m-4 rls/cs-S 589.72" u="1"/>
        <s v="PC 609 SIL-48mm x 55m-24 rls/cs-H/A 600.65" u="1"/>
        <s v="HP 200 TAN-48mm x 100m-36 rls/cs-H/A 1010.04" u="1"/>
        <s v="HP 400 CLR-72mm x 100m-24 rls/cs-H/A 1158.54" u="1"/>
        <s v="HP 200 CLR-53mm x 1371m-6 rls/cs-H 50893.92" u="1"/>
        <s v="HP 200 ORG-48mm x 914m-6 rls/cs-H " u="1"/>
        <s v="FP 115 BRN-72mm x 55m-16 rls/cs-H 1719.1" u="1"/>
        <s v="HP 200 WHI-72mm x 100m-24 rls/cs-NS 7549.02" u="1"/>
        <s v="DF 065 NAT-18mm x 33m-48 rls/cs-H/A 645.8" u="1"/>
        <s v="HP 100 CLR-53mm x 1500m-6 rls/cs-S 47674" u="1"/>
        <s v="HP 100 CLR-48mm x 100m-36 rls/cs-S 5196.31" u="1"/>
        <s v="HP 100 CLR-48mm x 100m-36 rls/cs-S 5136.44" u="1"/>
        <s v="GS 521 CLR-18mm x 55m-48 rls/cs-H " u="1"/>
        <s v="P- 628 BLK-4in x 50m-12 rls/cs- X 1919.33" u="1"/>
        <s v="GS 490 WHI-36mm x 55m-24 rls/cs-H 45.14" u="1"/>
        <s v="HP 100 CLR-48mm x 1371m-6 rls/cs- S 84.64" u="1"/>
        <s v="FP 115 BRN-48mm x 55m-24 rls/cs-H 1933.12" u="1"/>
        <s v="HP 500 CLR-72mm x 914m-4 rls/cs-S 621249.4" u="1"/>
        <s v="HP 100 CLR-48mm x 1371m-6 rls/cs- S 51439.22" u="1"/>
        <s v="FP 096 KFT-72mm x 55m-16 rls/cs-H 1077.75" u="1"/>
        <s v="GS 501 WHI-24mm x 55m-36 rls/cs-H/A 436.23" u="1"/>
        <s v="GS 490 WHI-9mm x 55m-96 rls/cs-H 1349.57" u="1"/>
        <s v="HP 100 CLR-48mm x 100m-36 rls/cs-S 5816.45" u="1"/>
        <s v="GS 490 WHI-12mm x 55m-72 rls/cs-H/A 301.52" u="1"/>
        <s v="HP 200 CLR-48mm x 1371m-6 rls/cs-S 4409.38" u="1"/>
        <s v="AP 180 CLR-48mm x 100m-36 rls/cs-H/A 2280.96" u="1"/>
        <s v="HM 016 CLR-48mm x 914m-6 rls/cs-H 16888.02" u="1"/>
        <s v="HP 100 CLR-53mm x 1500m-6 rls/cs-S 21393.03" u="1"/>
        <s v="HP 500 CLR-72mm x 914m-4 rls/cs-S 30806" u="1"/>
        <s v="HP 500 CLR-72mm x 914m-4 rls/cs-S 1235891.13" u="1"/>
        <s v="AP 101 CLR-48mm x 914m-6 rls/cs-H 969.4" u="1"/>
        <s v="CP 500 NAT-24mm x 55m-36 rls/cs-H 4413.64" u="1"/>
        <s v="PE 444 RED- 48mm X 55m- 24 rls/cs-H/A 2362.7" u="1"/>
        <s v="HP 200 CLR-72mm x 100m-24 rls/cs-S 9451.73" u="1"/>
        <s v="HP 200 WHI-72mm x 914m-4 rls/cs-H 6970.99" u="1"/>
        <s v="HP 200 CLR-48mm x 100m-36 rls/cs-S 7516.48" u="1"/>
        <s v="HM 018 CLR-48mm x 100m-36 rls/cs-X 2181.17" u="1"/>
        <s v="HP 235 CLR-48mm x 914m-6 rls/cs-H " u="1"/>
        <s v="HP 200 CLR-48mm x 100m-36 rls/cs-S 8211.44" u="1"/>
        <s v="AP 201 GRN 48mm x 100m-36 rls/cs-H/A " u="1"/>
        <s v="HP 100 CLR-53mm x 1500m-6 rls/cs-S 9758.58" u="1"/>
        <s v="HP 100 CLR-72mm x 1371m-4 rls/cs-H/T 2363.64" u="1"/>
        <s v="HP 500 CLR-72mm x 914m-4 rls/cs-S 13202" u="1"/>
        <s v="HP 100 CLR-48mm x 914m-6 rls/cs-S 728.96" u="1"/>
        <s v="AP 180 CLR-48mm x 914m-6 rls/cs-H/A 3532.64" u="1"/>
        <s v="AP 101 CLR-48mm x 100m-36 rls/cs-S 345" u="1"/>
        <s v="HP 100 CLR-72mm x 100m-24 rls/cs-S 73.65" u="1"/>
        <s v="AP 180 CLR-48mm x 1371m-6 rls/cs-H 13889.2" u="1"/>
        <s v="HP 200 CLR-48mm x 100m-36 rls/cs-S 2010.09" u="1"/>
        <s v="GS 490 WHI-12mm x 55m-72 rls/cs-H/A " u="1"/>
        <s v="HP 300 CLR-72mm x 914m-4 rls/cs-H 2292.36" u="1"/>
        <s v="PS 748 BLK-12mm x 55m-144 rls/cs-H 103" u="1"/>
        <s v="AF 975 SIL-48mm x 46m-24 rls/cs-S 1722.6" u="1"/>
        <s v="HP 500 CLR-72mm x 914m-4 rls/cs-S 106741.8" u="1"/>
        <s v="DT 200 GLA-18mm x 50m-48 rls/cs- X " u="1"/>
        <s v="HP 200 GRN-48mm x 914m-6 rls/cs-H/A 2171.73" u="1"/>
        <s v="HP 200 CLR-48mm x 1371m-6 rls/cs-S 3227" u="1"/>
        <s v="HP 200 CLR-48mm x 914m-6 rls/cs-S 4204.09" u="1"/>
        <s v="HP 200 CLR-48mm x 914m-6 rls/cs-S 13051.38" u="1"/>
        <s v="AP 180 CLR-48mm x 100m-36 rls/cs-H/A 5284.7" u="1"/>
        <s v="AP 101 CLR-48mm x 100m-36 rls/cs-S 2908.22" u="1"/>
        <s v="HP 200 CLR-72mm x 1371m-4 rls/cs-S 6192.81" u="1"/>
        <s v="HP 100 CLR-72mm x 100m-24 rls/cs-S 74" u="1"/>
        <s v="HP 200 CLR-48mm x 1828m-6 rls/cs-S 19989.27" u="1"/>
        <s v="WP 100 WHI-70mm x 138m(450ft)-10rls/cs-H 2163.14" u="1"/>
        <s v="HP 200 RED-48mm x 100m-36 rls/cs-H 5388.77" u="1"/>
        <s v="HP 100 CLR-48mm x 100m-36 rls/cs-S 20320.85" u="1"/>
        <s v="AP 180 CLR-48mm x 914m-6 rls/cs-H/A 5177.78" u="1"/>
        <s v="PC 460 SIL-48mm x 55m-24 rls/cs-H/A 465.69" u="1"/>
        <s v="FP 097 KFT-36mm x 55m-24 rls/cs-H 459.99" u="1"/>
        <s v="AP 201 CLR-48mm x 914m-6 rls/cs-H/A 3393" u="1"/>
        <s v="AP 180 CLR-48mm x 100m-36 rls/cs-H/A 721.36" u="1"/>
        <s v="HP 200 CLR-48mm x 914m-6 rls/cs-S 5227.2" u="1"/>
        <s v="HP 200 WHI-72mm x 914m-4 rls/cs-H 13208.2" u="1"/>
        <s v="HM 016 CLR-48mm x 100m-36 rls/cs-S 3216.15" u="1"/>
        <s v="HP 200 CLR-48mm x 914m-6 rls/cs-S 16747.94" u="1"/>
        <s v="DP 380 GLA-24mm x 50m-36 rls/cs-H 1773" u="1"/>
        <s v="HP 200 CLR-48mm x 1371m-6 rls/cs-S 4479.95" u="1"/>
        <s v="DP 380 GLA-72mm x 50m-16 rls/cs-H 147" u="1"/>
        <s v="HP 200 RED-48mm x 914m-6 rls/cs-H 400.24" u="1"/>
        <s v="HP 200 GRN-48mm x 914m-6 rls/cs-H/A 781.41" u="1"/>
        <s v="DP 391 GLA-24mm *DO NOT USE* 1140.12" u="1"/>
        <s v="SD 935  PISTOL GRIP DISPNSR-3 IN. ROLL-S 22.27" u="1"/>
        <s v="AP 201 CLR-72mm x 1371m-4 rls/cs-H 966.24" u="1"/>
        <s v="CP 631 RED-18mm x 55m-48 rls/cs-H 78.88" u="1"/>
        <s v="CP 450 NAT-36mm x 55m-24 rls/cs-H 1432.25" u="1"/>
        <s v="03044 SPARE WHITE WIPER FOR FE-3 " u="1"/>
        <s v="HP 200 CLR-48mm x 914m-6 rls/cs-S 691.42" u="1"/>
        <s v="HP 200 CLR-72mm x 914m-4 rls/cs-S 2673.47" u="1"/>
        <s v="WP 100 WHI-70mm x 138m(450ft)-10rls/cs-H 1787.94" u="1"/>
        <s v="HP 100 CLR-48mm x 1828m-6 rls/cs-S 68856.5" u="1"/>
        <s v="CP 083 NAT-24mm x 55m-36 rls/cs-S 392.04" u="1"/>
        <s v="SD 934  PISTOL GRIP TAPE DISPNSR PREM.-S 198.51" u="1"/>
        <s v="HM 016 CLR-48mm x 914m-6 rls/cs-H/A 4735.49" u="1"/>
        <s v="GS 490 WHI-12mm x 55m-72 rls/cs-H/A 0" u="1"/>
        <s v="HP 235 CLR-72mm x 100m-24 rls/cs-H 29509.68" u="1"/>
        <s v="WP 100 NAT-70mm x 153m(500ft)-6 rls/cs-H 1161" u="1"/>
        <s v="FP 097 KFT-4in x 60yd-12 rls/cs-H 0" u="1"/>
        <s v="HP 200 CLR-48mm x 100m-36 rls/cs-S 3926.11" u="1"/>
        <s v="HP 200 CLR-72mm x 914m-4 rls/cs-S 878.15" u="1"/>
        <s v="HP 200 CLR-48mm x 914m-6 rls/cs-S 22706.97" u="1"/>
        <s v="HP 100 TAN-48mm x 914m-6 rls/cs-H 2686" u="1"/>
        <s v="HP 200 ORG-48mm x 914m-6 rls/cs-H 3616.87" u="1"/>
        <s v="AP 101 CLR-48mm x 914m-6 rls/cs-H 2035.76" u="1"/>
        <s v="HP 400 CLR-72mm x 914m-4 rls/cs-H/A 3226.13" u="1"/>
        <s v="HP 500 CLR-72mm x 914m-4 rls/cs-S 1316434.67" u="1"/>
        <s v="GS 490 CLR-24mm x 55m-36 rls/cs-H " u="1"/>
        <s v="GG 200 NAT-48mm x 33m-24 rls/cs-H 4413.65" u="1"/>
        <s v="HP 100 CLR-48mm x 914m-6 rls/cs-S 9853.75" u="1"/>
        <s v="HP 232 CLR-72mm x 914m-4 rls/cs-H/A 5225.3" u="1"/>
        <s v="CP 105 NAT-12mm x 55m-72 rls/cs-H 145.42" u="1"/>
        <s v="HP 200 CLR-72mm x 1371m-4 rls/cs-S 4265" u="1"/>
        <s v="HP 240 TK SECURITY-72mmx100m-24rls/cs-H " u="1"/>
        <s v="HP 200 CLR-48mm x 1371m-6 rls/cs-S 61618.4" u="1"/>
        <s v="HP 200 RED-48mm x 914m-6 rls/cs-H 529.25" u="1"/>
        <s v="AP 101 CLR-48mm x 914m-6 rls/cs-H 1836.17" u="1"/>
        <s v="CP 105 NAT-24mm x 55m- 36 rls/cs-S 79.12" u="1"/>
        <s v="HP 100 CLR-48mm x 914m-6 rls/cs-S 25261.65" u="1"/>
        <s v="HM 016 CLR-72mm x 100m-24 rls/cs-H/A 1797.21" u="1"/>
        <s v="HP 200 CLR-48mm x 914m-6 rls/cs-S 9859.81" u="1"/>
        <s v="HP 200 CLR-72mm x 100m-24 rls/cs-S 2309" u="1"/>
        <s v="HP 200 CLR-48mm x 100m-36 rls/cs-S 5966.13" u="1"/>
        <s v="HP 100 CLR-72mm x 1500m-4 rls/cs-H/T 14572.48" u="1"/>
        <s v="SD 932, PISTOL GRIP TAPE DISP. ECONOMY-S 2.86" u="1"/>
        <s v="CP 106 NAT-18mm x 55m-48 rls/cs-S " u="1"/>
        <s v="HP 100 CLR-48mm x 914m-6 rls/cs-S 17102.44" u="1"/>
        <s v="CP 105 NAT-18mm x 55m-48 rls/cs-S 9580.04" u="1"/>
        <s v="FP 097 KFT-72mm x 55m-16 rls/cs-H/A 70.17" u="1"/>
        <s v="CP 106 NAT-24mm x 55m-36 rls/cs-S 201.01" u="1"/>
        <s v="HP 200 TAN-48mm x 914m-6 rls/cs-H 235.11" u="1"/>
        <s v="HP 100 CLR-72mm x 100m-24 rls/cs-S 1380.45" u="1"/>
        <s v="HP 100 TAN-72mm x 914m-4 rls/cs-H 235.07" u="1"/>
        <s v="AP 180 CLR-48mm x 914m-6 rls/cs-H/A 25324" u="1"/>
        <s v="FP 097 KFT-48mm x 55m-24 rls/cs-H/A 274.68" u="1"/>
        <s v="GS 490 WHI-24mm x 55m-36 rls/cs-H/A 359.25" u="1"/>
        <s v="AP 101 CLR-48mm x 100m-36 rls/cs-S 1052.09" u="1"/>
        <s v="HP 500 CLR-72mm x 914m-4 rls/cs-S 619772.46" u="1"/>
        <s v="HP 200 CLR-72mm x 914m-4 rls/cs-S 31868.79" u="1"/>
        <s v="CP 106 NAT-18mm x 55m-48 rls/cs-S 199.58" u="1"/>
        <s v="HM 016 CLR-72mm x 100m-24 rls/cs-H/A 29.7" u="1"/>
        <s v="FP 097 KFT-48mm x 55m-24 rls/cs-H/A 65.34" u="1"/>
        <s v="HP 400 CLR-72mm x 1371m-4 rls/cs-H 9428.92" u="1"/>
        <s v="HP 240 WR STOP-48mm x 100m-36 rls/cs-H 4162.76" u="1"/>
        <s v="CP 106 NAT-48mm x 55m-24 rls/cs-S 73.66" u="1"/>
        <s v="HP 100 CLR-48mm x 100m-36 rls/cs-S 2950.99" u="1"/>
        <s v="HP 200 CLR-48mm x 1500m-6 rls/cs-H 7001.12" u="1"/>
        <s v="HP 200 CLR-48mm x 914m-6 rls/cs-S 376" u="1"/>
        <s v="PE 444 RED- 48mm X 55m- 24 rls/cs-H/A " u="1"/>
        <s v="HP 200 CLR-48mm x 100m-36 rls/cs-S 11106.84" u="1"/>
        <s v="HP 100 CLR-72mm x 100m-24 rls/cs-S 2039" u="1"/>
        <s v="HP 200 TAN-48mm x 100m-36 rls/cs-H/A 9055" u="1"/>
        <s v="HP 100 CLR-53mm x 1500m-6 rls/cs-S 33786.71" u="1"/>
        <s v="HP 200 CLR-72mm x 1371m-4 rls/cs-S 4542.91" u="1"/>
        <s v="CP 106 NAT-18mm x 55m-48 rls/cs-S 3820.6" u="1"/>
        <s v="AP 180 CLR-48mm x 1371m-6 rls/cs-H 11162.46" u="1"/>
        <s v="HP 500 CLR-72mm x 50m-24 rls/cs-H/A 11561.62" u="1"/>
        <s v="HP 232 CLR-48mm x 914m-6 rls/cs-H/A 6572" u="1"/>
        <s v="HP 200 CLR-72mm x 1371m-4 rls/cs-S 7460.4" u="1"/>
        <s v="HP 300 CLR-72mm x 100m-24 RLS/CS-H 2249.6" u="1"/>
        <s v="DF 642 NAT-48mm x 23m-24 rls/cs-H/A " u="1"/>
        <s v="HP 232 CLR-72mm x 914m-4 rls/cs-H/A 7527.16" u="1"/>
        <s v="WP 100 NAT-70mm x 153m(500ft)-6 rls/cs-H 516" u="1"/>
        <s v="HP 100 CLR-72mm x 100m-24 rls/cs-S 25503.99" u="1"/>
        <s v="HP 100 CLR-48mm x 1371m-6 rls/cs- S 23267.93" u="1"/>
        <s v="WP 100 NAT-72mmx138m(450ft)-10rls/cs-H/A 1755.27" u="1"/>
        <s v="HP 100 CLR-72mm x 100m-24 rls/cs-S 4806.65" u="1"/>
        <s v="HP 100 CLR-48mm x 1371m-6 rls/cs- S 14113.45" u="1"/>
        <s v="HP 400 CLR-72mm x 50m-24 rls/cs-H 310.07" u="1"/>
        <s v="HP 100 CLR-48mm x 914m-6 rls/cs-S 37571.71" u="1"/>
        <s v="HP 100 CLR-48mm x 100m-36 rls/cs-S 12235.18" u="1"/>
        <s v="SD 935, PISTOL GRIP DISPNSR-3 IN. ROLL-S 1262" u="1"/>
        <s v="HP 200 BLU-48mm x 914m-6 rls/cs-H 779.86" u="1"/>
        <s v="HP 200 CLR-48mm x 914m-6 rls/cs-S 33780.78" u="1"/>
        <s v="HP 232 CLR-48mm x 100m-36 rls/cs-H/A 56.31" u="1"/>
        <s v="HP 100 CLR-48mm x 914m-6 rls/cs-S 5439.12" u="1"/>
        <s v="CP 106 NAT-36mm x 55m-24 rls/cs-S 353.55" u="1"/>
        <s v="HP 300 CLR-48mm x 100m-36 rls/cs-H/A 3472.76" u="1"/>
        <s v="HP 132 CLR-48mm x 914m-6 rls/cs-S 9334.83" u="1"/>
        <s v="HP 100 CLR-72mm x 1371m-4 rls/cs-H/T 18595.53" u="1"/>
        <s v="HP 100 CLR-48mm x 100m-36 rls/cs-S 1019.3" u="1"/>
        <s v="HP 235 CLR-72mm x 1371m-4 rls/cs-H 197680.73" u="1"/>
        <s v="HP 100 CLR-72mm x 914m-4 rls/cs-S 3647.64" u="1"/>
        <s v="AP 180 TAN-48mm x 100m-36 rls/cs-H 2448.47" u="1"/>
        <s v="DP 380 GLA-12mm x 50m-72 rls/cs-H 627.26" u="1"/>
        <s v="HP 100 CLR-72mm x 100m-24 rls/cs-S 4656.03" u="1"/>
        <s v="HP 200 CLR-48mm x 1371m-6 rls/cs-S 3267" u="1"/>
        <s v="CP 105 NAT-12mm x 55m-72 rls/cs-H 171.06" u="1"/>
        <s v="HP 200 CLR-53mm x 1371m-6 rls/cs-H 74879.64" u="1"/>
        <s v="DT 200 GLA-48mm x 50m-24 rls/cs-H 37651.51" u="1"/>
        <s v="HP 100 CLR-48mm x 1828m-6 rls/cs-S 7869.31" u="1"/>
        <s v="GS 490 WHI-48mm x 55m-24 rls/cs-H/A 1188" u="1"/>
        <s v="HM 016 CLR-48mm x 100m-36 rls/cs-S 4821.72" u="1"/>
        <s v="HP 200 CLR-48mm x 914m-6 rls/cs-S 23351.32" u="1"/>
        <s v="HP 100 CLR-53mm x 1500m-6 rls/cs-S 49236.61" u="1"/>
        <s v="CP 106 NAT-48mm x 55m-24 rls/cs-S 585.44" u="1"/>
        <s v="SD 934  PISTOL GRIP TAPE DISPNSR PREM.-S 88.71" u="1"/>
        <s v="HP 200 CLR-72mm x 914m-4 rls/cs-S 4024" u="1"/>
        <s v="CP 106 NAT-12mm x 55m-72 rls/cs-H/A 210.99" u="1"/>
        <s v="HP 200 TAN-72mm x 100m-24 rls/cs-H/A 1608.54" u="1"/>
        <s v="PC 590 SIL-48mm x 55m-24 rls/cs- S " u="1"/>
        <s v="TG 356 NAT- 19mm X 33m-48 rls/cs-H/T " u="1"/>
        <s v="HP 300 CLR-72mm x 100m-24 RLS/CS-H 15807.07" u="1"/>
        <s v="HP 400 CLR-48mm x 50m-36 rls/cs-H 1218.88" u="1"/>
        <s v="HP 100 CLR-48mm x 914m-6 rls/cs-S 6491.24" u="1"/>
        <s v="HP 132 CLR-48mm x 100m-36 rls/cs-H 1331.51" u="1"/>
        <s v="HP 100 CLR-72mm x 914m-4 rls/cs-S 3010.87" u="1"/>
        <s v="HM 016 CLR-48mm x 914m-6 rls/cs-H/A 8475.77" u="1"/>
        <s v="HP 232 CLR-72mm x 914m-4 rls/cs-H/A 21422.01" u="1"/>
        <s v="SD 935  PISTOL GRIP DISPNSR-3 IN. ROLL-S 316.12" u="1"/>
        <s v="CP 083 NAT-48mm x 55m-24 rls/cs-S 3050.77" u="1"/>
        <s v="HP 100 CLR-53mm x 1500m-6 rls/cs-S 6513.21" u="1"/>
        <s v="HM 016 CLR-48mm x 100m-36 rls/cs-S 59.16" u="1"/>
        <s v="HP 200 CLR-48mm x 914m-6 rls/cs-S 20186.51" u="1"/>
        <s v="CP 66L NAT-4in x 240yd-3 rls/cs-H 132694.9" u="1"/>
        <s v="AP 015 CLR-96mm x 66m-18 rls/cs-H 13743" u="1"/>
        <s v="HP 100 CLR-48mm x 1371m-6 rls/cs- S 15601.76" u="1"/>
        <s v="HP 200 CLR-48mm x 914m-6 rls/cs-S 6837.18" u="1"/>
        <s v="GS 490 WHI-24mm x 55m-36 rls/cs-H/A 919.88" u="1"/>
        <s v="HP 500 CLR-72mm x 914m-4 rls/cs-S 646382.73" u="1"/>
        <s v="SD 935, PISTOL GRIP DISPNSR-3 IN. ROLL-S 139.34" u="1"/>
        <s v="SD 934, PISTOL GRIP TAPE DISPNSR PREM.-S 1151.14" u="1"/>
        <s v="AP 180 CLR-48mm x 100m-36 rls/cs-H/A 62.73" u="1"/>
        <s v="PC 006 SIL-48mm x 55m-24 rls/cs-H/A 1511.85" u="1"/>
        <s v="WP 100 NAT-70mmx138m(450ft)-10rls/cs-H/A 542.52" u="1"/>
        <s v="HP 200 CLR-48mm x 1371m-6 rls/cs-S 3277" u="1"/>
        <s v="CP 106 NAT-48mm x 55m-24 rls/cs-S 642.48" u="1"/>
        <s v="HP 232 CLR-48mm x 914m-6 rls/cs-H/A 4772" u="1"/>
        <s v="GG 200 NAT-48mm x 33m-24 rls/cs-H 1029.28" u="1"/>
        <s v="HP 100 CLR-72mm x 914m-4 rls/cs-S 10814.56" u="1"/>
        <s v="HP 200 TAN-48mm x 914m-6 rls/cs-H 533.17" u="1"/>
        <s v="GS 490 CLR-48mm x 55m-24 rls/cs-H/A 208.85" u="1"/>
        <s v="HP 200 CLR-48mm x 1500m-6 rls/cs-H 26379.31" u="1"/>
        <s v="CP 106 NAT-48mm x 55m-24 rls/cs-S 487.56" u="1"/>
        <s v="HP 100 CLR-72mm x 100m-24 rls/cs-S 4086.72" u="1"/>
        <s v="GS 490 WHI-24mm x 55m-36 rls/cs-H/A 289.05" u="1"/>
        <s v="FP 097 KFT-48mm x 55m-24 rls/cs-H/A 1020.02" u="1"/>
        <s v="WP 100 NAT-72mmx138m(450ft)-10rls/cs-H/A 332.24" u="1"/>
        <s v="CP 106 NAT-48mm x 55m-24 rls/cs-S 771.97" u="1"/>
        <s v="HM 016 CLR-72mm x 100m-24 rls/cs-H/A 59.4" u="1"/>
        <s v="FP 097 KFT-18mm *DO NOT USE* 254.71" u="1"/>
        <s v="HP 200 CLR-72mm x 914m-4 rls/cs-S 4075" u="1"/>
        <s v="AP 101 CLR-48mm x 100m-36 rls/cs-S 8981.3" u="1"/>
        <s v="SD 934  PISTOL GRIP TAPE DISPNSR PREM.-S 1007.77" u="1"/>
        <s v="CP 66L NAT-4in x 240yd-3 rls/cs-H 165821.81" u="1"/>
        <s v="HP 200 CLR-48mm x 1371m-6 rls/cs-H/A 45227.15" u="1"/>
        <s v="HP 100 CLR-48mm x 100m-36 rls/cs-S 3806.35" u="1"/>
        <s v="HP 400 CLR-48mm x 50m-36 rls/cs-H 548.5" u="1"/>
        <s v="HP 200 CLR-72mm x 100m-24 rls/cs-S 1130.98" u="1"/>
        <s v="HP 500 CLR-72mm x 914m-4 rls/cs-S 26404.96" u="1"/>
        <s v="PE 444 RED- 48mm X 55m- 24 rls/cs-H/A 1563.41" u="1"/>
        <s v="HP 100 CLR-48mm x 1371m-6 rls/cs- S 80609.13" u="1"/>
        <s v="CP 631 GRN-24mm x 55m-36 rls/cs-H 155.39" u="1"/>
        <s v="HP 100 CLR-48mm x 100m-36 rls/cs-S 8931.37" u="1"/>
        <s v="HP 100 CLR-53mm x 1500m-6 rls/cs-S 37680.7" u="1"/>
        <s v="HP 200 CLR-48mm x 914m-6 rls/cs-S 25341.47" u="1"/>
        <s v="HP 100 TAN-48mm x 100m-36 rls/cs-S 1511.13" u="1"/>
        <s v="HP 200 CLR-72mm x 914m-4 rls/cs-S 2868.31" u="1"/>
        <s v="HP 100 CLR-53mm x 1500m-6 rls/cs-S 7788.06" u="1"/>
        <s v="HP 200 CLR-72mm x 914m-4 rls/cs-S 23379.86" u="1"/>
        <s v="AP 201 CLR-72mm x 100m-24 rls/cs-H/A 802.12" u="1"/>
        <s v="HP 200 CLR-72mm x 100m-24 rls/cs-S 18589.83" u="1"/>
        <s v="CP 106 NAT-24mm x 55m-36 rls/cs-S 987.94" u="1"/>
        <s v="HP 100 CLR-53mm x 1500m-6 rls/cs-S 55143.43" u="1"/>
        <s v="HP 100 CLR-48mm x 1371m-6 rls/cs- S 60516.73" u="1"/>
        <s v="HP 500 TAN-48mm x 50m-36 rls/cs-H 2574.64" u="1"/>
        <s v="HP 200 CLR-72mm x 1371m-4 rls/cs-S 25736.36" u="1"/>
        <s v="HP 232 CLR-48mm x 914m-6 rls/cs-H/A 10416.73" u="1"/>
        <s v="HP 200 CLR-48mm x 1371m-6 rls/cs-S 3387" u="1"/>
        <s v="HP 500 CLR-72mm x 914m-4 rls/cs-S 25059.68" u="1"/>
        <s v="SD 935  PISTOL GRIP DISPNSR-3 IN. ROLL-S 143.98" u="1"/>
        <s v="CP 631 RED-9mm x 55m-96 rls/cs-H/A " u="1"/>
        <s v="AP 101 CLR-48mm x 100m-36 rls/cs-S 124" u="1"/>
        <s v="HP 200 YEL-48mm x 914m-6 rls/cs-H 140.18" u="1"/>
        <s v="AP 015 CLR-96mm x 66m-18 rls/cs-H 1214.08" u="1"/>
        <s v="HP 132 CLR-72mm x 100m-24 rls/cs-H 2594.6" u="1"/>
        <s v="SD 934, PISTOL GRIP TAPE DISPNSR PREM.-S 8" u="1"/>
        <s v="GS 490 WHI-18mm x 330m-16 rls/cs-H 850" u="1"/>
        <s v="HP 235 CLR-72mm x 1371m-4 rls/cs-H 178014.58" u="1"/>
        <s v="AP 180 CLR-48mm x 1371m-6 rls/cs-H 3079.3" u="1"/>
        <s v="HP 200 YEL-48mm x 914m-6 rls/cs-H 2287.02" u="1"/>
        <s v="HP 100 CLR-48mm x 100m-36 rls/cs-S 5946.87" u="1"/>
        <s v="HP 100 CLR-72mm x 1500m-4 rls/cs-H/T 7641.22" u="1"/>
        <s v="HP 200 CLR-72mm x 914m-4 rls/cs-S 3010.86" u="1"/>
        <s v="HP 300 CLR-48mm x 100m-36 rls/cs-H/A 4390.87" u="1"/>
        <s v="50611 PA IR SENSOR 9' CORD 1623.52" u="1"/>
        <s v="PC 009 WHI-48mm x 55m-24 rls/cs-H 261" u="1"/>
        <s v="HP 200 CLR-72mm x 914m-4 rls/cs-S 3010.87" u="1"/>
        <s v="CP 66L NAT-48mm x 165m- 6 rls/cs-C 6652.8" u="1"/>
        <s v="SD 937, Bag Sealer MetalDisp-9MM Rol-H/A 90.47" u="1"/>
        <s v="HP 200 CLR-48mm x 914m-6 rls/cs-S 4003.08" u="1"/>
        <s v="HP 200 CLR-72mm x 914m-4 rls/cs-S 3010.88" u="1"/>
        <s v="HP 100 CLR-48mm x 1371m-6 rls/cs- S 47574.22" u="1"/>
        <s v="CP 106 NAT-24mm x 55m-36 rls/cs-S 397.75" u="1"/>
        <s v="HP 100 CLR-53mm x 1500m-6 rls/cs-S 33980.6" u="1"/>
        <s v="HP 100 CLR-48mm x 100m-36 rls/cs-S 12381.35" u="1"/>
        <s v="HP 200 CLR-48mm x 914m-6 rls/cs-S 20186.52" u="1"/>
        <s v="HP 100 CLR-48mm x 1371m-6 rls/cs- S 85483.7" u="1"/>
        <s v="HP 200 CLR-48mm x 100m-36 rls/cs-S 8021.87" u="1"/>
        <s v="AP 201 RED 72mm x 100m-24 rls/cs-H/A 667.66" u="1"/>
        <s v="HP 235 CLR-72mm x 914m-4 rls/cs-H 15447.26" u="1"/>
        <s v="PC 590 SIL-48mm x 55m-24 rls/cs- X " u="1"/>
        <s v="HM 014 CLR-48mm x 100m-36 rls/cs-S 4790.01" u="1"/>
        <s v="AP 101 CLR-48mm x 100m-36 rls/cs-S 5003.85" u="1"/>
        <s v="FP 115 BRN-48mm x 55m-24 rls/cs-H 1353.37" u="1"/>
        <s v="FP 115 BRN-48mm x 55m-24 rls/cs-H 2132.69" u="1"/>
        <s v="HP 100 CLR-53mm x 1500m-6 rls/cs-S 11797.56" u="1"/>
        <s v="DP 050 CLR-24mm x 50m-36 rls/cs-H 776" u="1"/>
        <s v="HP 200 CLR-48mm x 100m-36 rls/cs-S 5416.58" u="1"/>
        <s v="HP 200 CLR-72mm x 100m-24 rls/cs-S 24805.44" u="1"/>
        <s v="WP 150 ORG ZESTY 70mmx138m(450FT)10rl/cs 15000.88" u="1"/>
        <s v="HP 100 CLR-53mm x 1500m-6 rls/cs-S 7258.68" u="1"/>
        <s v="HP 100 CLR-72mm x 1371m-4 rls/cs-H/T 2731.45" u="1"/>
        <s v="HP 232 CLR-48mm x 100m-36 rls/cs-H/A 563.11" u="1"/>
        <s v="FP 097 KFT-48mm x 55m-24 rls/cs-H/A 62.25" u="1"/>
        <s v="HM 014 CLR-72mm x 100m-24 rls/cs-S 3063.6" u="1"/>
        <s v="HM 014 CLR-48mm x 100m-36 rls/cs-S 10478.16" u="1"/>
        <s v="HP 400 CLR-48mm x 100m-36 rls/cs-H/A 675.73" u="1"/>
        <s v="CP 66L NAT-72mm x 55m-16 rls/cs-NS 10687.24" u="1"/>
        <s v="CP 083 NAT-48mm x 55m-24 rls/cs-S 345.95" u="1"/>
        <s v="GS 490 WHI-18mm x 55m-48 rls/cs-H/A 429" u="1"/>
        <s v="CP 083 NAT-24mm x 55m-36 rls/cs-S 224.53" u="1"/>
        <s v="CP 083 NAT-48mm x 55m-24 rls/cs-S 548.85" u="1"/>
        <s v="HP 300 CLR-48mm x 914m-6 rls/cs-H 7449.24" u="1"/>
        <s v="HP 100 CLR-72mm x 100m-24 rls/cs-S 2136.02" u="1"/>
        <s v="AP 201 CLR-72mm x 100m-24 rls/cs-H/A 0" u="1"/>
        <s v="GS 531 WHI-36mm x 55m-24 rls/cs-H 28679.27" u="1"/>
        <s v="HP 200 CLR-72mm x 100m-24 rls/cs-S 1890.36" u="1"/>
        <s v="HP 200 CLR-72mm x 1371m-4 rls/cs-S 3197.75" u="1"/>
        <s v="HP 500 CLR-48mm x 100m-36 rls/cs-H 5016.68" u="1"/>
        <s v="CP 106 NAT-72mm x 55m-16 rls/cs-S 707.1" u="1"/>
        <s v="HP 100 CLR-72mm x 100m-24 rls/cs-S 6586.27" u="1"/>
        <s v="GS 490 CLR-12mm x 55m-72 rls/cs-H/A 3687.86" u="1"/>
        <s v="CP 107 NAT-48mm x 55m-24 rls/cs-H/A 2548.26" u="1"/>
        <s v="AP 101 CLR-48mm x 914m-6 rls/cs-H 484.7" u="1"/>
        <s v="HP 100 CLR-72mm x 1500m-4 rls/cs-H/T 53668.21" u="1"/>
        <s v="HP 400 CLR-72mm x 100m-24 rls/cs-H/A 5189.18" u="1"/>
        <s v="HP 100 CLR-48mm x 1371m-6 rls/cs- S 36699.23" u="1"/>
        <s v="HP 200 CLR-72mm x 914m-4 rls/cs-S 2682.37" u="1"/>
        <s v="HP 200 CLR-48mm x 1500m-6 rls/cs-H 21576.46" u="1"/>
        <s v="HP 200 CLR-48mm x 914m-6 rls/cs-S 501.8" u="1"/>
        <s v="GS 490 WHI-18mm x 55m-48 rls/cs-H/A 429.1" u="1"/>
        <s v="GS 490 WHI-48mm x 55m-24 rls/cs-H/A 8116.42" u="1"/>
        <s v="FP 115 BRN-72mm x 55m-16 rls/cs-H 184.69" u="1"/>
        <s v="HP 132 CLR-48mm x 1371m-6 rls/cs-H 1082" u="1"/>
        <s v="HP 100 CLR-48mm x 1371m-6 rls/cs- S 50458.83" u="1"/>
        <s v="PE 444 RED- 48mm X 55m- 24 rls/cs-H/A 2903.48" u="1"/>
        <s v="HP 100 CLR-48mm x 1371m-6 rls/cs- S 14627.89" u="1"/>
        <s v="CP 066 NAT-72mm x 55m-16 rls/cs-H/A " u="1"/>
        <s v="WP 100 WB SER 70mmx305(1000ft)-6rl/cs-NS 4000" u="1"/>
        <s v="HP 400 CLR-48mm x 50m-36 rls/cs-H 290.47" u="1"/>
        <s v="HM 016 CLR-72mm x 100m-24 rls/cs-H/A 89.1" u="1"/>
        <s v="HP 100 CLR-48mm x 100m-36 rls/cs-S 6241.64" u="1"/>
        <s v="HM 016 CLR-72mm x 100m-24 rls/cs-H/A 2403.33" u="1"/>
        <s v="HP 100 CLR-48mm x 914m-6 rls/cs-S 22056.89" u="1"/>
        <s v="5651 PA-1C TAPE MONIT RECE C/W TOW LIGHT 2482.84" u="1"/>
        <s v="HP 200 CLR-48mm x 100m-36 rls/cs-S 3616.05" u="1"/>
        <s v="HP 300 CLR-72mm x 914m-4 rls/cs-H 4839.43" u="1"/>
        <s v="HP 200 CLR-72mm x 914m-4 rls/cs-S 4641.75" u="1"/>
        <s v="HP 200 CLR-72mm x 100m-24 rls/cs-S 1640.39" u="1"/>
        <s v="CP 101 NAT-18mm x 55m-48 rls/cs-H/T 334.53" u="1"/>
        <s v="HP 200 CLR-48mm x 1828m-6 rls/cs-S 19709.4" u="1"/>
        <s v="PE 444 RED- 48mm X 55m- 24 rls/cs-H/A 3612.7" u="1"/>
        <s v="WP 200 NAT-72mmx138m(450ft)-10rls/cs-H/A 2851.2" u="1"/>
        <s v="HP 100 CLR-72mm x 914m-4 rls/cs-S 5652.98" u="1"/>
        <s v="VP 410 WHI- 50mm X 33m- 24 rls/cs-H 449.06" u="1"/>
        <s v="HP 100 CLR-72mm x 914m-4 rls/cs-S 3474.66" u="1"/>
        <s v="HP 100 CLR-72mm x 1500m-4 rls/cs-H/T 3820.61" u="1"/>
        <s v="HP 200 CLR-48mm x 1371m-6 rls/cs-S 6192.8" u="1"/>
        <s v="CP 066 NAT-72mm x 55m-16 rls/cs-H/A 764" u="1"/>
        <s v="HP 100 CLR-72mm x 100m-24 rls/cs-S 7351.35" u="1"/>
        <s v="HP 400 CLR-48mm x 100m-36 rls/cs-H/A 80.55" u="1"/>
        <s v="FE-2 Folded-Edge Tape Dispenser 129.94" u="1"/>
        <s v="HP 132 CLR-72mm x 100m-24 rls/cs-H 9167.56" u="1"/>
        <s v="HP 232 CLR-72mm x 914m-4 rls/cs-H/A 2352.24" u="1"/>
        <s v="GS 490 WHI-48mm x 55m-24 rls/cs-H/A 452.39" u="1"/>
        <s v="HP 200 CLR-48mm x 914m-6 rls/cs-S 40305.77" u="1"/>
        <s v="HP 200 CLR-48mm x 1828m-6 rls/cs-S 19830.93" u="1"/>
        <s v="HP 232 CLR-48mm x 1371m-6 rls/cs-H/T " u="1"/>
        <s v="HP 200 CLR-48mm x 914m-6 rls/cs-S 11581.57" u="1"/>
        <s v="HP 100 CLR-72mm x 100m-24 rls/cs-S 20386.1" u="1"/>
        <s v="HP 200 CLR-72mm x 914m-4 rls/cs-S 24204.77" u="1"/>
        <s v="HP 200 CLR-48mm x 914m-6 rls/cs-S 8279.88" u="1"/>
        <s v="CP 011 BLU-48mm x 55m-24 rls/cs-NS " u="1"/>
        <s v="HP 200 BLU-48mm x 914m-6 rls/cs-H 314.94" u="1"/>
        <s v="HP 200 CLR-48mm x 1371m-6 rls/cs-S 15482" u="1"/>
        <s v="CP 66L NAT-4in x 240yd-3 rls/cs-H 65326.72" u="1"/>
        <s v="HP 200 CLR-48mm x 914m-6 rls/cs-S 8279.89" u="1"/>
        <s v="HP 200 CLR-48mm x 914m-6 rls/cs-S 7213.53" u="1"/>
        <s v="CP 105 NAT-18mm x 55m-48 rls/cs-S 24223.77" u="1"/>
        <s v="HP 100 CLR-72mm x 1500m-4 rls/cs-H/T 55933.44" u="1"/>
        <s v="HP 200 BLU-48mm x 914m-6 rls/cs-H 4382.53" u="1"/>
        <s v="HM 016 CLR-48mm x 100m-36 rls/cs-S 1686.12" u="1"/>
        <s v="HP 100  EZ 53mm x 100m CLR-36 rls/cs-H/A 1881.79" u="1"/>
        <s v="AP 101 CLR-48mm x 100m-36 rls/cs-S 117" u="1"/>
        <s v="HP 100 CLR-72mm x 914m-4 rls/cs-S 10594.84" u="1"/>
        <s v="HP 500 CLR-72mm x 914m-4 rls/cs-S 1001854.63" u="1"/>
        <s v="HP 200 CLR-53mm x 1371m-6 rls/cs-H 36239.46" u="1"/>
        <s v="SD 932, PISTOL GRIP TAPE DISP. ECONOMY-S 71" u="1"/>
        <s v="CP 105 NAT-12mm x 55m-72 rls/cs-H 145.41" u="1"/>
        <s v="HP 200 CLR-48mm x 914m-6 rls/cs-S 5025.23" u="1"/>
        <s v="HP 200 ORG-48mm x 914m-6 rls/cs-H 1418.47" u="1"/>
        <s v="Shaft, Mandrel 23STD - 49-012 62.25" u="1"/>
        <s v="HP 200 CLR-48mm x 914m-6 rls/cs-S 280.13" u="1"/>
        <s v="AP 201 CLR-48mm x 100m-36 rls/cs-H/A 35048.4" u="1"/>
        <s v="HP 100 CLR-72mm x 100m-24 rls/cs-S 16308.87" u="1"/>
        <s v="HP 235 CLR-72mm x 1371m-4 rls/cs-H 52989.35" u="1"/>
        <s v="CP 106 NAT-18mm x 55m-48 rls/cs-S 1235.52" u="1"/>
        <s v="HP 235 CLR-72mm x 914m-4 rls/cs-H 6319.33" u="1"/>
        <s v="SD 937  Bag Sealer MetalDisp-9MM Rol-H/A 16.62" u="1"/>
        <s v="HP 100 CLR-72mm x 1371m-4 rls/cs-H/T 10925.8" u="1"/>
        <s v="HP 200 CLR-48mm x 914m-6 rls/cs-S 6084.45" u="1"/>
        <s v="HP 400 CLR-48mm x 914m-6 rls/cs-H/A 21230.03" u="1"/>
        <s v="HP 200 CLR-72mm x 914m-4 rls/cs-S 1045.44" u="1"/>
        <s v="HP 100 CLR-53mm x 1500m-6 rls/cs-S 38285.91" u="1"/>
        <s v="HP 100 CLR-48mm x 1371m-6 rls/cs- S 22692.71" u="1"/>
        <s v="HP 200 CLR-48mm x 914m-6 rls/cs-S 35001.33" u="1"/>
        <s v="HP 200 CLR-48mm x 1371m-6 rls/cs-S 56620.57" u="1"/>
        <s v="SD 934  PISTOL GRIP TAPE DISPNSR PREM.-S 18.26" u="1"/>
        <s v="HP 200 CLR-48mm x 100m-36 rls/cs-S 8991.25" u="1"/>
        <s v="CP 66L NAT-4in x 240yd-3 rls/cs-H 27728.86" u="1"/>
        <s v="HP 500 TAN-48mm x 50m-36 rls/cs-H 4956.81" u="1"/>
        <s v="HP 100 CLR-72mm x 914m-4 rls/cs-S 18445.36" u="1"/>
        <s v="HP 200 CLR-48mm x 914m-6 rls/cs-S 14387.63" u="1"/>
        <s v="AP 101 CLR-48mm x 100m-36 rls/cs-S 5153.54" u="1"/>
        <s v="GS 490 WHI-18mm x 55m-48 rls/cs-H/A 2405" u="1"/>
        <s v="HP 200 BLU-48mm x 914m-6 rls/cs-H 769.23" u="1"/>
        <s v="HP 500 CLR-72mm x 914m-4 rls/cs-S 191013.3" u="1"/>
        <s v="AP 101 CLR-48mm x 100m-36 rls/cs-S 708.88" u="1"/>
        <s v="FP 097 KFT-72mm x 55m-16 rls/cs-H/A 815.44" u="1"/>
        <s v="SD 932, PISTOL GRIP TAPE DISP. ECONOMY-S 163.35" u="1"/>
        <s v="HP 100 CLR-48mm x 914m-6 rls/cs-S 15585.6" u="1"/>
        <s v="HP 300 CLR-48mm x 50m-36 rls/cs-H 9103.17" u="1"/>
        <s v="HP 400 CLR-72mm x 914m-4 rls/cs-H/A 3662.06" u="1"/>
        <s v="CP 106 NAT-48mm x 55m-24 rls/cs-S 5179.68" u="1"/>
        <s v="CP 101 NAT-18mm x 55m-48 rls/cs-H/T 114.05" u="1"/>
        <s v="FP 115 BRN-48mm x 55m-24 rls/cs-H 266.59" u="1"/>
        <s v="SD 934  PISTOL GRIP TAPE DISPNSR PREM.-S 109.53" u="1"/>
        <s v="SD 935, PISTOL GRIP DISPNSR-3 IN. ROLL-S 22.29" u="1"/>
        <s v="HP 100 CLR-48mm x 1371m-6 rls/cs- S 6368.16" u="1"/>
        <s v="HP 200 CLR-48mm x 914m-6 rls/cs-S 359" u="1"/>
        <s v="HP 200 CLR-48mm x 200m-36 rls/cs-H 1086.31" u="1"/>
        <s v="HP 100 CLR-72mm x 100m-24 rls/cs-S 5431.53" u="1"/>
        <s v="HP 100 CLR-48mm x 100m-36 rls/cs-S 32002.24" u="1"/>
        <s v="AP 180 CLR-72mm x 100m-24 rls/cs-H/A 4234.04" u="1"/>
        <s v="WP 100 NAT-70mmx138m(450ft)-10rls/cs-H/A 2945.26" u="1"/>
        <s v="HP 200 TAN-72mm x 100m-24 rls/cs-H/A " u="1"/>
        <s v="HP 100 CLR-48mm x 100m-36 rls/cs-S 3016.57" u="1"/>
        <s v="CP 650 NAT-18mm  *DO NOT USE* 817.34" u="1"/>
        <s v="GS 521 WHI-18mm x 55m-48 rls/cs-H 213.84" u="1"/>
        <s v="WP 100 NAT-70mm x 153m(500ft)-6 rls/cs-H 426.49" u="1"/>
        <s v="AP 101 CLR-48mm x 914m-6 rls/cs-S " u="1"/>
        <s v="AP 401 CLR-48mm x 100m-36 rls/cs-H/A 436.59" u="1"/>
        <s v="HP 200 BLU-48mm x 914m-6 rls/cs-H 845.26" u="1"/>
        <s v="HP 200 CLR-48mm x 1371m-6 rls/cs-S 98229.53" u="1"/>
        <s v="HP 235 CLR-72mm x 914m-4 rls/cs-H 8358.77" u="1"/>
        <s v="AP 201 CLR-48mm x 914m-6 rls/cs-H/A 2278.7" u="1"/>
        <s v="HP 200 RED-48mm x 100m-36 rls/cs-H 3421" u="1"/>
        <s v="HP 232 CLR-48mm x 914m-6 rls/cs-H/A 3509.83" u="1"/>
        <s v="HP 100 CLR-72mm x 914m-4 rls/cs-S 2853.1" u="1"/>
        <s v="HP 200 CLR-72mm x 100m-24 rls/cs-S 11547.35" u="1"/>
        <s v="HM 018 CLR-48mm x 100m-36 rls/cs-S 4212.65" u="1"/>
        <s v="HP 100 CLR-48mm x 100m-36 rls/cs-S 6351.05" u="1"/>
        <s v="SD 934, PISTOL GRIP TAPE DISPNSR PREM.-S 38.05" u="1"/>
        <s v="GS 500 CLR-24mm x 55m-36 rls/cs-H/A " u="1"/>
        <s v="HP 100 CLR-53mm x 1500m-6 rls/cs-S 6473.71" u="1"/>
        <s v="HP 200 WHI-72mm x 100m-24 rls/cs-NS 7076.2" u="1"/>
        <s v="HP 400 CLR-48mm x 914m-6 rls/cs-H/A 1545.83" u="1"/>
        <s v="HP 200 CLR-48mm x 914m-6 rls/cs-S 15932.52" u="1"/>
        <s v="HP 100 CLR-72mm x 914m-4 rls/cs-S 1681.02" u="1"/>
        <s v="SD 934, PISTOL GRIP TAPE DISPNSR PREM.-S 402.92" u="1"/>
        <s v="HP 200 CLR-48mm x 100m-36 rls/cs-S 5376.67" u="1"/>
        <s v="GS 500 WHI-48mm x 55m-24 rls/cs-H/A 4505.36" u="1"/>
        <s v="GS 490 CLR-48mm x 55m-24 rls/cs-H/A 308.88" u="1"/>
        <s v="HP 500 CLR-72mm x 914m-4 rls/cs-S 281652.9" u="1"/>
        <s v="HP 500 CLR-72mm x 50m-24 rls/cs-H/A 45105.99" u="1"/>
        <s v="HP 200 CLR-48mm x 914m-6 rls/cs-S 9603.79" u="1"/>
        <s v="HP 200 RED-48mm x 914m-6 rls/cs-H 474.96" u="1"/>
        <s v="HP 200 WHI-48mm x 100m-36 rls/cs-H 1190.36" u="1"/>
        <s v="HP 200 CLR-48mm x 100m-36 rls/cs-S 18079.81" u="1"/>
        <s v="FP 097 KFT-18mm *DO NOT USE* 804.04" u="1"/>
        <s v="WP 150 K SUNDWN 70MMX138M-10rl/cs-NS " u="1"/>
        <s v="HP 200 CLR-48mm x 100m-36 rls/cs-S 10435.38" u="1"/>
        <s v="PC 006 SIL-48mm x 55m-24 rls/cs-X 342.14" u="1"/>
        <s v="FP 115 BRN-72mm x 55m-16 rls/cs-H 1163.28" u="1"/>
        <s v="HP 200 CLR-72mm x 914m-4 rls/cs-S 83696.08" u="1"/>
        <s v="HP 132 CLR-48mm x 914m-6 rls/cs-H/T 83944" u="1"/>
        <s v="PC 745 MSL-48mm x 35yd-6 rls/cs-H " u="1"/>
        <s v="HP 100 CLR-48mm x 100m-36 rls/cs-S 3986.34" u="1"/>
        <s v="HP 100 CLR-48mm x 100m-36 rls/cs-S 16615.39" u="1"/>
        <s v="DP 380 GLA-24mm x 50m-36 rls/cs-H 122.25" u="1"/>
        <s v="HP 100 CLR-48mm x 1371m-6 rls/cs- S 30437.98" u="1"/>
        <s v="GS 490 CLR-18mm x 55m-48 rls/cs-H/A " u="1"/>
        <s v="CP 106 NAT-72mm x 55m-16 rls/cs-S 26141.72" u="1"/>
        <s v="HP 100 TAN-48mm x 100m-36 rls/cs-S 7945" u="1"/>
        <s v="HP 100 CLR-48mm x 1371m-6 rls/cs- S 44234.94" u="1"/>
        <s v="HP 200 CLR-48mm x 914m-6 rls/cs-S 15242.52" u="1"/>
        <s v="HP 100 CLR-48mm x 100m-36 rls/cs-S 14718.24" u="1"/>
        <s v="HP 100 CLR-72mm x 1500m-4 rls/cs-H/T 9383.3" u="1"/>
        <s v="CP 066 NAT-12mm x 55m-72 rls/cs- H " u="1"/>
        <s v="HM 018 CLR-48mm x 1500m-6 rls/cs-NS " u="1"/>
        <s v="HP 200 CLR-48mm x 1371m-6 rls/cs-S 14697.94" u="1"/>
        <s v="HP 200 CLR-48mm x 914m-6 rls/cs-S 21431.53" u="1"/>
        <s v="FP 097 KFT-48mm x 55m-24 rls/cs-H/A 3953.66" u="1"/>
        <s v="PE 444 RED- 48mm X 55m- 24 rls/cs-H/A 1306.56" u="1"/>
        <s v="DP 380 GLA-48mm x 50m-24 rls/cs-H 282" u="1"/>
        <s v="HP 235 CLR-72mm x 914m-4 rls/cs-H 5178.1" u="1"/>
        <s v="HP 100 CLR-72mm x 100m-24 rls/cs-S 2936.74" u="1"/>
        <s v="FP 097 KFT-72mm x 55m-16 rls/cs-H 494.2" u="1"/>
        <s v="CP 106 NAT-24mm x 55m-36 rls/cs-S 313.64" u="1"/>
        <s v="HP 500 CLR-72mm x 914m-4 rls/cs-S 105619.83" u="1"/>
        <s v="WP 100 NAT-72mmx138m(450ft)-10rls/cs-H/A 165.03" u="1"/>
        <s v="GS 490 WHI-18mm x 55m-48 rls/cs-H/A 969.4" u="1"/>
        <s v="PC 600 SIL-72mm x 55m-16 rls/cs-H 271.5" u="1"/>
        <s v="HP 200 CLR-48mm x 100m-36 rls/cs-S 1079.9" u="1"/>
        <s v="HP 200 CLR-48mm x 100m-36 rls/cs-S 16422.88" u="1"/>
        <s v="HP 200 GRN-48mm x 914m-6 rls/cs-H/A 381.17" u="1"/>
        <s v="HP 300 CLR-48mm x 100m-36 rls/cs-H/A 4062.96" u="1"/>
        <s v="HP 100 CLR-72mm x 1371m-4 rls/cs-H/T 2901.1" u="1"/>
        <s v="HP 100 CLR-48mm x 1371m-6 rls/cs- S 23590.83" u="1"/>
        <s v="GS 490 WHI-48mm x 55m-24 rls/cs-H/A 2353.65" u="1"/>
        <s v="HP 200 CLR-48mm x 100m-36 rls/cs-S 1889" u="1"/>
        <s v="FP 097 KFT-72mm x 55m-16 rls/cs-H/A 2648.42" u="1"/>
        <s v="HP 100 CLR-48mm x 1371m-6 rls/cs- S 2580.34" u="1"/>
        <s v="HP 300 CLR-48mm x 914m-6 rls/cs-H 1782.95" u="1"/>
        <s v="HP 200 CLR-48mm x 100m-36 rls/cs-S 6661.84" u="1"/>
        <s v="HP 200 CLR-72mm x 100m-24 rls/cs-S 2046.23" u="1"/>
        <s v="HP 500 CLR-72mm x 50m-24 rls/cs-H/A 18229.86" u="1"/>
        <s v="HP 100 CLR-53mm x 1500m-6 rls/cs-S 3998.81" u="1"/>
        <s v="AP 101 CLR-48mm x 100m-36 rls/cs-S 983.66" u="1"/>
        <s v="HP 100 CLR-53mm x 1500m-6 rls/cs-S 15736.49" u="1"/>
        <s v="AP 201 CLR-72mm x 100m-24 rls/cs-H/A 2359.84" u="1"/>
        <s v="CP 106 NAT-24mm x 55m-36 rls/cs-S 342.14" u="1"/>
        <s v="HP 100 CLR-72mm x 100m-24 rls/cs-S 2946.24" u="1"/>
        <s v="HP 500 CLR-72mm x 914m-4 rls/cs-S 406659.5" u="1"/>
        <s v="HP 200 WHI-72mm x 100m-24 rls/cs-NS 7709.64" u="1"/>
        <s v="AP 201 TAN-48mm x 100m-36 rls/cs-H 3849.12" u="1"/>
        <s v="HP 200 CLR-72mm x 914m-4 rls/cs-S 77997.48" u="1"/>
        <s v="CP 106 NAT-24mm x 55m-36 rls/cs-S 57" u="1"/>
        <s v="HP 100 CLR-48mm x 100m-36 rls/cs-S 6351.06" u="1"/>
        <s v="HP 232 CLR-48mm x 1371m-6 rls/cs-H/T 20849.4" u="1"/>
        <s v="HP 200 CLR-72mm x 914m-4 rls/cs-S 10754.37" u="1"/>
        <s v="GS 521 WHI-18mm x 55m-48 rls/cs-H 220.49" u="1"/>
        <s v="PP 808 RED- 9MM X 165M- 96 RLS/CS-H/A " u="1"/>
        <s v="CP 225 GLD-18mm x 55m-64 rls/cs-H " u="1"/>
        <s v="PC 009 SIL-48mm x 55m-24 rls/cs-H/A " u="1"/>
        <s v="HP 100 CLR-48mm x 914m-6 rls/cs-S 7039.63" u="1"/>
        <s v="HM 014 CLR-48mm x 100m-36 rls/cs-S 4490.64" u="1"/>
        <s v="HP 200 CLR-48mm x 100m-36 rls/cs-S 1706.44" u="1"/>
        <s v="AP 180 CLR-72mm x 100m-24 rls/cs-H/A 5132.16" u="1"/>
        <s v="HP 232 CLR-72mm x 914m-4 rls/cs-H/A 27285.99" u="1"/>
        <s v="CP 106 NAT-36mm x 55m-24 rls/cs-S 176.77" u="1"/>
        <s v="AP 180 CLR-48mm x 100m-36 rls/cs-H/A 1779.15" u="1"/>
        <s v="SD 934, PISTOL GRIP TAPE DISPNSR PREM.-S 48.35" u="1"/>
        <s v="HM 014 CLR-48mm x 100m-36 rls/cs-S 1625.18" u="1"/>
        <s v="HP 300 CLR-48mm x 100m-36 rls/cs-H/A 1676.51" u="1"/>
        <s v="HP 240 TK SECURITY-72mmx100m-24rls/cs-H 2983.78" u="1"/>
        <s v="WP 100 NAT-70mmx138m(450ft)-10rls/cs-H/A 192.55" u="1"/>
        <s v="HP 100 CLR-53mm x 1500m-6 rls/cs-S 81207.63" u="1"/>
        <s v="HP 132 CLR-53mm x1500m-6 rls/cs- S 795" u="1"/>
        <s v="HP 100 CLR-72mm x 100m-24 rls/cs-S 14653" u="1"/>
        <s v="HP 100 CLR-48mm x 1828m-6 rls/cs-S 27542.6" u="1"/>
        <s v="HP 300 CLR-48mm x 100m-36 rls/cs-H/A 851.79" u="1"/>
        <s v="GS 490 CLR-48mm x 55m-24 rls/cs-H/A 13519.44" u="1"/>
        <s v="HP 100 CLR-53mm x 1500m-6 rls/cs-S 11393.4" u="1"/>
        <s v="HP 100 CLR-72mm x 100m-24 rls/cs-S 25318.64" u="1"/>
        <s v="CP 631 RED-18mm x 55m-48 rls/cs-H 971.31" u="1"/>
        <s v="HP 200 CLR-72mm x 1371m-4 rls/cs-S 22920.8" u="1"/>
        <s v="HP 200 CLR-72mm x 914m-4 rls/cs-S 1819.07" u="1"/>
        <s v="GS 490 CLR-48mm x 55m-24 rls/cs-H/A 6237" u="1"/>
        <s v="HP 200 CLR-72mm x 1828m-4 rls/cs-H " u="1"/>
        <s v="GS 490 CLR-24mm x 55m-36 rls/cs-H/A 694.98" u="1"/>
        <s v="HP 200 CLR-72mm x 914m-4 rls/cs-S 10124.59" u="1"/>
        <s v="HP 100 CLR-48mm x 100m-36 rls/cs-S 4661.72" u="1"/>
        <s v="SD 935  PISTOL GRIP DISPNSR-3 IN. ROLL-S 0" u="1"/>
        <s v="HP 400 CLR-72mm x 50m-24 rls/cs-H 82.21" u="1"/>
        <s v="FP 097 KFT-72mm x 55m-16 rls/cs-H/A 615.86" u="1"/>
        <s v="HP 500 CLR-72mm x 914m-4 rls/cs-S 22004.13" u="1"/>
        <s v="PC 600 SIL-72mm  *DO NOT USE* 196.42" u="1"/>
        <s v="HM 016 CLR-72mm x 100m-24 rls/cs-H/A 1188" u="1"/>
        <s v="HP 200 GRN-48mm x 914m-6 rls/cs-H/A 1581.88" u="1"/>
        <s v="AP 180 CLR-48mm x 100m-36 rls/cs-H/A 2998.04" u="1"/>
        <s v="WP 150 BLU COMPND 70mmx138m-10rl/cs " u="1"/>
        <s v="AP 180 CLR-48mm x 1371m-6 rls/cs-H 1616.63" u="1"/>
        <s v="AP 180 CLR-72mm x 100m-24 rls/cs-H/A 752.72" u="1"/>
        <s v="HP 200 CLR-72mm x 1371m-4 rls/cs-S 35536.09" u="1"/>
        <s v="HP 300 CLR-48mm x 50m-36 rls/cs-H " u="1"/>
        <s v="CT 109 NAT- 12MM X 66M- 144 RLS/CS-H 444.79" u="1"/>
        <s v="HP 200 CLR-48mm x 100m-36 rls/cs-S 4071.51" u="1"/>
        <s v="HP 200 CLR-48mm x 100m-36 rls/cs-S 8981.28" u="1"/>
        <s v="HP 200 CLR-48mm x 1371m-6 rls/cs-S 1787.7" u="1"/>
        <s v="HP 100 CLR-72mm x 100m-24 rls/cs-S 3621.02" u="1"/>
        <s v="HP 200 CLR-48mm x 100m-36 rls/cs-S 4011.64" u="1"/>
        <s v="AP 180 CLR-48mm x 914m-6 rls/cs-H/A 10015.38" u="1"/>
        <s v="DT 200 GLA-*DO NOT USE* " u="1"/>
        <s v="HP 300 CLR-48mm x 1371m-6 rls/cs-H/A 5445.67" u="1"/>
        <s v="HP 200 CLR-48mm x 100m-36 rls/cs-S 4531.63" u="1"/>
        <s v="HP 200 CLR-48mm x 1828m-6 rls/cs-S 74805.3" u="1"/>
        <s v="HP 100 CLR-72mm x 914m-4 rls/cs-S 2297.4" u="1"/>
        <s v="HP 200 CLR-72mm x 914m-4 rls/cs-S 522.72" u="1"/>
        <s v="CP 066 NAT-24mm x 55m-36 rls/cs-S 5410.16" u="1"/>
        <s v="HP 100 CLR-72mm x 914m-4 rls/cs-S 4482.73" u="1"/>
        <s v="HP 200 CLR-48mm x 914m-6 rls/cs-S 14677.96" u="1"/>
        <s v="GS 490 CLR-24mm x 55m-36 rls/cs-H/A 88.39" u="1"/>
        <s v="HP 100 CLR-53mm x 1500m-6 rls/cs-S 3528.36" u="1"/>
        <s v="HP 200 CLR-48mm x 1371m-6 rls/cs-S 51779.2" u="1"/>
        <s v="HP 200 TAN-72mm x 100m-24 rls/cs-H/A 1470.74" u="1"/>
        <s v="FP 097 KFT-4in x 60yd-12 rls/cs-H 280.14" u="1"/>
        <s v="HP 200 CLR-72mm x 914m-4 rls/cs-S 5837.82" u="1"/>
        <s v="HP 300 CLR-48mm x 914m-6 rls/cs-H 1955.81" u="1"/>
        <s v="HP 400 CLR-48mm x 50m-36 rls/cs-H 844.67" u="1"/>
        <s v="HP 100 CLR-72mm x 1500m-4 rls/cs-H/T 33035.46" u="1"/>
        <s v="DP 380 GLA-19mm x 50m-48 rls/cs-H 738.46" u="1"/>
        <s v="GS 490 CLR-18mm x 55m-48 rls/cs-H/A 2039.56" u="1"/>
        <s v="AP 180 CLR-48mm x 914m-6 rls/cs-H/A 32021.86" u="1"/>
        <s v="AP 180 CLR-48mm x 100m-36 rls/cs-H/A 0" u="1"/>
        <s v="GS 490 CLR-24mm x 55m-36 rls/cs-H/A 91.24" u="1"/>
        <s v="AP 401 CLR-48mm x 100m-36 rls/cs-H/A 6167.14" u="1"/>
        <s v="PC 009 BLK-48mm x 55m-24 rls/cs-H/A " u="1"/>
        <s v="CP 106 NAT-48mm x 55m-24 rls/cs-S 4558.14" u="1"/>
        <s v="CP 500 NAT-24mm x 55m-36 rls/cs-H 5003.84" u="1"/>
        <s v="PC 006 SIL-48mm x 55m-24 rls/cs-H/A 2218.96" u="1"/>
        <s v="AP 180 TAN-48mm x 100m-36 rls/cs-H 12498.24" u="1"/>
        <s v="FP 097 KFT-48mm x 50m-24 rls/cs-H 354.97" u="1"/>
        <s v="HP 500 CLR-72mm x 914m-4 rls/cs-S 22077.8" u="1"/>
        <s v="CP 450 NAT-36mm x 55m-24 rls/cs-H 20614.65" u="1"/>
        <s v="HP 200 CLR-48mm x 100m-36 rls/cs-S 2534" u="1"/>
        <s v="HP 200 CLR-48mm x 914m-6 rls/cs-S -111.67" u="1"/>
        <s v="HP 100 CLR-53mm x 1500m-6 rls/cs-S 22859.5" u="1"/>
        <s v="HP 232 CLR-48mm x 914m-6 rls/cs-H/A 7698.24" u="1"/>
        <s v="HP 100 CLR-48mm x 1371m-6 rls/cs- S 70207.95" u="1"/>
        <s v="HP 100 CLR-48mm x 1828m-6 rls/cs-S 2093.26" u="1"/>
        <s v="HP 200 CLR-48mm x 914m-6 rls/cs-S 70414.42" u="1"/>
        <s v="HP 400 CLR-72mm x 914m-4 rls/cs-H/A 4266.81" u="1"/>
        <s v="CP 106 NAT-24mm x 55m-36 rls/cs-S 667.19" u="1"/>
        <s v="AP 180 CLR-72mm x 1371m-4 rls/cs-H 2774.22" u="1"/>
        <s v="FP 097 KFT-72mm x 55m-16 rls/cs-H/A 955.15" u="1"/>
        <s v="CP 083 NAT-36mm x 55m-24 rls/cs-H/A " u="1"/>
        <s v="HP 200 CLR-48mm x 100m-36 rls/cs-S 4401.55" u="1"/>
        <s v="HP 100  EZ 53mm x 100m CLR-36 rls/cs-H/A 2117.02" u="1"/>
        <s v="HP 200 CLR-48mm x 914m-6 rls/cs-S 20156.78" u="1"/>
        <s v="HP 200 GRN-48mm x 914m-6 rls/cs-H/A 2637.36" u="1"/>
        <s v="WP 150 BLU APOQ 72mm x 138M - NS 12613.59" u="1"/>
        <s v="HP 200 CLR-72mm x 914m-4 rls/cs-S 4481.73" u="1"/>
        <s v="CT 109 NAT- 18MM X 66M- 96 RLS/CS-H 305.07" u="1"/>
        <s v="HP 100 CLR-48mm x 914m-6 rls/cs-S 10637.82" u="1"/>
        <s v="HP 200 CLR-72mm x 100m-24 rls/cs-S 19687.53" u="1"/>
        <s v="DF 545 BLU-48mm x 33m-24 rls/cs-H " u="1"/>
        <s v="HP 300 CLR-48mm x 914m-6 rls/cs-H 416.51" u="1"/>
        <s v="HP 500 CLR-72mm x 914m-4 rls/cs-S 22004.14" u="1"/>
        <s v="HM 014 CLR-72mm x 100m-24 rls/cs-S 1783" u="1"/>
        <s v="HP 235 CLR-72mm x 1371m-4 rls/cs-H 83617.06" u="1"/>
        <s v="HP 200 CLR-48mm x 1371m-6 rls/cs-H/A 17588.34" u="1"/>
        <s v="HP 100 CLR-48mm x 914m-6 rls/cs-S 1937" u="1"/>
        <s v="HP 100 TAN-48mm x 100m-36 rls/cs-S 6627.27" u="1"/>
        <s v="HP 200 CLR-48mm x 100m-36 rls/cs-S 6541.37" u="1"/>
        <s v="HP 200 CLR-72mm x 914m-4 rls/cs-S 1434.16" u="1"/>
        <s v="HP 200 CLR-48mm x 1371m-6 rls/cs-S 9045.42" u="1"/>
        <s v="HP 200 CLR-48mm x 1371m-6 rls/cs-S 4092.9" u="1"/>
        <s v="HP 100 TAN-48mm x 100m-36 rls/cs-S " u="1"/>
        <s v="HP 300 CLR-48mm x 1371m-6 rls/cs-H/A 68040.74" u="1"/>
        <s v="AP 180 CLR-72mm x 1371m-4 rls/cs-H 4214.79" u="1"/>
        <s v="GS 490 WHI-18mm x 55m-48 rls/cs-H/A 886.71" u="1"/>
        <s v="HP 200 CLR-48mm x 1371m-6 rls/cs-S 1244.43" u="1"/>
        <s v="HP 400 CLR-48mm x 50m-36 rls/cs-H " u="1"/>
        <s v="AP 180 CLR-72mm x 1371m-4 rls/cs-H 4574.76" u="1"/>
        <s v="HP 235 CLR-72mm x 100m-24 rls/cs-H 26245.06" u="1"/>
        <s v="HP 200 CLR-72mm x 1371m-4 rls/cs-S 189282.65" u="1"/>
        <s v="AP 201 CLR-48mm x 100m-36 rls/cs-H/A 4106" u="1"/>
        <s v="HP 100 CLR-53mm x 1500m-6 rls/cs-S 14284.51" u="1"/>
        <s v="HP 500 TAN-48mm x 50m-36 rls/cs-H 2547.54" u="1"/>
        <s v="HP 200 CLR-48mm x 914m-6 rls/cs-S 34136.49" u="1"/>
        <s v="AP 201 CLR-48mm x 100m-36 rls/cs-H/A 2074.25" u="1"/>
        <s v="HP 200 WHI-72mm x 914m-4 rls/cs-H 2516.18" u="1"/>
        <s v="HP 100 CLR-53mm x 1500m-6 rls/cs-S 9049.71" u="1"/>
        <s v="HP 100 CLR-48mm x 914m-6 rls/cs-S 9083.91" u="1"/>
        <s v="HP 300 CLR-72mm x 100m-24 RLS/CS-H 2816.98" u="1"/>
        <s v="CP 106 NAT-48mm x 55m-24 rls/cs-S 4769.09" u="1"/>
        <s v="SD 934  PISTOL GRIP TAPE DISPNSR PREM.-S 225.37" u="1"/>
        <s v="HP 200 CLR-48mm x 100m-36 rls/cs-S 3656.67" u="1"/>
        <s v="HP 100 CLR-53mm x 1500m-6 rls/cs-S 30418.75" u="1"/>
        <s v="HP 132 CLR-48mm x 100m-36 rls/cs-H " u="1"/>
        <s v="HP 400 TAN-48mm x 100m-36 rls/cs-H " u="1"/>
        <s v="HP 500 CLR-72mm x 914m-4 rls/cs-S 17603" u="1"/>
        <s v="HP 100 CLR-53mm x 1500m-6 rls/cs-S 6673.44" u="1"/>
        <s v="HP 100 CLR-72mm x 100m-24 rls/cs-S 3641.22" u="1"/>
        <s v="HP 100 CLR-48mm x 914m-6 rls/cs-S 224.29" u="1"/>
        <s v="HP 200 CLR-48mm x 100m-36 rls/cs-S 11064.81" u="1"/>
        <s v="HP 200 CLR-48mm x 1371m-6 rls/cs-S 2822.7" u="1"/>
        <s v="HP 200 CLR-48mm x 914m-6 rls/cs-S 9431.78" u="1"/>
        <s v="HP 200 RED-48mm x 914m-6 rls/cs-H 1334.11" u="1"/>
        <s v="HP 200 CLR-48mm x 1371m-6 rls/cs-S 19009.69" u="1"/>
        <s v="FP 097 KFT-72mm x 55m-16 rls/cs-H/A 3279.86" u="1"/>
        <s v="DP 050 CLR-48mm x 50m-24 rls/cs-H 7119.44" u="1"/>
        <s v="HP 300 CLR-48mm x 100m-36 rls/cs-H/A 1678.65" u="1"/>
        <s v="CP 105 NAT-18mm x 55m-48 rls/cs-S " u="1"/>
        <s v="CP 66L NAT-4in x 240yd-3 rls/cs-H 62950.49" u="1"/>
        <s v="HP 500 CLR-48mm x 50m-36 rls/cs-H/A 824.35" u="1"/>
        <s v="HP 232 CLR-48mm x 1371m-6 rls/cs-H/T 6949.8" u="1"/>
        <s v="HP 200 CLR-48mm x 914m-6 rls/cs-S 32366.84" u="1"/>
        <s v="CP 450 NAT-72mm x 55m-16 rls/cs-NS 15199.89" u="1"/>
        <s v="WP 100 NAT-70mm x 153m(500ft)-6 rls/cs-H 679.07" u="1"/>
        <s v="HP 200 CLR-48mm x 100m-36 rls/cs-S 2544.7" u="1"/>
        <s v="HP 200 CLR-72mm x 914m-4 rls/cs-S 1675.08" u="1"/>
        <s v="HP 100 CLR-48mm x 1371m-6 rls/cs- S 8142.31" u="1"/>
        <s v="HP 500 CLR-72mm x 914m-4 rls/cs-H/A 8397.75" u="1"/>
        <s v="FP 097 KFT-24mm x 55m-36 rls/cs-H 255.18" u="1"/>
        <s v="HP 200 CLR-48mm x 1828m-6 rls/cs-S 5829.05" u="1"/>
        <s v="HP 200 WHI-72mm x 100m-24 rls/cs-NS 2690.34" u="1"/>
        <s v="HP 200 CLR-72mm x 914m-4 rls/cs-H/A 11390.55" u="1"/>
        <s v="HP 200 CLR-72mm x 914m-4 rls/cs-S 558.36" u="1"/>
        <s v="HP 100 CLR-53mm x 1500m-6 rls/cs-S 100562.3" u="1"/>
        <s v="HM 018 CLR-48mm x 100m-36 rls/cs-S 613" u="1"/>
        <s v="TG 356 NAT- 19mm X 33m-48 rls/cs-H/T 795.48" u="1"/>
        <s v="HP 100 CLR-48mm x 100m-36 rls/cs-S 4221.56" u="1"/>
        <s v="HP 100 CLR-48mm x 1371m-6 rls/cs- S 19041.55" u="1"/>
        <s v="HP 200 CLR-48mm x 914m-6 rls/cs-S 49091.72" u="1"/>
        <s v="HP 500 CLR-72mm x 914m-4 rls/cs-S 383814.28" u="1"/>
        <s v="AP 401 CLR-48mm x 100m-36 rls/cs-H/A 138" u="1"/>
        <s v="GS 490 CLR-18mm x 55m-48 rls/cs-H/A 551.23" u="1"/>
        <s v="HP 200 CLR-72mm x 914m-4 rls/cs-H/A 1340.07" u="1"/>
        <s v="GS 490 WHI-48mm x 55m-24 rls/cs-H/A 10012.45" u="1"/>
        <s v="CP 083 NAT-6mm x 55m-144 rls/cs-H 139.71" u="1"/>
        <s v="CP 106 NAT-36mm x 55m-24 rls/cs-S 858.21" u="1"/>
        <s v="HP 800 CLR-48mm x 50m-36 rls/cs-H 1646.57" u="1"/>
        <s v="GS 490 CLR-12mm x 55m-72 rls/cs-H/A 727.06" u="1"/>
        <s v="HP 200 CLR-72mm x 100m-24 rls/cs-S 2376.94" u="1"/>
        <s v="HP 100 CLR-48mm x 914m-6 rls/cs-S 1909" u="1"/>
        <s v="CP 106 NAT-48mm x 55m-24 rls/cs-S 7390.78" u="1"/>
        <s v="CP 450 NAT-48mm x 55m-24 rls/cs-H 2346.3" u="1"/>
        <s v="FP 097 KFT-48mm x 50m-24 rls/cs-H 1597.38" u="1"/>
        <s v="HP 200 CLR-72mm x 914m-4 rls/cs-S 3244.67" u="1"/>
        <s v="HP 200 CLR-48mm x 1500m-6 rls/cs-H 7411.69" u="1"/>
        <s v="VP 410 RED-75mm x 33m-18 rls/cs-H 80.9" u="1"/>
        <s v="HP 300 CLR-48mm x 50m-36 rls/cs-H 2850.49" u="1"/>
        <s v="HP 500 CLR-48mm x 50m-36 rls/cs-H/A 274.43" u="1"/>
        <s v="HP 200 CLR-72mm x 914m-4 rls/cs-S 1066.35" u="1"/>
        <s v="HP 235 CLR-72mm x 1371m-4 rls/cs-H 115082.9" u="1"/>
        <s v="P- 628 BLK- 48mm x 50m- 24 RLS/CS-S 281.79" u="1"/>
        <s v="HP 200 CLR-48mm x 100m-36 rls/cs-S 20696.18" u="1"/>
        <s v="GS 490 WHI-72mm x 55m-12 rls/cs-H 133.06" u="1"/>
        <s v="VP 410 ORG- 50MM X 33M- 24 RLS/CS-H " u="1"/>
        <s v="HP 200 CLR-48mm x 100m-36 rls/cs-S 6821.49" u="1"/>
        <s v="HP 200 CLR-48mm x 100m-36 rls/cs-S 6361.77" u="1"/>
        <s v="HP 200 RED-48mm x 914m-6 rls/cs-H 934" u="1"/>
        <s v="HP 500 CLR-72mm x 914m-4 rls/cs-S 455369.43" u="1"/>
        <s v="HP 500 CLR-72mm x 914m-4 rls/cs-S 831756.32" u="1"/>
        <s v="FP 115 BRN-72mm x 55m-16 rls/cs-H 2149.49" u="1"/>
        <s v="CP 450 NAT-72mm x 55m-16 rls/cs-NS 776.8" u="1"/>
        <s v="FP 115 BRN-48mm x 55m-24 rls/cs-H 1587.16" u="1"/>
        <s v="HP 232 CLR-72mm x 914m-4 rls/cs-H/A 4939.7" u="1"/>
        <s v="HP 500 TAN-48mm x 50m-36 rls/cs-H 69.5" u="1"/>
        <s v="HP 100 CLR-53mm x 1500m-6 rls/cs-S 31909.2" u="1"/>
        <s v="HP 100 CLR-72mm x 100m-24 rls/cs-S 2426.38" u="1"/>
        <s v="HP 100 CLR-48mm x 1371m-6 rls/cs- S 1667.06" u="1"/>
        <s v="HP 200 CLR-72mm x 1371m-4 rls/cs-S 4982.47" u="1"/>
        <s v="AP 180 CLR-48mm x 100m-36 rls/cs-H/A 3575.39" u="1"/>
        <s v="HP 300 CLR-48mm x 914m-6 rls/cs-H 1561.92" u="1"/>
        <s v="HP 100 TAN-48mm x 914m-6 rls/cs-H 2819.83" u="1"/>
        <s v="HP 200 WHI-72mm x 914m-4 rls/cs-H 7924.91" u="1"/>
        <s v="AP 180 CLR-48mm x 1371m-6 rls/cs-H 10628.09" u="1"/>
        <s v="HP 200 CLR-72mm x 914m-4 rls/cs-S 2446.33" u="1"/>
        <s v="HP 500 CLR-72mm x 50m-24 rls/cs-H/A 30579.12" u="1"/>
        <s v="SD 935, PISTOL GRIP DISPNSR-3 IN. ROLL-S 1682.89" u="1"/>
        <s v="HP 200 CLR-72mm x 1371m-4 rls/cs-S 1897.47" u="1"/>
        <s v="HP 100 CLR-48mm x 100m-36 rls/cs-S 19688.26" u="1"/>
        <s v="HP 200 BLU-48mm x 914m-6 rls/cs-H 787.35" u="1"/>
        <s v="FP 097 KFT-4in x 60yd-12 rls/cs-H 75.32" u="1"/>
        <s v="FP 097 KFT-72mm x 55m-16 rls/cs-H 926.65" u="1"/>
        <s v="HP 500 CLR-72mm x 914m-4 rls/cs-S 1060599.34" u="1"/>
        <s v="AP 180 CLR-48mm x 1371m-6 rls/cs-H 8391.09" u="1"/>
        <s v="AP 101 CLR-48mm x 100m-36 rls/cs-S 116.9" u="1"/>
        <s v="HP 500 CLR-72mm x 50m-24 rls/cs-H/A 56510.78" u="1"/>
        <s v="HP 100 CLR-48mm x 1371m-6 rls/cs- S 15920.4" u="1"/>
        <s v="HP 232 CLR-72mm x 914m-4 rls/cs-H/A " u="1"/>
        <s v="HP 500 TAN-72mm x 914m-4 rls/cs-H/A " u="1"/>
        <s v="CP 105 NAT-48mm x 55m-24 rls/cs-S 632.97" u="1"/>
        <s v="CP 106 NAT-48mm x 55m-24 rls/cs-S 4338.1" u="1"/>
        <s v="HP 100 CLR-48mm x 914m-6 rls/cs-S 6451.06" u="1"/>
        <s v="HP 200 CLR-48mm x 100m-36 rls/cs-S 2501.93" u="1"/>
        <s v="HP 200 CLR-48mm x 914m-6 rls/cs-S 21251.16" u="1"/>
        <s v="CP 106 NAT-36mm x 55m-24 rls/cs-S 410.57" u="1"/>
        <s v="HP 200 CLR-48mm x 914m-6 rls/cs-S 5018.11" u="1"/>
        <s v="HP 200 CLR-48mm x 914m-6 rls/cs-S 5018.12" u="1"/>
        <s v="HP 200 CLR-48mm x 100m-36 rls/cs-S 18475.76" u="1"/>
        <s v="DP 380 GLA-48mm x 50m-24 rls/cs-H 269" u="1"/>
        <s v="HP 100 CLR-72mm x 914m-4 rls/cs-S 2241.37" u="1"/>
        <s v="HP 200 CLR-72mm x 100m-24 rls/cs-S 2656.36" u="1"/>
        <s v="HP 100 CLR-48mm x 100m-36 rls/cs-S 39474.86" u="1"/>
        <s v="GS 490 CLR-48mm x 55m-24 rls/cs-H/A 4456.43" u="1"/>
        <s v="HP 200 CLR-72mm x 914m-4 rls/cs-S 689.99" u="1"/>
        <s v="HP 100 CLR-53mm x 1500m-6 rls/cs-S 59172.37" u="1"/>
        <s v="HP 400 CLR-48mm x 50m-36 rls/cs-H 304.72" u="1"/>
        <s v="HP 300 CLR-72mm x 914m-4 rls/cs-H 3056.48" u="1"/>
        <s v="HP 500 CLR-72mm x 914m-4 rls/cs-S 228843.01" u="1"/>
        <s v="HP 200 GRN-48mm x 100m-36 r/c-H 89.81" u="1"/>
        <s v="HP 300 CLR-48mm x 100m-36 rls/cs-H/A 2127.71" u="1"/>
        <s v="HP 200 CLR-72mm x 1371m-4 rls/cs-S 461" u="1"/>
        <s v="HP 500 CLR-72mm x 914m-4 rls/cs-S 568871.44" u="1"/>
        <s v="PE 444 RED- 48mm X 55m- 24 rls/cs-H/A 223.34" u="1"/>
        <s v="CP 631 BLK-18mm x 55m-48 rls/cs-H 821.16" u="1"/>
        <s v="HP 100 CLR-72mm x 100m-24 rls/cs-S 12939.7" u="1"/>
        <s v="SD 934, PISTOL GRIP TAPE DISPNSR PREM.-S 483.51" u="1"/>
        <s v="HP 235 CLR-72mm x 1371m-4 rls/cs-H 43265.53" u="1"/>
        <s v="HP 300 CLR-48mm x 1371m-6 rls/cs-H/A 78725.49" u="1"/>
        <s v="GS 490 WHI-18mm x 55m-48 rls/cs-H/A 406.77" u="1"/>
        <s v="HM 016 CLR-72mm x 100m-24 rls/cs-H/A 7395.06" u="1"/>
        <s v="HP 100 CLR-72mm x 100m-24 rls/cs-S 5231.48" u="1"/>
        <s v="HP 200 CLR-48mm x 100m-36 rls/cs-S 9557.94" u="1"/>
        <s v="HP 235 CLR-72mm x 100m-24 rls/cs-H 4123.54" u="1"/>
        <s v="HP 200 CLR-72mm x 100m-24 rls/cs-S 10392.62" u="1"/>
        <s v="HP 200 CLR-48mm x 1371m-6 rls/cs-S 1244.55" u="1"/>
        <s v="HP 500 CLR-72mm x 914m-4 rls/cs-S 3088.83" u="1"/>
        <s v="HP 400 CLR-48mm x 914m-6 rls/cs-H/A 21230" u="1"/>
        <s v="HM 018 CLR-72mm x 100m-24 rls/cs-H/A 3820.6" u="1"/>
        <s v="HP 500 CLR-72mm x 914m-4 rls/cs-S 3678.55" u="1"/>
        <s v="HP 200 CLR-72mm x 914m-4 rls/cs-S 2680.13" u="1"/>
        <s v="CP 101 NAT-18mm x 55m-48 rls/cs-H/T 174.87" u="1"/>
        <s v="HP 200 CLR-48mm x 914m-6 rls/cs-S 20186.49" u="1"/>
        <s v="HP 200 CLR-48mm x 100m-36 rls/cs-S 20785.23" u="1"/>
        <s v="WP 100 NAT-70mm x 153m(500ft)-6 rls/cs-H 1157.7" u="1"/>
        <s v="CP 631 GRN-24mm x 55m-36 rls/cs-H 170.36" u="1"/>
        <s v="HP 100 CLR-72mm x 1371m-4 rls/cs-H/T 8322.65" u="1"/>
        <s v="HP 132 CLR-72mm x 100m-24 rls/cs-H 9260.7" u="1"/>
        <s v="HP 500 CLR-72mm x 914m-4 rls/cs-S 40213.32" u="1"/>
        <s v="HP 242 WR SECURITY-72mm x 914m-4rl/cs-NS 25353.9" u="1"/>
        <s v="HP 200 CLR-48mm x 914m-6 rls/cs-S 5269.02" u="1"/>
        <s v="HP 100 CLR-53mm x 1500m-6 rls/cs-S 21609.43" u="1"/>
        <s v="HP 100 CLR-48mm x 100m-36 rls/cs-S 9887.24" u="1"/>
        <s v="HP 800 CLR-48mm x 50m-36 rls/cs-H 154.32" u="1"/>
        <s v="HP 200 CLR-48mm x 1500m-6 rls/cs-H 2676.44" u="1"/>
        <s v="HP 200 CLR-48mm x 200m-36 rls/cs-H 0" u="1"/>
        <s v="GS 500 WHI-48mm x 55m-24 rls/cs-H/A 1989.18" u="1"/>
        <s v="WP 100 NAT-72mmx138m(450ft)-10rls/cs-H/A 267.8" u="1"/>
        <s v="HP 100 CLR-48mm x 914m-6 rls/cs-S 8074.6" u="1"/>
        <s v="AP 101 CLR-48mm x 100m-36 rls/cs-S 350.7" u="1"/>
        <s v="HP 100 CLR-48mm x 1828m-6 rls/cs-S 22068.3" u="1"/>
        <s v="HP 100 CLR-72mm x 1500m-4 rls/cs-H/T 63566.1" u="1"/>
        <s v="HP 100 CLR-48mm x 100m-36 rls/cs-S 15674.46" u="1"/>
        <s v="GS 490 WHI-18mm x 55m-48 rls/cs-H/A 136.86" u="1"/>
        <s v="FP 097 KFT-48mm x 55m-24 rls/cs-H/A 1786.75" u="1"/>
        <s v="CP 105 NAT-72mm x 55m-16 rls/cs-H 68.43" u="1"/>
        <s v="FP 097 KFT-4in x 60yd-12 rls/cs-H 136.62" u="1"/>
        <s v="CP 106 NAT-18mm x 55m-48 rls/cs-S 2828.39" u="1"/>
        <s v="HP 200 CLR-48mm x 100m-36 rls/cs-S 2194" u="1"/>
        <s v="GS 490 WHI-18mm x 55m-48 rls/cs-H/A 1003.64" u="1"/>
        <s v="HP 100 CLR-48mm x 100m-36 rls/cs-S 13343.62" u="1"/>
        <s v="HP 100 CLR-53mm x 1500m-6 rls/cs-S 13544.63" u="1"/>
        <s v="WP 100 NAT-72mmx138m(450ft)-10rls/cs-H/A 1529.55" u="1"/>
        <s v="HP 200 WHI-72mm x 100m-24 rls/cs-NS 4490.64" u="1"/>
        <s v="CP 631 BLK-48mm x 55m-24 rls/cs-H/T 548.86" u="1"/>
        <s v="HP 232 CLR-48mm x 100m-36 rls/cs-H/A 148.98" u="1"/>
        <s v="CP 027 BLU-48mm x 55m-24 rls/cs-S 692.6" u="1"/>
        <s v="HP 200 CLR-72mm x 100m-24 rls/cs-S 2416.39" u="1"/>
        <s v="AP 180 CLR-72mm x 100m-24 rls/cs-H/A 2566.08" u="1"/>
        <s v="CP 106 NAT-12mm x 55m-72 rls/cs-H/A " u="1"/>
        <s v="HP 200 CLR-48mm x 914m-6 rls/cs-S 6629.04" u="1"/>
        <s v="AP 180 CLR-48mm x 1371m-6 rls/cs-H 26601.71" u="1"/>
        <s v="FP 096 KFT-72mm x 55m-16 rls/cs-H 1257.38" u="1"/>
        <s v="HP 100 CLR-72mm x 914m-4 rls/cs-S 336.2" u="1"/>
        <s v="CP 106 NAT-48mm x 55m-24 rls/cs-S 14001.78" u="1"/>
        <s v="HP 132 CLR-48mm x 914m-6 rls/cs-H/T 3849.12" u="1"/>
        <s v="FP 097 KFT-48mm x 50m-24 rls/cs-H 230.95" u="1"/>
        <s v="HP 200 CLR-48mm x 914m-6 rls/cs-S 7098.54" u="1"/>
        <s v="HP 400 CLR-72mm x 100m-24 rls/cs-H/A 2594.59" u="1"/>
        <s v="HP 100 CLR-53mm x 1500m-6 rls/cs-S 4373.03" u="1"/>
        <s v="HP 100 CLR-48mm x 1371m-6 rls/cs- S 13625.88" u="1"/>
        <s v="HP 100 CLR-48mm x 1371m-6 rls/cs- S 17681.71" u="1"/>
        <s v="HP 200 CLR-72mm x 914m-4 rls/cs-H/A 5360.26" u="1"/>
        <s v="HP 240 CR STOP-48mm x 914m-6 rls/cs-H 8270.26" u="1"/>
        <s v="CP 106 NAT-48mm x 55m-24 rls/cs-S 81.26" u="1"/>
        <s v="GS 490 WHI-18mm x 55m-48 rls/cs-H/A 406.78" u="1"/>
        <s v="HP 232 CLR-48mm x 1371m-6 rls/cs-H/T 41698.79" u="1"/>
        <s v="SD 932/934/936  BLADE - P103B 34.45" u="1"/>
        <s v="HP 400 CLR-72mm x 914m-4 rls/cs-H/A 5329.29" u="1"/>
        <s v="HP 100 CLR-72mm x 100m-24 rls/cs-S 32589.19" u="1"/>
        <s v="HP 200 CLR-48mm x 1500m-6 rls/cs-H 64673.76" u="1"/>
        <s v="FP 097 KFT-4in x 60yd-12 rls/cs-H 212" u="1"/>
        <s v="HP 200 CLR-48mm x 1371m-6 rls/cs-S 124854.77" u="1"/>
        <s v="HP 100 TAN-48mm x 914m-6 rls/cs-H 2685.83" u="1"/>
        <s v="HP 100 CLR-48mm x 914m-6 rls/cs-S 7293.37" u="1"/>
        <s v="HP 100 CLR-72mm x 100m-24 rls/cs-S 2246.49" u="1"/>
        <s v="HP 100 CLR-53mm x 1500m-6 rls/cs-S 15191.2" u="1"/>
        <s v="HP 100 CLR-48mm x 100m-36 rls/cs-S 8225.7" u="1"/>
        <s v="FP 097 KFT-18mm x 55m-48 rls/cs-X 382.05" u="1"/>
        <s v="HP 100 CLR-72mm x 100m-24 rls/cs-S 36837.5" u="1"/>
        <s v="HP 300 CLR-48mm x 100m-36 rls/cs-H/A 3613.9" u="1"/>
        <s v="GS 490 WHI-48mm x 55m-24 rls/cs-H/A 513.22" u="1"/>
        <s v="HP 100 CLR-53mm x 1500m-6 rls/cs-S 14879.82" u="1"/>
        <s v="HP 100 CLR-72mm x 100m-24 rls/cs-S 8177.23" u="1"/>
        <s v="GS 490 WHI-48mm x 55m-24 rls/cs-H/A 5646.56" u="1"/>
        <s v="AP 201 CLR-72mm x 100m-24 rls/cs-H/A 1389.96" u="1"/>
        <s v="HP 232 CLR-48mm x 914m-6 rls/cs-H/A 7698" u="1"/>
        <s v="HP 300 CLR-48mm x 50m-36 rls/cs-H 2865.46" u="1"/>
        <s v="HP 200 WHI-48mm x 914m-6 rls/cs-H 1600.95" u="1"/>
        <s v="FP 097 KFT-72mm x 55m-16 rls/cs-H/A 1376.8" u="1"/>
        <s v="PS 748 NAT-18mm x 55m-96 rls/cs-H 214.8" u="1"/>
        <s v="HP 500 CLR-72mm x 914m-4 rls/cs-S 4062.96" u="1"/>
        <s v="HP 400 CLR-48mm x 914m-6 rls/cs-H/A 4067.48" u="1"/>
        <s v="FP 097 KFT-48mm x 50m-24 rls/cs-H 538.87" u="1"/>
        <s v="HP 500 CLR-48mm x 914m-6 rls/cs-H 2510" u="1"/>
        <s v="SD 935  PISTOL GRIP DISPNSR-3 IN. ROLL-S 58.51" u="1"/>
        <s v="HP 200 YEL-48mm x 100m-36 rls/cs-H 359.25" u="1"/>
        <s v="HP 200 CLR-48mm x 1371m-6 rls/cs-S 376.36" u="1"/>
        <s v="HM 014 CLR-48mm x 100m-36 rls/cs-S 11376.26" u="1"/>
        <s v="CP 106 NAT-12mm x 55m-72 rls/cs-H/A 0" u="1"/>
        <s v="HP 200 CLR-48mm x 914m-6 rls/cs-S 9220.78" u="1"/>
        <s v="HP 200 CLR-48mm x 1828m-6 rls/cs-S 8814.48" u="1"/>
        <s v="HP 200 CLR-72mm x 1371m-4 rls/cs-S 11643.58" u="1"/>
        <s v="HP 100 CLR-48mm x 100m-36 rls/cs-S 13703.54" u="1"/>
        <s v="HP 200 CLR-48mm x 100m-36 rls/cs-S 13123.73" u="1"/>
        <s v="HP 200 CLR-48mm x 1371m-6 rls/cs-S 1994.24" u="1"/>
        <s v="HP 100 CLR-48mm x 100m-36 rls/cs-S 0" u="1"/>
        <s v="HP 100 CLR-72mm x 100m-24 rls/cs-S 14692.72" u="1"/>
        <s v="HP 200 CLR-48mm x 914m-6 rls/cs-S 38197.51" u="1"/>
        <s v="SD 935, PISTOL GRIP DISPNSR-3 IN. ROLL-S 133.76" u="1"/>
        <s v="HP 200 WHI-48mm x 914m-6 rls/cs-H 1888.92" u="1"/>
        <s v="AP 201 TAN-72mm x 100m-24 rls/cs-H 962.28" u="1"/>
        <s v="HP 232 CLR-72mm x 914m-4 rls/cs-H/A 17171.34" u="1"/>
        <s v="HP 200 YEL-48mm x 914m-6 rls/cs-H 0" u="1"/>
        <s v="JLAR CLR-1in x 72yd-3&quot;ID SC 72 rls/cs-H 493.98" u="1"/>
        <s v="HP 200 CLR-72mm x 914m-4 rls/cs-H/A 4187.7" u="1"/>
        <s v="SD 934, PISTOL GRIP TAPE DISPNSR PREM.-S 33.82" u="1"/>
        <s v="CP 083 NAT-48mm x 55m-24 rls/cs-S 412.48" u="1"/>
        <s v="HP 200 ORG-48mm x 914m-6 rls/cs-H 1470.15" u="1"/>
        <s v="HP 100 TAN-48mm x 100m-36 rls/cs-S 6800.1" u="1"/>
        <s v="HP 500 CLR-72mm x 914m-4 rls/cs-H/A 4062.96" u="1"/>
        <s v="DP 050 CLR-48mm x 50m-24 rls/cs-H 8730.11" u="1"/>
        <s v="HP 200 CLR-48mm x 100m-36 rls/cs-S 5307.51" u="1"/>
        <s v="GS 490 CLR-18mm x 55m-48 rls/cs-H/A 611.58" u="1"/>
        <s v="HP 200 WHI-48mm x 914m-6 rls/cs-H 944.46" u="1"/>
        <s v="AP 301 CLR-48mm x 100m-36 rls/cs-H 121.89" u="1"/>
        <s v="HP 100 CLR-48mm x 914m-6 rls/cs-S 13372.14" u="1"/>
        <s v="HP 500 CLR-72mm x 914m-4 rls/cs-S 263416.73" u="1"/>
        <s v="HP 100 CLR-53mm x 1500m-6 rls/cs-S 14892.3" u="1"/>
        <s v="HP 100 CLR-72mm x 100m-24 rls/cs-S 8867.24" u="1"/>
        <s v="HP 200 CLR-48mm x 100m-36 rls/cs-S 9237.87" u="1"/>
        <s v="CP 106 NAT-18mm x 55m-48 rls/cs-S 898.13" u="1"/>
        <s v="HP 200 CLR-48mm x 914m-6 rls/cs-S 8672.32" u="1"/>
        <s v="HP 235 CLR-72mm x 100m-24 rls/cs-H 809.74" u="1"/>
        <s v="AF 075 SIL-1in x 60yd-36 rls/cs-H 0" u="1"/>
        <s v="HP 200 CLR-72mm x 1371m-4 rls/cs-S 2882.56" u="1"/>
        <s v="SD 934, PISTOL GRIP TAPE DISPNSR PREM.-S 141.03" u="1"/>
        <s v="02046 SPARE SPRING FOR ALL FE/FT DISP " u="1"/>
        <s v="HP 100 CLR-72mm x 914m-4 rls/cs-S 15883" u="1"/>
        <s v="HP 100 CLR-72mm x 914m-4 rls/cs-S 5273.93" u="1"/>
        <s v="HP 800 CLR-48mm x 50m-36 rls/cs-H " u="1"/>
        <s v="HP 100 CLR-53mm x 1500m-6 rls/cs-S 40958.9" u="1"/>
        <s v="HP 500 CLR-72mm x 914m-4 rls/cs-S 610285.11" u="1"/>
        <s v="HP 100 CLR-72mm x 100m-24 rls/cs-S 2466.29" u="1"/>
        <s v="AP 201 CLR-48mm x 100m-36 rls/cs-H/A 38.49" u="1"/>
        <s v="HM 016 CLR-48mm  *DO NOT USE* 2133.42" u="1"/>
        <s v="AP 201 CLR-48mm x 100m-36 rls/cs-H/A 16521.28" u="1"/>
        <s v="SD 935, PISTOL GRIP DISPNSR-3 IN. ROLL-S 58.51" u="1"/>
        <s v="AP 101 CLR-48mm x 100m-36 rls/cs-S 9034.74" u="1"/>
        <s v="HP 200 WHI-72mm x 100m-24 rls/cs-NS 4276.8" u="1"/>
        <s v="VP 410 DBL-75mm x 33m-18 rls/cs-H 80.9" u="1"/>
        <s v="HP 100 CLR-53mm x 1500m-6 rls/cs-S 22196.59" u="1"/>
        <s v="AP 101 CLR-48mm x 100m-36 rls/cs-S 168.94" u="1"/>
        <s v="VP 410 BLK- 50MM X 33M- 24 RLS/CS-H/T 130.68" u="1"/>
        <s v="03043 SPARE WHITE WIPER FOR FE-2 " u="1"/>
        <s v="GS 490 WHI-18mm x 55m-48 rls/cs-H/A 376.36" u="1"/>
        <s v="HP 100 CLR-72mm x 100m-24 rls/cs-S 12231.65" u="1"/>
        <s v="HP 500 CLR-72mm x 50m-24 rls/cs-H/A 74487.6" u="1"/>
        <s v="AP 101 CLR-48mm x 1371m-6 rls/cs-H " u="1"/>
        <s v="PC 609 SIL-48mm x 55m-24 rls/cs-H/A " u="1"/>
        <s v="CP 105 NAT-72mm x 55m-16 rls/cs-H 942.49" u="1"/>
        <s v="FP 097 KFT-4in x 60yd-12 rls/cs-H 198.87" u="1"/>
        <s v="HP 200 CLR-72mm x 914m-4 rls/cs-S 46524.02" u="1"/>
        <s v="HP 100 CLR-48mm x 1371m-6 rls/cs- S 60011.07" u="1"/>
        <s v="HP 200 TAN-72mm x 100m-24 rls/cs-H/A 10064.74" u="1"/>
        <s v="FP 097 KFT-48mm x 55m-24 rls/cs-H/A 95.04" u="1"/>
        <s v="HP 132 CLR-72mm x 100m-24 rls/cs-H 7697.29" u="1"/>
        <s v="HP 200 CLR-48mm x 914m-6 rls/cs-S 6055.23" u="1"/>
        <s v="AP 180 CLR-72mm x 100m-24 rls/cs-H/A 3335.9" u="1"/>
        <s v="WP 300 NAT-76mmx138m(450ft)-10rls/cs-H/A 1389.76" u="1"/>
        <s v="HP 200 CLR-48mm x 100m-36 rls/cs-S 0" u="1"/>
        <s v="CP 105 NAT-12mm x 55m-72 rls/cs-H 75.56" u="1"/>
        <s v="HP 300 CLR-72mm x 100m-24 RLS/CS-H 3261.76" u="1"/>
        <s v="CP 105 NAT-24mm x 55m- 36 rls/cs-S 67.72" u="1"/>
        <s v="FP 097 KFT-72mm x 55m-16 rls/cs-H/A 2358.87" u="1"/>
        <s v="HP 400 CLR-72mm x 914m-4 rls/cs-H/A 3538.33" u="1"/>
        <s v="HP 200 CLR-53mm x 1371m-6 rls/cs-H " u="1"/>
        <s v="HP 500 CLR-72mm x 914m-4 rls/cs-S 293853.29" u="1"/>
        <s v="COL 00 NAT-36mm x 55m-24 rls/cs-H/A 2437.78" u="1"/>
        <s v="HP 500 CLR-72mm x 50m-24 rls/cs-H/A 1325.81" u="1"/>
        <s v="GS 521 WHI-18mm x 55m-48 rls/cs-H 1102.46" u="1"/>
        <s v="HP 100 CLR-53mm x 1500m-6 rls/cs-S 92267.43" u="1"/>
        <s v="HP 200 CLR-72mm x 1371m-4 rls/cs-S 7848.98" u="1"/>
        <s v="FP 097 KFT-72mm x 55m-16 rls/cs-H/A 595.58" u="1"/>
        <s v="HP 100 CLR-72mm x 100m-24 rls/cs-S 3971.25" u="1"/>
        <s v="HM 016 CLR-48mm x 914m-6 rls/cs-H/A 9814.05" u="1"/>
        <s v="HP 100 CLR-72mm x 100m-24 rls/cs-S 19915.61" u="1"/>
        <s v="AP 180 CLR-72mm x 100m-24 rls/cs-H/A 8468.06" u="1"/>
        <s v="CP 106 NAT-48mm x 55m-24 rls/cs-S 9326" u="1"/>
        <s v="GS 490 CLR-24mm x 55m-36 rls/cs-H/A 44.19" u="1"/>
        <s v="HP 200 CLR-48mm x 100m-36 rls/cs-S 9237.88" u="1"/>
        <s v="HP 232 CLR-72mm x 914m-4 rls/cs-H/A 121265.98" u="1"/>
        <s v="HP 200 CLR-72mm x 1371m-4 rls/cs-S 10465.32" u="1"/>
        <s v="HP 200 CLR-48mm x 914m-6 rls/cs-S 1550" u="1"/>
        <s v="HP 100 CLR-48mm x 100m-36 rls/cs-S 7527.16" u="1"/>
        <s v="VP 415 BKW- 50MM X 33M- 24 RLS/CS-H 76.03" u="1"/>
        <s v="HP 200 CLR-48mm x 1500m-6 rls/cs-H 44371.8" u="1"/>
        <s v="HP 500 CLR-72mm x 914m-4 rls/cs-S 434028.25" u="1"/>
        <s v="HP 100 CLR-72mm x 914m-4 rls/cs-S 2448.23" u="1"/>
        <s v="AP 180 CLR-48mm x 914m-6 rls/cs-H/A 16147.24" u="1"/>
        <s v="DT 200 GLA-12mm x 50m-72 rls/cs-H 219.54" u="1"/>
        <s v="HM 016 CLR-72mm x 100m-24 rls/cs-H/A 712.09" u="1"/>
        <s v="SD 934, PISTOL GRIP TAPE DISPNSR PREM.-S 290.1" u="1"/>
        <s v="HP 200 ORG-53mm x 914m-6 r/c-NS " u="1"/>
        <s v="HP 400 CLR-72mm x 50m-24 rls/cs-H 846.33" u="1"/>
        <s v="HP 100 CLR-72mm x 100m-24 rls/cs-S 18604.07" u="1"/>
        <s v="HP 200 CLR-48mm x 100m-36 rls/cs-S 40.63" u="1"/>
        <s v="HP 100 CLR-72mm x 100m-24 rls/cs-S 1461.72" u="1"/>
        <s v="CP 450 NAT-18mm x 55m-48 rls/cs-H 70.33" u="1"/>
        <s v="CP 105 NAT-48mm x 55m-24 rls/cs-S 140.65" u="1"/>
        <s v="HP 200 CLR-72mm x 914m-4 rls/cs-H/A 1228.39" u="1"/>
        <s v="HP 200 CLR-48mm x 1500m-6 rls/cs-H 84013.44" u="1"/>
        <s v="WP 150 BLU COMPND2 72mm x 138M - NS " u="1"/>
        <s v="HP 100 CLR-53mm x 1500m-6 rls/cs-S 24820.41" u="1"/>
        <s v="HP 100 TAN-48mm x 100m-36 rls/cs-S 6030.3" u="1"/>
        <s v="PC 609 SIL-48mm x 55m-24 rls/cs-H/A 14442.76" u="1"/>
        <s v="CP 083 NAT-24mm x 55m-36 rls/cs-S 456.19" u="1"/>
        <s v="HP 200 CLR-48mm x 1371m-6 rls/cs-S 7715.35" u="1"/>
        <s v="HP 100 CLR-48mm x 914m-6 rls/cs-S 7470.14" u="1"/>
        <s v="HP 100 CLR-48mm x 914m-6 rls/cs-S 15892.58" u="1"/>
        <s v="AP 180 CLR-72mm x 100m-24 rls/cs-H/A 4618.95" u="1"/>
        <s v="WP 100 NAT-70mm x 153m(500ft)-6 rls/cs-H 2322.3" u="1"/>
        <s v="AP 201 CLR-48mm x 1371m-6 rls/cs-H " u="1"/>
        <s v="HP 200 CLR-48mm x 100m-36 rls/cs-S 12894.55" u="1"/>
        <s v="HP 300 CLR-48mm x 100m-36 rls/cs-H/A " u="1"/>
        <s v="SD 935  PISTOL GRIP DISPNSR-3 IN. ROLL-S 18.44" u="1"/>
        <s v="HP 500 CLR-72mm x 914m-4 rls/cs-S 3833.2" u="1"/>
        <s v="HP 235 CLR-72mm x 914m-4 rls/cs-H 6374.02" u="1"/>
        <s v="WP 150 RED SIMP-72mmx138m(450FT)-10rl/cs " u="1"/>
        <s v="AP 201 CLR-72mm x 100m-24 rls/cs-H/A 2311.85" u="1"/>
        <s v="HP 235 CLR-72mm x 100m-24 rls/cs-H 4653.16" u="1"/>
        <s v="CP 66L NAT-4in x 240yd-3 rls/cs-H 111443.93" u="1"/>
        <s v="HP 200 CLR-72mm x 100m-24 rls/cs-S 51321.6" u="1"/>
        <s v="HP 200 CLR-72mm x 914m-4 rls/cs-S 689.98" u="1"/>
        <s v="HP 100 CLR-48mm x 914m-6 rls/cs-S 8867.24" u="1"/>
        <s v="HP 100 TAN-48mm x 100m-36 rls/cs-S 2807.36" u="1"/>
        <s v="CP 083 NAT-48mm x 55m-24 rls/cs-S 1052.09" u="1"/>
        <s v="SD 935, PISTOL GRIP DISPNSR-3 IN. ROLL-S 6" u="1"/>
        <s v="CP 225 GLD-18mm x 55m-64 rls/cs-H/T 1121.48" u="1"/>
        <s v="SD 934, PISTOL GRIP TAPE DISPNSR PREM.-S 96.7" u="1"/>
        <s v="HP 200 CLR-72mm x 914m-4 rls/cs-S 188.19" u="1"/>
        <s v="HP 100 CLR-53mm x 1500m-6 rls/cs-S 54991.8" u="1"/>
        <s v="HP 100 CLR-72mm x 914m-4 rls/cs-S 14155.27" u="1"/>
        <s v="HP 200 WHI-72mm x 914m-4 rls/cs-H 5157.82" u="1"/>
        <s v="HP 200 CLR-72mm x 1371m-4 rls/cs-S 7848.99" u="1"/>
        <s v="HP 100 CLR-53mm x 1500m-6 rls/cs-S 23304.28" u="1"/>
        <s v="HP 100 CLR-53mm x 1500m-6 rls/cs-S 25446.96" u="1"/>
        <s v="HP 100 CLR-48mm x 1371m-6 rls/cs- S 34000.56" u="1"/>
        <s v="DT 200 GLA-36mm x 50m-24 rls/cs-H 260.88" u="1"/>
        <s v="HP 200 BLU-48mm x 914m-6 rls/cs-H 933.89" u="1"/>
        <s v="HP 100 CLR-48mm x 1371m-6 rls/cs- S 6064.5" u="1"/>
        <s v="HP 200 CLR-48mm x 914m-6 rls/cs-S 64365.85" u="1"/>
        <s v="CP 631 RED-24mm x 55m-36 rls/cs-H 547.44" u="1"/>
        <s v="HM 016 CLR-72mm x 100m-24 rls/cs-S " u="1"/>
        <s v="HP 100 CLR-48mm x 914m-6 rls/cs-S 1740.9" u="1"/>
        <s v="HM 018 CLR-48mm x 100m-36 rls/cs-S 662.9" u="1"/>
        <s v="HP 200 CLR-48mm x 100m-36 rls/cs-S 9237.89" u="1"/>
        <s v="HP 300 CLR-72mm x 100m-24 RLS/CS-H 1111.96" u="1"/>
        <s v="SD 934  PISTOL GRIP TAPE DISPNSR PREM.-S 209.93" u="1"/>
        <s v="AP 101 CLR-48mm x 914m-6 rls/cs-H 4887.44" u="1"/>
        <s v="HP 235 CLR-72mm x 1371m-4 rls/cs-H 74731.37" u="1"/>
        <s v="HP 100 CLR-48mm x 1371m-6 rls/cs- S 96341.32" u="1"/>
        <s v="HP 200 CLR-48mm x 1500m-6 rls/cs-H 180613.53" u="1"/>
        <s v="AP 101 CLR-48mm x 100m-36 rls/cs-S 964.41" u="1"/>
        <s v="CP 106 NAT-36mm x 55m-24 rls/cs-S 336.67" u="1"/>
        <s v="GS 490 WHI-12mm x 55m-72 rls/cs-H/A 225" u="1"/>
        <s v="HP 100 CLR-72mm x 100m-24 rls/cs-S 8667.66" u="1"/>
        <s v="HP 200 CLR-36mm x 1371m-8 rls/cs-H 1240.27" u="1"/>
        <s v="HP 200 CLR-48mm x 100m-36 rls/cs-S 7527.16" u="1"/>
        <s v="HP 100 CLR-72mm x 100m-24 rls/cs-S 35697.03" u="1"/>
        <s v="FP 097 KFT-72mm x 55m-16 rls/cs-H/A 6160.5" u="1"/>
        <s v="HP 200 CLR-72mm x 100m-24 rls/cs-S 1381.41" u="1"/>
        <s v="GS 490 WHI-48mm x 55m-24 rls/cs-H/A 6621.91" u="1"/>
        <s v="HM 016 CLR-48mm x 100m-36 rls/cs-S 88.74" u="1"/>
        <s v="HP 100 CLR-53mm x 1500m-6 rls/cs-S 15576.12" u="1"/>
        <s v="VP 410 BLK-50mm x 33m-24 rls/cs-X 525.57" u="1"/>
        <s v="GS 490 WHI-18mm x 55m-48 rls/cs-H/A 1270.2" u="1"/>
        <s v="HP 500 CLR-72mm x 50m-24 rls/cs-H/A 2680.13" u="1"/>
        <s v="PE 444 RED- 48mm X 55m- 24 rls/cs-H/A 3535.73" u="1"/>
        <s v="HP 200 CLR-72mm x 914m-4 rls/cs-S 4296.75" u="1"/>
        <s v="HP 200 CLR-48mm x 100m-36 rls/cs-S 15273.56" u="1"/>
        <s v="HP 200 CLR-72mm x 100m-24 rls/cs-S 21654.87" u="1"/>
        <s v="CP 106 NAT-18mm x 55m-48 rls/cs-S 4466.87" u="1"/>
        <s v="AP 180 CLR-48mm x 1371m-6 rls/cs-H 19472.8" u="1"/>
        <s v="CP 102 LTY-24mm x 55m-36 rls/cs-H/A " u="1"/>
        <s v="AP 180 CLR-48mm x 914m-6 rls/cs-H/A 12399.88" u="1"/>
        <s v="DF 065 NAT-1/2in x 36yd-72 rls/cs-H/A 2330.86" u="1"/>
        <s v="CP 101 NAT-18mm x 55m-48 rls/cs-H/T 34.21" u="1"/>
        <s v="GS 531 WHI-36mm x 55m-24 rls/cs-H 19585.85" u="1"/>
        <s v="HP 100 CLR-48mm x 914m-6 rls/cs-S 15892.59" u="1"/>
        <s v="WP 300 NAT-76mmx138m(450ft)-10rls/cs-H/A 615.98" u="1"/>
        <s v="HP 200 CLR-48mm x 1371m-6 rls/cs-S 16226.18" u="1"/>
        <s v="HP 300 CLR-72mm x 100m-24 RLS/CS-H " u="1"/>
        <s v="HP 200 CLR-48mm x 100m-36 rls/cs-S 25062.04" u="1"/>
        <s v="FP 096 KFT-48mm x 55m-24 rls/cs-S " u="1"/>
        <s v="AP 180 TAN-48mm x 100m-36 rls/cs-H 5944.75" u="1"/>
        <s v="HP 232 CLR-48mm x 914m-6 rls/cs-H/A 1575.05" u="1"/>
        <s v="CP 631 RED-18mm x 55m-48 rls/cs-H 182.48" u="1"/>
        <s v="HP 100 CLR-72mm x 100m-24 rls/cs-S " u="1"/>
        <s v="HP 200 CLR-48mm x 100m-36 rls/cs-S 5987.52" u="1"/>
        <s v="50663 KNIFE GUARD ASSY RH " u="1"/>
        <s v="CP 225 GLD-18mm x 55m-64 rls/cs-H/T 336.44" u="1"/>
        <s v="GS 501 CLR-24mm x 55m-36 rls/cs-H/A 1810.51" u="1"/>
        <s v="HP 200 CLR-72mm x 100m-24 rls/cs-S " u="1"/>
        <s v="HP 200 CLR-48mm x 100m-36 rls/cs-S 3057.91" u="1"/>
        <s v="HP 200 TAN-48mm x 914m-6 rls/cs-H " u="1"/>
        <s v="AP 180 CLR-48mm x 100m-36 rls/cs-H/A 1057.08" u="1"/>
        <s v="HP 200 CLR-48mm x 1500m-6 rls/cs-H " u="1"/>
        <s v="HP 200 CLR-48mm x 914m-6 rls/cs-S 1742.8" u="1"/>
        <s v="51194 51005 CUTTING CAM ASSY. 2&quot; RH " u="1"/>
        <s v="CP 106 NAT-12mm x 55m-72 rls/cs-H/A 4584.73" u="1"/>
        <s v="HP 100 CLR-72mm x 914m-4 rls/cs-S 389.07" u="1"/>
        <s v="GS 490 CLR-24mm x 55m-36 rls/cs-H/A 255.18" u="1"/>
        <s v="HP 232 CLR-48mm x 914m-6 rls/cs-H/A 114.05" u="1"/>
        <s v="CP 66L NAT-4in x 240yd-3 rls/cs-H " u="1"/>
        <s v="PC 006 SIL-48mm x 55m-24 rls/cs-X 1171.84" u="1"/>
        <s v="HP 235 BLU CONTAIN-72mmx914m-4 rls/cs-NS " u="1"/>
        <s v="HP 400 CLR-72mm x 100m-24 rls/cs-H/A 4656.96" u="1"/>
        <s v="HP 235 CLR-48mm x 1371m-6 rls/cs-S " u="1"/>
        <s v="CP 105 NAT-18mm x 55m-48 rls/cs-S 2889.22" u="1"/>
        <s v="HP 200 CLR-48mm x 914m-6 rls/cs-S 497.89" u="1"/>
        <s v="HP 200 CLR-48mm x 100m-36 rls/cs-S 1047.82" u="1"/>
        <s v="AP 101 CLR-48mm x 100m-36 rls/cs-S 997.21" u="1"/>
        <s v="50412 2&quot; CLUTCH ROLLER SHAFT " u="1"/>
        <s v="HP 500 CLR-72mm x 50m-24 rls/cs-H/A 10720.51" u="1"/>
        <s v="AP 201 RED 48mm x 914m-6 rls/cs-H/A 6409.5" u="1"/>
        <s v="AP 201 BLU 48mm x 914m-6 rls/cs-H/A 879.12" u="1"/>
        <s v="Phoenix M-1 Manual WAT Dispenser " u="1"/>
        <s v="WP 100 NAT-70mm x 153m(500ft)-6 rls/cs-H 147.73" u="1"/>
        <s v="HP 100 CLR-72mm x 914m-4 rls/cs-S 4698.26" u="1"/>
        <s v="WP 150 RED SIMP-72mmx138m(450FT)-10rl/cs 6454.8" u="1"/>
      </sharedItems>
    </cacheField>
    <cacheField name="Net Sales Diff" numFmtId="0" formula="'Net Sales 2012'-'Net Sales 2011'" databaseField="0"/>
    <cacheField name="Net Sales % Diff" numFmtId="0" formula="IF(AND('Net Sales 2012'=0,'Net Sales 2011'=0),&quot;0&quot;,IF(ISERROR((('Net Sales 2012'-'Net Sales 2011')/'Net Sales 2011')),1,(('Net Sales 2012'-'Net Sales 2011')/'Net Sales 2011')))" databaseField="0"/>
    <cacheField name="Sq Yd Sales Diff" numFmtId="0" formula="'YD 2012'-'YD 2011'" databaseField="0"/>
    <cacheField name="Sq Yd % Diff" numFmtId="0" formula="IF(AND('YD 2012'=0,'YD 2011'=0),&quot;0&quot;,IF(ISERROR((('YD 2012'-'YD 2011')/'YD 2011')),1,(('YD 2012'-'YD 2011')/'YD 2011')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6">
  <r>
    <s v="17"/>
    <s v="GABRIEL AUSTIN (I)"/>
    <s v="27368"/>
    <s v="ASSOCIATED PKG/CA STOCKTON"/>
    <s v="27368"/>
    <s v="ASSOCIATED PKG/CA STOCKTON"/>
    <x v="0"/>
    <s v="231027"/>
    <s v="AP 180 TAN-48mm x 100m-36 rls/cs-H"/>
    <n v="5944.75"/>
    <m/>
    <n v="24796.799999999999"/>
    <m/>
    <x v="0"/>
    <x v="0"/>
    <x v="0"/>
  </r>
  <r>
    <s v="17"/>
    <s v="GABRIEL AUSTIN (I)"/>
    <s v="27368"/>
    <s v="ASSOCIATED PKG/CA STOCKTON"/>
    <s v="27368"/>
    <s v="ASSOCIATED PKG/CA STOCKTON"/>
    <x v="0"/>
    <s v="231044"/>
    <s v="AP 180 CLR-48mm x 100m-36 rls/cs-H/A"/>
    <n v="11247.99"/>
    <m/>
    <n v="49593.599999999999"/>
    <m/>
    <x v="0"/>
    <x v="0"/>
    <x v="1"/>
  </r>
  <r>
    <s v="17"/>
    <s v="GABRIEL AUSTIN (I)"/>
    <s v="27368"/>
    <s v="ASSOCIATED PKG/CA STOCKTON"/>
    <s v="27368"/>
    <s v="ASSOCIATED PKG/CA STOCKTON"/>
    <x v="1"/>
    <s v="231031"/>
    <s v="AP 201 TAN-48mm x 100m-36 rls/cs-H"/>
    <n v="6415.2"/>
    <m/>
    <n v="24796.799999999999"/>
    <m/>
    <x v="0"/>
    <x v="0"/>
    <x v="2"/>
  </r>
  <r>
    <s v="17"/>
    <s v="GABRIEL AUSTIN (I)"/>
    <s v="27368"/>
    <s v="ASSOCIATED PKG/CA STOCKTON"/>
    <s v="27368"/>
    <s v="ASSOCIATED PKG/CA STOCKTON"/>
    <x v="2"/>
    <s v="207149"/>
    <s v="HP 200 CLR-48mm x 100m-36 rls/cs-S"/>
    <m/>
    <n v="2702.94"/>
    <m/>
    <n v="9919.68"/>
    <x v="0"/>
    <x v="0"/>
    <x v="3"/>
  </r>
  <r>
    <s v="17"/>
    <s v="GABRIEL AUSTIN (I)"/>
    <s v="27368"/>
    <s v="ASSOCIATED PKG/CA STOCKTON"/>
    <s v="27368"/>
    <s v="ASSOCIATED PKG/CA STOCKTON"/>
    <x v="2"/>
    <s v="208511"/>
    <s v="HP 200 CLR-48mm x 1371m-6 rls/cs-S"/>
    <m/>
    <n v="47429.71"/>
    <m/>
    <n v="170002.8"/>
    <x v="0"/>
    <x v="0"/>
    <x v="4"/>
  </r>
  <r>
    <s v="17"/>
    <s v="GABRIEL AUSTIN (I)"/>
    <s v="27368"/>
    <s v="ASSOCIATED PKG/CA STOCKTON"/>
    <s v="32408"/>
    <s v="YOSEMITE FOODS INC"/>
    <x v="2"/>
    <s v="208496"/>
    <s v="HP 200 CLR-72mm x 914m-4 rls/cs-S"/>
    <n v="3136.32"/>
    <m/>
    <n v="11333.52"/>
    <m/>
    <x v="0"/>
    <x v="1"/>
    <x v="5"/>
  </r>
  <r>
    <s v="17"/>
    <s v="GABRIEL AUSTIN (I)"/>
    <s v="27368"/>
    <s v="ASSOCIATED PKG/CA STOCKTON"/>
    <s v="78111"/>
    <s v="CLOVER STORNETTA FARMS"/>
    <x v="2"/>
    <s v="208492"/>
    <s v="HP 200 CLR-48mm x 914m-6 rls/cs-S"/>
    <n v="3720.82"/>
    <n v="7755.26"/>
    <n v="15111.36"/>
    <n v="30222.720000000001"/>
    <x v="0"/>
    <x v="2"/>
    <x v="6"/>
  </r>
  <r>
    <s v="17"/>
    <s v="GABRIEL AUSTIN (I)"/>
    <s v="27368"/>
    <s v="ASSOCIATED PKG/CA STOCKTON"/>
    <s v="91982"/>
    <s v="GLAXO SMITH &amp; KLINE"/>
    <x v="2"/>
    <s v="207149"/>
    <s v="HP 200 CLR-48mm x 100m-36 rls/cs-S"/>
    <n v="563.11"/>
    <m/>
    <n v="2066.6"/>
    <m/>
    <x v="0"/>
    <x v="3"/>
    <x v="3"/>
  </r>
  <r>
    <s v="17"/>
    <s v="GABRIEL AUSTIN (I)"/>
    <s v="27368"/>
    <s v="ASSOCIATED PKG/CA STOCKTON"/>
    <s v="705105"/>
    <s v="NULAID FOODS INC"/>
    <x v="2"/>
    <s v="208492"/>
    <s v="HP 200 CLR-48mm x 914m-6 rls/cs-S"/>
    <n v="738.34"/>
    <n v="813.78"/>
    <n v="3148.2"/>
    <n v="3148.2"/>
    <x v="0"/>
    <x v="4"/>
    <x v="6"/>
  </r>
  <r>
    <s v="17"/>
    <s v="GABRIEL AUSTIN (I)"/>
    <s v="27368"/>
    <s v="ASSOCIATED PKG/CA STOCKTON"/>
    <s v="707236"/>
    <s v="VICTOR PACKING INC"/>
    <x v="3"/>
    <s v="200655"/>
    <s v="HP 100 CLR-48mm x 1828m-6 rls/cs-S"/>
    <n v="25549.599999999999"/>
    <m/>
    <n v="90669.6"/>
    <m/>
    <x v="0"/>
    <x v="5"/>
    <x v="7"/>
  </r>
  <r>
    <s v="17"/>
    <s v="GABRIEL AUSTIN (I)"/>
    <s v="27368"/>
    <s v="ASSOCIATED PKG/CA STOCKTON"/>
    <s v="707575"/>
    <s v="PLANTERS"/>
    <x v="3"/>
    <s v="208470"/>
    <s v="HP 100 CLR-48mm x 1371m-6 rls/cs- S"/>
    <n v="22709.8"/>
    <m/>
    <n v="85001.4"/>
    <m/>
    <x v="0"/>
    <x v="6"/>
    <x v="8"/>
  </r>
  <r>
    <s v="17"/>
    <s v="GABRIEL AUSTIN (I)"/>
    <s v="27368"/>
    <s v="ASSOCIATED PKG/CA STOCKTON"/>
    <s v="707637"/>
    <s v="LYONS MAGNUS"/>
    <x v="2"/>
    <s v="208511"/>
    <s v="HP 200 CLR-48mm x 1371m-6 rls/cs-S"/>
    <n v="18377.41"/>
    <n v="9883.68"/>
    <n v="68001.119999999995"/>
    <n v="34000.559999999998"/>
    <x v="0"/>
    <x v="7"/>
    <x v="4"/>
  </r>
  <r>
    <s v="17"/>
    <s v="GABRIEL AUSTIN (I)"/>
    <s v="27368"/>
    <s v="ASSOCIATED PKG/CA STOCKTON"/>
    <s v="707759"/>
    <s v="CENTRAL VALLEY CHEESE"/>
    <x v="1"/>
    <s v="105307"/>
    <s v="AP 201 GRN 48mm x 914m-6 rls/cs-H/A"/>
    <m/>
    <n v="329.67"/>
    <m/>
    <n v="944.47799999999995"/>
    <x v="0"/>
    <x v="8"/>
    <x v="9"/>
  </r>
  <r>
    <s v="17"/>
    <s v="GABRIEL AUSTIN (I)"/>
    <s v="27368"/>
    <s v="ASSOCIATED PKG/CA STOCKTON"/>
    <s v="707759"/>
    <s v="CENTRAL VALLEY CHEESE"/>
    <x v="1"/>
    <s v="105310"/>
    <s v="AP 201 YEL 48mm x 914m-6 rls/cs-H/A"/>
    <m/>
    <n v="329.67"/>
    <m/>
    <n v="944.47799999999995"/>
    <x v="0"/>
    <x v="8"/>
    <x v="10"/>
  </r>
  <r>
    <s v="17"/>
    <s v="GABRIEL AUSTIN (I)"/>
    <s v="27368"/>
    <s v="ASSOCIATED PKG/CA STOCKTON"/>
    <s v="707759"/>
    <s v="CENTRAL VALLEY CHEESE"/>
    <x v="2"/>
    <s v="106042"/>
    <s v="HP 200 YEL-48mm x 914m-6 rls/cs-H"/>
    <n v="1014.32"/>
    <n v="1118.03"/>
    <n v="1888.92"/>
    <n v="1888.92"/>
    <x v="0"/>
    <x v="8"/>
    <x v="11"/>
  </r>
  <r>
    <s v="17"/>
    <s v="GABRIEL AUSTIN (I)"/>
    <s v="27368"/>
    <s v="ASSOCIATED PKG/CA STOCKTON"/>
    <s v="707759"/>
    <s v="CENTRAL VALLEY CHEESE"/>
    <x v="2"/>
    <s v="129199"/>
    <s v="HP 200 GRN-48mm x 914m-6 rls/cs-H/A"/>
    <n v="1208.67"/>
    <n v="1304.3599999999999"/>
    <n v="2203.7399999999998"/>
    <n v="2203.7399999999998"/>
    <x v="0"/>
    <x v="8"/>
    <x v="12"/>
  </r>
  <r>
    <s v="17"/>
    <s v="GABRIEL AUSTIN (I)"/>
    <s v="27368"/>
    <s v="ASSOCIATED PKG/CA STOCKTON"/>
    <s v="707759"/>
    <s v="CENTRAL VALLEY CHEESE"/>
    <x v="2"/>
    <s v="136221"/>
    <s v="HP 200 ORG-48mm x 914m-6 rls/cs-H"/>
    <n v="532.46"/>
    <m/>
    <n v="944.46"/>
    <m/>
    <x v="0"/>
    <x v="8"/>
    <x v="13"/>
  </r>
  <r>
    <s v="17"/>
    <s v="GABRIEL AUSTIN (I)"/>
    <s v="27368"/>
    <s v="ASSOCIATED PKG/CA STOCKTON"/>
    <s v="707759"/>
    <s v="CENTRAL VALLEY CHEESE"/>
    <x v="2"/>
    <s v="162592"/>
    <s v="HP 200 BLU-48mm x 914m-6 rls/cs-H"/>
    <n v="845.26"/>
    <n v="745.35"/>
    <n v="1574.1"/>
    <n v="1259.28"/>
    <x v="0"/>
    <x v="8"/>
    <x v="14"/>
  </r>
  <r>
    <s v="17"/>
    <s v="GABRIEL AUSTIN (I)"/>
    <s v="27368"/>
    <s v="ASSOCIATED PKG/CA STOCKTON"/>
    <s v="707759"/>
    <s v="CENTRAL VALLEY CHEESE"/>
    <x v="2"/>
    <s v="207381"/>
    <s v="HP 200 WHI-48mm x 914m-6 rls/cs-H"/>
    <n v="4209.08"/>
    <n v="11180.28"/>
    <n v="7555.68"/>
    <n v="18889.2"/>
    <x v="0"/>
    <x v="8"/>
    <x v="15"/>
  </r>
  <r>
    <s v="17"/>
    <s v="GABRIEL AUSTIN (I)"/>
    <s v="27368"/>
    <s v="ASSOCIATED PKG/CA STOCKTON"/>
    <s v="707759"/>
    <s v="CENTRAL VALLEY CHEESE"/>
    <x v="2"/>
    <s v="208492"/>
    <s v="HP 200 CLR-48mm x 914m-6 rls/cs-S"/>
    <n v="977.25"/>
    <n v="7492.96"/>
    <n v="3777.84"/>
    <n v="30222.720000000001"/>
    <x v="0"/>
    <x v="8"/>
    <x v="6"/>
  </r>
  <r>
    <s v="17"/>
    <s v="GABRIEL AUSTIN (I)"/>
    <s v="27368"/>
    <s v="ASSOCIATED PKG/CA STOCKTON"/>
    <s v="707759"/>
    <s v="CENTRAL VALLEY CHEESE"/>
    <x v="2"/>
    <s v="218104"/>
    <s v="HP 200 RED-48mm x 914m-6 rls/cs-H"/>
    <m/>
    <n v="1304.3699999999999"/>
    <m/>
    <n v="2203.7399999999998"/>
    <x v="0"/>
    <x v="8"/>
    <x v="16"/>
  </r>
  <r>
    <s v="17"/>
    <s v="GABRIEL AUSTIN (I)"/>
    <s v="27368"/>
    <s v="ASSOCIATED PKG/CA STOCKTON"/>
    <s v="717536"/>
    <s v="STARWEST BOTANICALS INC"/>
    <x v="4"/>
    <s v="188923"/>
    <s v="HP 235 CLR-48mm x 100m-36 rls/cs-H"/>
    <n v="1250.96"/>
    <m/>
    <n v="3100.14"/>
    <m/>
    <x v="0"/>
    <x v="9"/>
    <x v="17"/>
  </r>
  <r>
    <s v="17"/>
    <s v="GABRIEL AUSTIN (I)"/>
    <s v="27368"/>
    <s v="ASSOCIATED PKG/CA STOCKTON"/>
    <s v="735670"/>
    <s v="NATURES BAKERY"/>
    <x v="3"/>
    <s v="195553"/>
    <s v="HP 100 CLR-53mm x 1500m-6 rls/cs-S"/>
    <n v="18912.009999999998"/>
    <n v="20853.68"/>
    <n v="82149.983999999997"/>
    <n v="82149.983999999997"/>
    <x v="0"/>
    <x v="10"/>
    <x v="18"/>
  </r>
  <r>
    <s v="17"/>
    <s v="GABRIEL AUSTIN (I)"/>
    <s v="27368"/>
    <s v="ASSOCIATED PKG/CA STOCKTON"/>
    <s v="739521"/>
    <s v="WINESHIPPING.COM"/>
    <x v="5"/>
    <s v="207845"/>
    <s v="HP 400 CLR-72mm x 100m-24 rls/cs-H/A"/>
    <n v="4656.96"/>
    <m/>
    <n v="8266.7999999999993"/>
    <m/>
    <x v="0"/>
    <x v="11"/>
    <x v="19"/>
  </r>
  <r>
    <s v="17"/>
    <s v="GABRIEL AUSTIN (I)"/>
    <s v="27368"/>
    <s v="ASSOCIATED PKG/CA STOCKTON"/>
    <s v="739521"/>
    <s v="WINESHIPPING.COM"/>
    <x v="5"/>
    <s v="208558"/>
    <s v="HP 400 CLR-72mm x 914m-4 rls/cs-H/A"/>
    <n v="9197.98"/>
    <n v="9657.02"/>
    <n v="22667.040000000001"/>
    <n v="22667.434000000001"/>
    <x v="0"/>
    <x v="11"/>
    <x v="20"/>
  </r>
  <r>
    <s v="17"/>
    <s v="GABRIEL AUSTIN (I)"/>
    <s v="27368"/>
    <s v="ASSOCIATED PKG/CA STOCKTON"/>
    <s v="739709"/>
    <s v="NDS INC"/>
    <x v="1"/>
    <s v="231031"/>
    <s v="AP 201 TAN-48mm x 100m-36 rls/cs-H"/>
    <n v="3207.6"/>
    <m/>
    <n v="12398.4"/>
    <m/>
    <x v="0"/>
    <x v="12"/>
    <x v="2"/>
  </r>
  <r>
    <s v="17"/>
    <s v="GABRIEL AUSTIN (I)"/>
    <s v="27368"/>
    <s v="ASSOCIATED PKG/CA STOCKTON"/>
    <s v="740115"/>
    <s v="CARO NUT"/>
    <x v="3"/>
    <s v="208470"/>
    <s v="HP 100 CLR-48mm x 1371m-6 rls/cs- S"/>
    <n v="1667.06"/>
    <n v="1629.94"/>
    <n v="7083.45"/>
    <n v="6611.22"/>
    <x v="0"/>
    <x v="13"/>
    <x v="8"/>
  </r>
  <r>
    <s v="17"/>
    <s v="GABRIEL AUSTIN (I)"/>
    <s v="27368"/>
    <s v="ASSOCIATED PKG/CA STOCKTON"/>
    <s v="740115"/>
    <s v="CARO NUT"/>
    <x v="2"/>
    <s v="162592"/>
    <s v="HP 200 BLU-48mm x 914m-6 rls/cs-H"/>
    <m/>
    <n v="923.97"/>
    <m/>
    <n v="1574.1"/>
    <x v="0"/>
    <x v="13"/>
    <x v="14"/>
  </r>
  <r>
    <s v="17"/>
    <s v="GABRIEL AUSTIN (I)"/>
    <s v="27368"/>
    <s v="ASSOCIATED PKG/CA STOCKTON"/>
    <s v="741582"/>
    <s v="ASSOCIATED PKG FOR GC4"/>
    <x v="2"/>
    <s v="207381"/>
    <s v="HP 200 WHI-48mm x 914m-6 rls/cs-H"/>
    <n v="532.46"/>
    <m/>
    <n v="944.46"/>
    <m/>
    <x v="0"/>
    <x v="14"/>
    <x v="15"/>
  </r>
  <r>
    <s v="17"/>
    <s v="GABRIEL AUSTIN (I)"/>
    <s v="27368"/>
    <s v="ASSOCIATED PKG/CA STOCKTON"/>
    <s v="741582"/>
    <s v="ASSOCIATED PKG FOR GC4"/>
    <x v="6"/>
    <s v="100503"/>
    <s v="HP 300 CLR-48mm x 1371m-6 rls/cs-H/A"/>
    <n v="55085.2"/>
    <m/>
    <n v="172330.93100000001"/>
    <m/>
    <x v="0"/>
    <x v="14"/>
    <x v="21"/>
  </r>
  <r>
    <s v="17"/>
    <s v="GABRIEL AUSTIN (I)"/>
    <s v="27368"/>
    <s v="ASSOCIATED PKG/CA STOCKTON"/>
    <s v="742821"/>
    <s v="VALLEY PROTEIN LLC"/>
    <x v="3"/>
    <s v="207142"/>
    <s v="HP 100 CLR-48mm x 100m-36 rls/cs-S"/>
    <n v="1019.3"/>
    <m/>
    <n v="4133.2"/>
    <m/>
    <x v="0"/>
    <x v="15"/>
    <x v="22"/>
  </r>
  <r>
    <s v="17"/>
    <s v="GABRIEL AUSTIN (I)"/>
    <s v="27368"/>
    <s v="ASSOCIATED PKG/CA STOCKTON"/>
    <s v="742821"/>
    <s v="VALLEY PROTEIN LLC"/>
    <x v="2"/>
    <s v="208492"/>
    <s v="HP 200 CLR-48mm x 914m-6 rls/cs-S"/>
    <n v="2584.02"/>
    <n v="651.02"/>
    <n v="10703.88"/>
    <n v="2518.56"/>
    <x v="0"/>
    <x v="15"/>
    <x v="6"/>
  </r>
  <r>
    <s v="17"/>
    <s v="GABRIEL AUSTIN (I)"/>
    <s v="27368"/>
    <s v="ASSOCIATED PKG/CA STOCKTON"/>
    <s v="744364"/>
    <s v="CEPHEID - EAST BAY LOGISTICS"/>
    <x v="2"/>
    <s v="208496"/>
    <s v="HP 200 CLR-72mm x 914m-4 rls/cs-S"/>
    <n v="4388.47"/>
    <m/>
    <n v="18889.2"/>
    <m/>
    <x v="0"/>
    <x v="16"/>
    <x v="5"/>
  </r>
  <r>
    <s v="17"/>
    <s v="GABRIEL AUSTIN (I)"/>
    <s v="27368"/>
    <s v="ASSOCIATED PKG/CA STOCKTON"/>
    <s v="745867"/>
    <s v="TORANI - SL"/>
    <x v="2"/>
    <s v="207149"/>
    <s v="HP 200 CLR-48mm x 100m-36 rls/cs-S"/>
    <n v="563.11"/>
    <m/>
    <n v="2066.6"/>
    <m/>
    <x v="0"/>
    <x v="17"/>
    <x v="3"/>
  </r>
  <r>
    <s v="17"/>
    <s v="GABRIEL AUSTIN (I)"/>
    <s v="27368"/>
    <s v="ASSOCIATED PKG/CA STOCKTON"/>
    <s v="745969"/>
    <s v="ASSOCIATED PKG FOR CEPHEID"/>
    <x v="2"/>
    <s v="208496"/>
    <s v="HP 200 CLR-72mm x 914m-4 rls/cs-S"/>
    <n v="15796.84"/>
    <n v="4837.54"/>
    <n v="66112.2"/>
    <n v="18889.2"/>
    <x v="0"/>
    <x v="18"/>
    <x v="5"/>
  </r>
  <r>
    <s v="17"/>
    <s v="GABRIEL AUSTIN (I)"/>
    <s v="27368"/>
    <s v="ASSOCIATED PKG/CA STOCKTON"/>
    <s v="746128"/>
    <s v="KIM HONG NOODLE"/>
    <x v="0"/>
    <s v="231044"/>
    <s v="AP 180 CLR-48mm x 100m-36 rls/cs-H/A"/>
    <n v="2972.38"/>
    <n v="2801.3"/>
    <n v="12398.4"/>
    <n v="12398.4"/>
    <x v="0"/>
    <x v="19"/>
    <x v="1"/>
  </r>
  <r>
    <s v="17"/>
    <s v="GABRIEL AUSTIN (I)"/>
    <s v="27368"/>
    <s v="ASSOCIATED PKG/CA STOCKTON"/>
    <s v="746162"/>
    <s v="CALIFORNIA NUGGETS INC"/>
    <x v="2"/>
    <s v="207149"/>
    <s v="HP 200 CLR-48mm x 100m-36 rls/cs-S"/>
    <n v="3207.6"/>
    <m/>
    <n v="12399.6"/>
    <m/>
    <x v="0"/>
    <x v="20"/>
    <x v="3"/>
  </r>
  <r>
    <s v="17"/>
    <s v="GABRIEL AUSTIN (I)"/>
    <s v="27368"/>
    <s v="ASSOCIATED PKG/CA STOCKTON"/>
    <s v="746565"/>
    <s v="STOCKTON COLD STORAGE LLC"/>
    <x v="4"/>
    <s v="150721"/>
    <s v="HP 235 CLR-72mm x 914m-4 rls/cs-H"/>
    <n v="3784.97"/>
    <n v="4037.3"/>
    <n v="11334.24"/>
    <n v="11334.24"/>
    <x v="0"/>
    <x v="21"/>
    <x v="23"/>
  </r>
  <r>
    <s v="17"/>
    <s v="GABRIEL AUSTIN (I)"/>
    <s v="27368"/>
    <s v="ASSOCIATED PKG/CA STOCKTON"/>
    <s v="747444"/>
    <s v="PFLUG PACKAGING"/>
    <x v="3"/>
    <s v="208453"/>
    <s v="HP 100 CLR-48mm x 914m-6 rls/cs-S"/>
    <n v="6956.93"/>
    <m/>
    <n v="30222.720000000001"/>
    <m/>
    <x v="0"/>
    <x v="22"/>
    <x v="24"/>
  </r>
  <r>
    <s v="17"/>
    <s v="GABRIEL AUSTIN (I)"/>
    <s v="27368"/>
    <s v="ASSOCIATED PKG/CA STOCKTON"/>
    <s v="747614"/>
    <s v="PFLUG PACKAGING - LATHROP WHSE"/>
    <x v="2"/>
    <s v="208496"/>
    <s v="HP 200 CLR-72mm x 914m-4 rls/cs-S"/>
    <n v="8363.52"/>
    <m/>
    <n v="30222.720000000001"/>
    <m/>
    <x v="0"/>
    <x v="23"/>
    <x v="5"/>
  </r>
  <r>
    <s v="17"/>
    <s v="GABRIEL AUSTIN (I)"/>
    <s v="27368"/>
    <s v="ASSOCIATED PKG/CA STOCKTON"/>
    <s v="747661"/>
    <s v="OMEGA WALNUT INC"/>
    <x v="2"/>
    <s v="208492"/>
    <s v="HP 200 CLR-48mm x 914m-6 rls/cs-S"/>
    <n v="3720.82"/>
    <m/>
    <n v="15111.36"/>
    <m/>
    <x v="0"/>
    <x v="24"/>
    <x v="6"/>
  </r>
  <r>
    <s v="17"/>
    <s v="GABRIEL AUSTIN (I)"/>
    <s v="27368"/>
    <s v="ASSOCIATED PKG/CA STOCKTON"/>
    <s v="750931"/>
    <s v="DIESTEL TURKEY RANCH"/>
    <x v="1"/>
    <s v="230962"/>
    <s v="AP 201 CLR-48mm x 100m-36 rls/cs-H/A"/>
    <m/>
    <n v="559.54999999999995"/>
    <m/>
    <n v="2066.4"/>
    <x v="0"/>
    <x v="25"/>
    <x v="25"/>
  </r>
  <r>
    <s v="17"/>
    <s v="GABRIEL AUSTIN (I)"/>
    <s v="27368"/>
    <s v="ASSOCIATED PKG/CA STOCKTON"/>
    <s v="750931"/>
    <s v="DIESTEL TURKEY RANCH"/>
    <x v="3"/>
    <s v="208453"/>
    <s v="HP 100 CLR-48mm x 914m-6 rls/cs-S"/>
    <m/>
    <n v="1084.3399999999999"/>
    <m/>
    <n v="4722.3"/>
    <x v="0"/>
    <x v="25"/>
    <x v="24"/>
  </r>
  <r>
    <s v="17"/>
    <s v="GABRIEL AUSTIN (I)"/>
    <s v="27368"/>
    <s v="ASSOCIATED PKG/CA STOCKTON"/>
    <s v="750931"/>
    <s v="DIESTEL TURKEY RANCH"/>
    <x v="7"/>
    <s v="903000"/>
    <s v="SD 934  PISTOL GRIP TAPE DISPNSR PREM.-S"/>
    <m/>
    <n v="47.92"/>
    <m/>
    <n v="0"/>
    <x v="0"/>
    <x v="25"/>
    <x v="26"/>
  </r>
  <r>
    <s v="17"/>
    <s v="GABRIEL AUSTIN (I)"/>
    <s v="27368"/>
    <s v="ASSOCIATED PKG/CA STOCKTON"/>
    <s v="751036"/>
    <s v="MICHAEL DAVID WINERY"/>
    <x v="5"/>
    <s v="208558"/>
    <s v="HP 400 CLR-72mm x 914m-4 rls/cs-H/A"/>
    <m/>
    <n v="615.29999999999995"/>
    <m/>
    <n v="1259.3009999999999"/>
    <x v="0"/>
    <x v="26"/>
    <x v="20"/>
  </r>
  <r>
    <s v="17"/>
    <s v="GABRIEL AUSTIN (I)"/>
    <s v="27368"/>
    <s v="ASSOCIATED PKG/CA STOCKTON"/>
    <s v="751476"/>
    <s v="BAUGHER RANCH ORGANICS"/>
    <x v="1"/>
    <s v="230964"/>
    <s v="AP 201 CLR-48mm x 914m-6 rls/cs-H/A"/>
    <m/>
    <n v="754.38"/>
    <m/>
    <n v="3148.26"/>
    <x v="0"/>
    <x v="27"/>
    <x v="27"/>
  </r>
  <r>
    <s v="17"/>
    <s v="GABRIEL AUSTIN (I)"/>
    <s v="27368"/>
    <s v="ASSOCIATED PKG/CA STOCKTON"/>
    <s v="751841"/>
    <s v="CARRIERE FAMILY FARMS"/>
    <x v="2"/>
    <s v="208511"/>
    <s v="HP 200 CLR-48mm x 1371m-6 rls/cs-S"/>
    <m/>
    <n v="2754.26"/>
    <m/>
    <n v="11333.52"/>
    <x v="0"/>
    <x v="28"/>
    <x v="4"/>
  </r>
  <r>
    <s v="18"/>
    <s v="TBD SHURTAPE (I)"/>
    <s v="34939"/>
    <s v="ASSOCIATED PKG/UT SALT LAKE CITY"/>
    <s v="34939"/>
    <s v="ASSOCIATED PKG/UT SALT LAKE CITY"/>
    <x v="1"/>
    <s v="230962"/>
    <s v="AP 201 CLR-48mm x 100m-36 rls/cs-H/A"/>
    <m/>
    <n v="3720.82"/>
    <m/>
    <n v="12398.4"/>
    <x v="1"/>
    <x v="29"/>
    <x v="25"/>
  </r>
  <r>
    <s v="18"/>
    <s v="TBD SHURTAPE (I)"/>
    <s v="34939"/>
    <s v="ASSOCIATED PKG/UT SALT LAKE CITY"/>
    <s v="34939"/>
    <s v="ASSOCIATED PKG/UT SALT LAKE CITY"/>
    <x v="2"/>
    <s v="106042"/>
    <s v="HP 200 YEL-48mm x 914m-6 rls/cs-H"/>
    <m/>
    <n v="369.58"/>
    <m/>
    <n v="629.64"/>
    <x v="1"/>
    <x v="29"/>
    <x v="11"/>
  </r>
  <r>
    <s v="18"/>
    <s v="TBD SHURTAPE (I)"/>
    <s v="34939"/>
    <s v="ASSOCIATED PKG/UT SALT LAKE CITY"/>
    <s v="34939"/>
    <s v="ASSOCIATED PKG/UT SALT LAKE CITY"/>
    <x v="2"/>
    <s v="162592"/>
    <s v="HP 200 BLU-48mm x 914m-6 rls/cs-H"/>
    <m/>
    <n v="369.59"/>
    <m/>
    <n v="629.64"/>
    <x v="1"/>
    <x v="29"/>
    <x v="14"/>
  </r>
  <r>
    <s v="18"/>
    <s v="TBD SHURTAPE (I)"/>
    <s v="34939"/>
    <s v="ASSOCIATED PKG/UT SALT LAKE CITY"/>
    <s v="34939"/>
    <s v="ASSOCIATED PKG/UT SALT LAKE CITY"/>
    <x v="2"/>
    <s v="207149"/>
    <s v="HP 200 CLR-48mm x 100m-36 rls/cs-S"/>
    <m/>
    <n v="9793.8700000000008"/>
    <m/>
    <n v="37198.800000000003"/>
    <x v="1"/>
    <x v="29"/>
    <x v="3"/>
  </r>
  <r>
    <s v="18"/>
    <s v="TBD SHURTAPE (I)"/>
    <s v="34939"/>
    <s v="ASSOCIATED PKG/UT SALT LAKE CITY"/>
    <s v="34939"/>
    <s v="ASSOCIATED PKG/UT SALT LAKE CITY"/>
    <x v="2"/>
    <s v="207233"/>
    <s v="HP 200 CLR-72mm x 100m-24 rls/cs-S"/>
    <m/>
    <n v="13001.47"/>
    <m/>
    <n v="49598.400000000001"/>
    <x v="1"/>
    <x v="29"/>
    <x v="28"/>
  </r>
  <r>
    <s v="18"/>
    <s v="TBD SHURTAPE (I)"/>
    <s v="34939"/>
    <s v="ASSOCIATED PKG/UT SALT LAKE CITY"/>
    <s v="34939"/>
    <s v="ASSOCIATED PKG/UT SALT LAKE CITY"/>
    <x v="2"/>
    <s v="208492"/>
    <s v="HP 200 CLR-48mm x 914m-6 rls/cs-S"/>
    <m/>
    <n v="11512.25"/>
    <m/>
    <n v="40926.6"/>
    <x v="1"/>
    <x v="29"/>
    <x v="6"/>
  </r>
  <r>
    <s v="18"/>
    <s v="TBD SHURTAPE (I)"/>
    <s v="34939"/>
    <s v="ASSOCIATED PKG/UT SALT LAKE CITY"/>
    <s v="34939"/>
    <s v="ASSOCIATED PKG/UT SALT LAKE CITY"/>
    <x v="2"/>
    <s v="218104"/>
    <s v="HP 200 RED-48mm x 914m-6 rls/cs-H"/>
    <m/>
    <n v="369.59"/>
    <m/>
    <n v="629.64"/>
    <x v="1"/>
    <x v="29"/>
    <x v="16"/>
  </r>
  <r>
    <s v="18"/>
    <s v="TBD SHURTAPE (I)"/>
    <s v="34939"/>
    <s v="ASSOCIATED PKG/UT SALT LAKE CITY"/>
    <s v="34939"/>
    <s v="ASSOCIATED PKG/UT SALT LAKE CITY"/>
    <x v="7"/>
    <s v="903000"/>
    <s v="SD 934  PISTOL GRIP TAPE DISPNSR PREM.-S"/>
    <n v="143.75"/>
    <n v="143.75"/>
    <n v="0"/>
    <n v="0"/>
    <x v="1"/>
    <x v="29"/>
    <x v="26"/>
  </r>
  <r>
    <s v="18"/>
    <s v="TBD SHURTAPE (I)"/>
    <s v="34939"/>
    <s v="ASSOCIATED PKG/UT SALT LAKE CITY"/>
    <s v="46908"/>
    <s v="MOUNTAINLAND SUPPLY CO"/>
    <x v="8"/>
    <s v="101229"/>
    <s v="GS 490 CLR-18mm x 55m-48 rls/cs-H/A"/>
    <n v="6901.33"/>
    <m/>
    <n v="5853.49"/>
    <m/>
    <x v="1"/>
    <x v="30"/>
    <x v="29"/>
  </r>
  <r>
    <s v="18"/>
    <s v="TBD SHURTAPE (I)"/>
    <s v="34939"/>
    <s v="ASSOCIATED PKG/UT SALT LAKE CITY"/>
    <s v="46908"/>
    <s v="MOUNTAINLAND SUPPLY CO"/>
    <x v="2"/>
    <s v="207149"/>
    <s v="HP 200 CLR-48mm x 100m-36 rls/cs-S"/>
    <n v="4811.3999999999996"/>
    <m/>
    <n v="18599.400000000001"/>
    <m/>
    <x v="1"/>
    <x v="30"/>
    <x v="3"/>
  </r>
  <r>
    <s v="18"/>
    <s v="TBD SHURTAPE (I)"/>
    <s v="34939"/>
    <s v="ASSOCIATED PKG/UT SALT LAKE CITY"/>
    <s v="81127"/>
    <s v="RIMPORTS (USA) LLC"/>
    <x v="3"/>
    <s v="207142"/>
    <s v="HP 100 CLR-48mm x 100m-36 rls/cs-S"/>
    <m/>
    <n v="2950.99"/>
    <m/>
    <n v="12399.6"/>
    <x v="1"/>
    <x v="31"/>
    <x v="22"/>
  </r>
  <r>
    <s v="18"/>
    <s v="TBD SHURTAPE (I)"/>
    <s v="34939"/>
    <s v="ASSOCIATED PKG/UT SALT LAKE CITY"/>
    <s v="81127"/>
    <s v="RIMPORTS (USA) LLC"/>
    <x v="2"/>
    <s v="100404"/>
    <s v="HP 200 CLR-48mm x 1828m-6 rls/cs-S"/>
    <n v="18223.45"/>
    <n v="41679.56"/>
    <n v="68002.2"/>
    <n v="158671.79999999999"/>
    <x v="1"/>
    <x v="31"/>
    <x v="30"/>
  </r>
  <r>
    <s v="18"/>
    <s v="TBD SHURTAPE (I)"/>
    <s v="34939"/>
    <s v="ASSOCIATED PKG/UT SALT LAKE CITY"/>
    <s v="710894"/>
    <s v="SNAPLOCK MFG"/>
    <x v="9"/>
    <s v="202793"/>
    <s v="VP 410 WHI- 50mm X 33m- 24 rls/cs-H"/>
    <n v="646.27"/>
    <m/>
    <n v="473.6"/>
    <m/>
    <x v="1"/>
    <x v="32"/>
    <x v="31"/>
  </r>
  <r>
    <s v="18"/>
    <s v="TBD SHURTAPE (I)"/>
    <s v="34939"/>
    <s v="ASSOCIATED PKG/UT SALT LAKE CITY"/>
    <s v="710894"/>
    <s v="SNAPLOCK MFG"/>
    <x v="9"/>
    <s v="202810"/>
    <s v="VP 410 BLK- 50MM X 33M- 24 RLS/CS-H/T"/>
    <n v="258.51"/>
    <m/>
    <n v="189.44"/>
    <m/>
    <x v="1"/>
    <x v="32"/>
    <x v="32"/>
  </r>
  <r>
    <s v="18"/>
    <s v="TBD SHURTAPE (I)"/>
    <s v="34939"/>
    <s v="ASSOCIATED PKG/UT SALT LAKE CITY"/>
    <s v="719056"/>
    <s v="RIMPORTS USA LLC"/>
    <x v="2"/>
    <s v="218104"/>
    <s v="HP 200 RED-48mm x 914m-6 rls/cs-H"/>
    <n v="17360.95"/>
    <m/>
    <n v="30222.720000000001"/>
    <m/>
    <x v="1"/>
    <x v="33"/>
    <x v="16"/>
  </r>
  <r>
    <s v="18"/>
    <s v="TBD SHURTAPE (I)"/>
    <s v="34939"/>
    <s v="ASSOCIATED PKG/UT SALT LAKE CITY"/>
    <s v="733431"/>
    <s v="GENERIC ONE TIME SHIP-TO B2B DIST P"/>
    <x v="10"/>
    <s v="909535"/>
    <s v="SD 935  PISTOL GRIP DISPNSR-3 IN. ROLL-S"/>
    <n v="19.96"/>
    <m/>
    <n v="0"/>
    <m/>
    <x v="1"/>
    <x v="34"/>
    <x v="33"/>
  </r>
  <r>
    <s v="18"/>
    <s v="TBD SHURTAPE (I)"/>
    <s v="34939"/>
    <s v="ASSOCIATED PKG/UT SALT LAKE CITY"/>
    <s v="734435"/>
    <s v="BRIDGEWATER/ARAMSCO"/>
    <x v="3"/>
    <s v="104315"/>
    <s v="HP 100 CLR-72mm x 1500m-4 rls/cs-H/T"/>
    <n v="9383.2999999999993"/>
    <m/>
    <n v="37200.959999999999"/>
    <m/>
    <x v="1"/>
    <x v="35"/>
    <x v="34"/>
  </r>
  <r>
    <s v="18"/>
    <s v="TBD SHURTAPE (I)"/>
    <s v="34939"/>
    <s v="ASSOCIATED PKG/UT SALT LAKE CITY"/>
    <s v="735147"/>
    <s v="DOTERRA"/>
    <x v="2"/>
    <s v="207233"/>
    <s v="HP 200 CLR-72mm x 100m-24 rls/cs-S"/>
    <m/>
    <n v="2993.76"/>
    <m/>
    <n v="12399.6"/>
    <x v="1"/>
    <x v="36"/>
    <x v="28"/>
  </r>
  <r>
    <s v="18"/>
    <s v="TBD SHURTAPE (I)"/>
    <s v="34939"/>
    <s v="ASSOCIATED PKG/UT SALT LAKE CITY"/>
    <s v="739372"/>
    <s v="HEMASOURCE"/>
    <x v="11"/>
    <s v="206932"/>
    <s v="CP 105 NAT-18mm x 55m-48 rls/cs-S"/>
    <n v="3147.72"/>
    <n v="3603.92"/>
    <n v="5455.68"/>
    <n v="5455.68"/>
    <x v="1"/>
    <x v="37"/>
    <x v="35"/>
  </r>
  <r>
    <s v="18"/>
    <s v="TBD SHURTAPE (I)"/>
    <s v="34939"/>
    <s v="ASSOCIATED PKG/UT SALT LAKE CITY"/>
    <s v="739372"/>
    <s v="HEMASOURCE"/>
    <x v="12"/>
    <s v="101330"/>
    <s v="CP 106 NAT-12mm x 55m-72 rls/cs-H/A"/>
    <n v="1642.29"/>
    <n v="5269.02"/>
    <n v="1818.56"/>
    <n v="5455.68"/>
    <x v="1"/>
    <x v="37"/>
    <x v="36"/>
  </r>
  <r>
    <s v="18"/>
    <s v="TBD SHURTAPE (I)"/>
    <s v="34939"/>
    <s v="ASSOCIATED PKG/UT SALT LAKE CITY"/>
    <s v="739372"/>
    <s v="HEMASOURCE"/>
    <x v="7"/>
    <s v="903000"/>
    <s v="SD 934  PISTOL GRIP TAPE DISPNSR PREM.-S"/>
    <n v="139.19999999999999"/>
    <n v="126.93"/>
    <n v="0"/>
    <n v="0"/>
    <x v="1"/>
    <x v="37"/>
    <x v="26"/>
  </r>
  <r>
    <s v="18"/>
    <s v="TBD SHURTAPE (I)"/>
    <s v="34939"/>
    <s v="ASSOCIATED PKG/UT SALT LAKE CITY"/>
    <s v="739896"/>
    <s v="HEMASOURCE EAST"/>
    <x v="1"/>
    <s v="230962"/>
    <s v="AP 201 CLR-48mm x 100m-36 rls/cs-H/A"/>
    <n v="13942.36"/>
    <n v="13414.89"/>
    <n v="49593.599999999999"/>
    <n v="47527.199999999997"/>
    <x v="1"/>
    <x v="38"/>
    <x v="25"/>
  </r>
  <r>
    <s v="18"/>
    <s v="TBD SHURTAPE (I)"/>
    <s v="34939"/>
    <s v="ASSOCIATED PKG/UT SALT LAKE CITY"/>
    <s v="739896"/>
    <s v="HEMASOURCE EAST"/>
    <x v="11"/>
    <s v="206932"/>
    <s v="CP 105 NAT-18mm x 55m-48 rls/cs-S"/>
    <n v="2889.22"/>
    <n v="3603.92"/>
    <n v="4319.08"/>
    <n v="5455.68"/>
    <x v="1"/>
    <x v="38"/>
    <x v="35"/>
  </r>
  <r>
    <s v="18"/>
    <s v="TBD SHURTAPE (I)"/>
    <s v="34939"/>
    <s v="ASSOCIATED PKG/UT SALT LAKE CITY"/>
    <s v="739896"/>
    <s v="HEMASOURCE EAST"/>
    <x v="12"/>
    <s v="101330"/>
    <s v="CP 106 NAT-12mm x 55m-72 rls/cs-H/A"/>
    <n v="4584.7299999999996"/>
    <m/>
    <n v="5455.68"/>
    <m/>
    <x v="1"/>
    <x v="38"/>
    <x v="36"/>
  </r>
  <r>
    <s v="18"/>
    <s v="TBD SHURTAPE (I)"/>
    <s v="34939"/>
    <s v="ASSOCIATED PKG/UT SALT LAKE CITY"/>
    <s v="739896"/>
    <s v="HEMASOURCE EAST"/>
    <x v="7"/>
    <s v="903000"/>
    <s v="SD 934  PISTOL GRIP TAPE DISPNSR PREM.-S"/>
    <n v="374.22"/>
    <n v="143.75"/>
    <n v="0"/>
    <n v="0"/>
    <x v="1"/>
    <x v="38"/>
    <x v="26"/>
  </r>
  <r>
    <s v="18"/>
    <s v="TBD SHURTAPE (I)"/>
    <s v="34939"/>
    <s v="ASSOCIATED PKG/UT SALT LAKE CITY"/>
    <s v="741089"/>
    <s v="DOTERRA"/>
    <x v="3"/>
    <s v="207142"/>
    <s v="HP 100 CLR-48mm x 100m-36 rls/cs-S"/>
    <m/>
    <n v="5602.6"/>
    <m/>
    <n v="24799.200000000001"/>
    <x v="1"/>
    <x v="39"/>
    <x v="22"/>
  </r>
  <r>
    <s v="18"/>
    <s v="TBD SHURTAPE (I)"/>
    <s v="34939"/>
    <s v="ASSOCIATED PKG/UT SALT LAKE CITY"/>
    <s v="741089"/>
    <s v="DOTERRA"/>
    <x v="7"/>
    <s v="903000"/>
    <s v="SD 934  PISTOL GRIP TAPE DISPNSR PREM.-S"/>
    <m/>
    <n v="95.84"/>
    <m/>
    <n v="0"/>
    <x v="1"/>
    <x v="39"/>
    <x v="26"/>
  </r>
  <r>
    <s v="18"/>
    <s v="TBD SHURTAPE (I)"/>
    <s v="34939"/>
    <s v="ASSOCIATED PKG/UT SALT LAKE CITY"/>
    <s v="742485"/>
    <s v="HEMASOURCE TEXAS"/>
    <x v="1"/>
    <s v="230962"/>
    <s v="AP 201 CLR-48mm x 100m-36 rls/cs-H/A"/>
    <n v="3549.74"/>
    <n v="3720.82"/>
    <n v="12398.4"/>
    <n v="12398.4"/>
    <x v="1"/>
    <x v="40"/>
    <x v="25"/>
  </r>
  <r>
    <s v="18"/>
    <s v="TBD SHURTAPE (I)"/>
    <s v="34939"/>
    <s v="ASSOCIATED PKG/UT SALT LAKE CITY"/>
    <s v="742485"/>
    <s v="HEMASOURCE TEXAS"/>
    <x v="11"/>
    <s v="206932"/>
    <s v="CP 105 NAT-18mm x 55m-48 rls/cs-S"/>
    <m/>
    <n v="3603.92"/>
    <m/>
    <n v="5455.68"/>
    <x v="1"/>
    <x v="40"/>
    <x v="35"/>
  </r>
  <r>
    <s v="18"/>
    <s v="TBD SHURTAPE (I)"/>
    <s v="34939"/>
    <s v="ASSOCIATED PKG/UT SALT LAKE CITY"/>
    <s v="742485"/>
    <s v="HEMASOURCE TEXAS"/>
    <x v="7"/>
    <s v="903000"/>
    <s v="SD 934  PISTOL GRIP TAPE DISPNSR PREM.-S"/>
    <n v="71.87"/>
    <n v="71.87"/>
    <n v="0"/>
    <n v="0"/>
    <x v="1"/>
    <x v="40"/>
    <x v="26"/>
  </r>
  <r>
    <s v="18"/>
    <s v="TBD SHURTAPE (I)"/>
    <s v="34939"/>
    <s v="ASSOCIATED PKG/UT SALT LAKE CITY"/>
    <s v="742700"/>
    <s v="ASAP WAREHOUSE"/>
    <x v="1"/>
    <s v="230963"/>
    <s v="AP 201 CLR-72mm x 100m-24 rls/cs-H/A"/>
    <n v="3535.49"/>
    <m/>
    <n v="12400.128000000001"/>
    <m/>
    <x v="1"/>
    <x v="41"/>
    <x v="37"/>
  </r>
  <r>
    <s v="18"/>
    <s v="TBD SHURTAPE (I)"/>
    <s v="34939"/>
    <s v="ASSOCIATED PKG/UT SALT LAKE CITY"/>
    <s v="742700"/>
    <s v="ASAP WAREHOUSE"/>
    <x v="13"/>
    <s v="201793"/>
    <s v="FP 096 KFT-72mm x 55m-16 rls/cs-H"/>
    <n v="2718.78"/>
    <m/>
    <n v="2121.84"/>
    <m/>
    <x v="1"/>
    <x v="41"/>
    <x v="38"/>
  </r>
  <r>
    <s v="18"/>
    <s v="TBD SHURTAPE (I)"/>
    <s v="34939"/>
    <s v="ASSOCIATED PKG/UT SALT LAKE CITY"/>
    <s v="742700"/>
    <s v="ASAP WAREHOUSE"/>
    <x v="3"/>
    <s v="207142"/>
    <s v="HP 100 CLR-48mm x 100m-36 rls/cs-S"/>
    <n v="5346"/>
    <m/>
    <n v="24799.200000000001"/>
    <m/>
    <x v="1"/>
    <x v="41"/>
    <x v="22"/>
  </r>
  <r>
    <s v="18"/>
    <s v="TBD SHURTAPE (I)"/>
    <s v="34939"/>
    <s v="ASSOCIATED PKG/UT SALT LAKE CITY"/>
    <s v="742700"/>
    <s v="ASAP WAREHOUSE"/>
    <x v="2"/>
    <s v="100404"/>
    <s v="HP 200 CLR-48mm x 1828m-6 rls/cs-S"/>
    <n v="17924.07"/>
    <m/>
    <n v="68002.2"/>
    <m/>
    <x v="1"/>
    <x v="41"/>
    <x v="30"/>
  </r>
  <r>
    <s v="18"/>
    <s v="TBD SHURTAPE (I)"/>
    <s v="34939"/>
    <s v="ASSOCIATED PKG/UT SALT LAKE CITY"/>
    <s v="742700"/>
    <s v="ASAP WAREHOUSE"/>
    <x v="2"/>
    <s v="101428"/>
    <s v="HP 200 CLR-48mm x 1500m-6 rls/cs-H"/>
    <n v="21576.46"/>
    <m/>
    <n v="93000.6"/>
    <m/>
    <x v="1"/>
    <x v="41"/>
    <x v="39"/>
  </r>
  <r>
    <s v="18"/>
    <s v="TBD SHURTAPE (I)"/>
    <s v="34939"/>
    <s v="ASSOCIATED PKG/UT SALT LAKE CITY"/>
    <s v="742700"/>
    <s v="ASAP WAREHOUSE"/>
    <x v="2"/>
    <s v="207149"/>
    <s v="HP 200 CLR-48mm x 100m-36 rls/cs-S"/>
    <n v="25062.04"/>
    <m/>
    <n v="99196.800000000003"/>
    <m/>
    <x v="1"/>
    <x v="41"/>
    <x v="3"/>
  </r>
  <r>
    <s v="18"/>
    <s v="TBD SHURTAPE (I)"/>
    <s v="34939"/>
    <s v="ASSOCIATED PKG/UT SALT LAKE CITY"/>
    <s v="742700"/>
    <s v="ASAP WAREHOUSE"/>
    <x v="2"/>
    <s v="207233"/>
    <s v="HP 200 CLR-72mm x 100m-24 rls/cs-S"/>
    <n v="18390.240000000002"/>
    <m/>
    <n v="74397.600000000006"/>
    <m/>
    <x v="1"/>
    <x v="41"/>
    <x v="28"/>
  </r>
  <r>
    <s v="18"/>
    <s v="TBD SHURTAPE (I)"/>
    <s v="34939"/>
    <s v="ASSOCIATED PKG/UT SALT LAKE CITY"/>
    <s v="742700"/>
    <s v="ASAP WAREHOUSE"/>
    <x v="2"/>
    <s v="208492"/>
    <s v="HP 200 CLR-48mm x 914m-6 rls/cs-S"/>
    <n v="7120.16"/>
    <m/>
    <n v="26444.880000000001"/>
    <m/>
    <x v="1"/>
    <x v="41"/>
    <x v="6"/>
  </r>
  <r>
    <s v="18"/>
    <s v="TBD SHURTAPE (I)"/>
    <s v="34939"/>
    <s v="ASSOCIATED PKG/UT SALT LAKE CITY"/>
    <s v="742700"/>
    <s v="ASAP WAREHOUSE"/>
    <x v="2"/>
    <s v="208496"/>
    <s v="HP 200 CLR-72mm x 914m-4 rls/cs-S"/>
    <n v="3605.82"/>
    <m/>
    <n v="13222.44"/>
    <m/>
    <x v="1"/>
    <x v="41"/>
    <x v="5"/>
  </r>
  <r>
    <s v="18"/>
    <s v="TBD SHURTAPE (I)"/>
    <s v="34939"/>
    <s v="ASSOCIATED PKG/UT SALT LAKE CITY"/>
    <s v="742700"/>
    <s v="ASAP WAREHOUSE"/>
    <x v="2"/>
    <s v="218104"/>
    <s v="HP 200 RED-48mm x 914m-6 rls/cs-H"/>
    <n v="529.25"/>
    <m/>
    <n v="944.46"/>
    <m/>
    <x v="1"/>
    <x v="41"/>
    <x v="16"/>
  </r>
  <r>
    <s v="18"/>
    <s v="TBD SHURTAPE (I)"/>
    <s v="34939"/>
    <s v="ASSOCIATED PKG/UT SALT LAKE CITY"/>
    <s v="746513"/>
    <s v="HEMASOURCE OHIO"/>
    <x v="1"/>
    <s v="230962"/>
    <s v="AP 201 CLR-48mm x 100m-36 rls/cs-H/A"/>
    <n v="10392.61"/>
    <n v="7078.11"/>
    <n v="37195.199999999997"/>
    <n v="24796.799999999999"/>
    <x v="1"/>
    <x v="42"/>
    <x v="25"/>
  </r>
  <r>
    <s v="18"/>
    <s v="TBD SHURTAPE (I)"/>
    <s v="34939"/>
    <s v="ASSOCIATED PKG/UT SALT LAKE CITY"/>
    <s v="746513"/>
    <s v="HEMASOURCE OHIO"/>
    <x v="12"/>
    <s v="101330"/>
    <s v="CP 106 NAT-12mm x 55m-72 rls/cs-H/A"/>
    <n v="4584.7299999999996"/>
    <m/>
    <n v="5455.68"/>
    <m/>
    <x v="1"/>
    <x v="42"/>
    <x v="36"/>
  </r>
  <r>
    <s v="18"/>
    <s v="TBD SHURTAPE (I)"/>
    <s v="34939"/>
    <s v="ASSOCIATED PKG/UT SALT LAKE CITY"/>
    <s v="746513"/>
    <s v="HEMASOURCE OHIO"/>
    <x v="7"/>
    <s v="903000"/>
    <s v="SD 934  PISTOL GRIP TAPE DISPNSR PREM.-S"/>
    <n v="209.93"/>
    <n v="71.87"/>
    <n v="0"/>
    <n v="0"/>
    <x v="1"/>
    <x v="42"/>
    <x v="26"/>
  </r>
  <r>
    <s v="18"/>
    <s v="TBD SHURTAPE (I)"/>
    <s v="34939"/>
    <s v="ASSOCIATED PKG/UT SALT LAKE CITY"/>
    <s v="746520"/>
    <s v="ROCKY MOUNTAIN PIES"/>
    <x v="2"/>
    <s v="100404"/>
    <s v="HP 200 CLR-48mm x 1828m-6 rls/cs-S"/>
    <m/>
    <n v="5641.1"/>
    <m/>
    <n v="22667.4"/>
    <x v="1"/>
    <x v="43"/>
    <x v="30"/>
  </r>
  <r>
    <s v="18"/>
    <s v="TBD SHURTAPE (I)"/>
    <s v="34939"/>
    <s v="ASSOCIATED PKG/UT SALT LAKE CITY"/>
    <s v="746520"/>
    <s v="ROCKY MOUNTAIN PIES"/>
    <x v="2"/>
    <s v="101428"/>
    <s v="HP 200 CLR-48mm x 1500m-6 rls/cs-H"/>
    <n v="4901.21"/>
    <m/>
    <n v="18600.12"/>
    <m/>
    <x v="1"/>
    <x v="43"/>
    <x v="39"/>
  </r>
  <r>
    <s v="18"/>
    <s v="TBD SHURTAPE (I)"/>
    <s v="34939"/>
    <s v="ASSOCIATED PKG/UT SALT LAKE CITY"/>
    <s v="746969"/>
    <s v="ASAP WAREHOUSE FOR ROCKY MTN PIES"/>
    <x v="2"/>
    <s v="100404"/>
    <s v="HP 200 CLR-48mm x 1828m-6 rls/cs-S"/>
    <n v="12548.13"/>
    <m/>
    <n v="45334.8"/>
    <m/>
    <x v="1"/>
    <x v="44"/>
    <x v="30"/>
  </r>
  <r>
    <s v="18"/>
    <s v="TBD SHURTAPE (I)"/>
    <s v="34939"/>
    <s v="ASSOCIATED PKG/UT SALT LAKE CITY"/>
    <s v="746969"/>
    <s v="ASAP WAREHOUSE FOR ROCKY MTN PIES"/>
    <x v="2"/>
    <s v="208496"/>
    <s v="HP 200 CLR-72mm x 914m-4 rls/cs-S"/>
    <n v="1916.64"/>
    <m/>
    <n v="6926.04"/>
    <m/>
    <x v="1"/>
    <x v="44"/>
    <x v="5"/>
  </r>
  <r>
    <s v="18"/>
    <s v="TBD SHURTAPE (I)"/>
    <s v="34939"/>
    <s v="ASSOCIATED PKG/UT SALT LAKE CITY"/>
    <s v="750164"/>
    <s v="ROCKY MOUNTAIN PIES"/>
    <x v="2"/>
    <s v="100404"/>
    <s v="HP 200 CLR-48mm x 1828m-6 rls/cs-S"/>
    <m/>
    <n v="6527.41"/>
    <m/>
    <n v="22457.726999999999"/>
    <x v="1"/>
    <x v="45"/>
    <x v="30"/>
  </r>
  <r>
    <s v="18"/>
    <s v="TBD SHURTAPE (I)"/>
    <s v="34939"/>
    <s v="ASSOCIATED PKG/UT SALT LAKE CITY"/>
    <s v="750780"/>
    <s v="SNAPLCOK INC"/>
    <x v="9"/>
    <s v="202810"/>
    <s v="VP 410 BLK- 50MM X 33M- 24 RLS/CS-H/T"/>
    <m/>
    <n v="547.42999999999995"/>
    <m/>
    <n v="378.88"/>
    <x v="1"/>
    <x v="46"/>
    <x v="32"/>
  </r>
  <r>
    <s v="26"/>
    <s v="SARA LEVINE (I)"/>
    <s v="708536"/>
    <s v="ASSOCIATED PKG/KY LOUISVILLE"/>
    <s v="16512"/>
    <s v="RAYLOC"/>
    <x v="2"/>
    <s v="207233"/>
    <s v="HP 200 CLR-72mm x 100m-24 rls/cs-S"/>
    <n v="1618.06"/>
    <m/>
    <n v="6199.8"/>
    <m/>
    <x v="2"/>
    <x v="47"/>
    <x v="28"/>
  </r>
  <r>
    <s v="26"/>
    <s v="SARA LEVINE (I)"/>
    <s v="708536"/>
    <s v="ASSOCIATED PKG/KY LOUISVILLE"/>
    <s v="26869"/>
    <s v="BASIC GRAIN PRODUCTS"/>
    <x v="13"/>
    <s v="201806"/>
    <s v="FP 096 KFT-48mm x 55m-24 rls/cs-S"/>
    <m/>
    <n v="230.95"/>
    <m/>
    <n v="151.56"/>
    <x v="2"/>
    <x v="48"/>
    <x v="40"/>
  </r>
  <r>
    <s v="26"/>
    <s v="SARA LEVINE (I)"/>
    <s v="708536"/>
    <s v="ASSOCIATED PKG/KY LOUISVILLE"/>
    <s v="26869"/>
    <s v="BASIC GRAIN PRODUCTS"/>
    <x v="2"/>
    <s v="208492"/>
    <s v="HP 200 CLR-48mm x 914m-6 rls/cs-S"/>
    <n v="10914.4"/>
    <n v="11735.54"/>
    <n v="45334.080000000002"/>
    <n v="45334.080000000002"/>
    <x v="2"/>
    <x v="48"/>
    <x v="6"/>
  </r>
  <r>
    <s v="26"/>
    <s v="SARA LEVINE (I)"/>
    <s v="708536"/>
    <s v="ASSOCIATED PKG/KY LOUISVILLE"/>
    <s v="27868"/>
    <s v="QUALITY BAKERY CO"/>
    <x v="3"/>
    <s v="207142"/>
    <s v="HP 100 CLR-48mm x 100m-36 rls/cs-S"/>
    <m/>
    <n v="2170.48"/>
    <m/>
    <n v="8679.7199999999993"/>
    <x v="2"/>
    <x v="49"/>
    <x v="22"/>
  </r>
  <r>
    <s v="26"/>
    <s v="SARA LEVINE (I)"/>
    <s v="708536"/>
    <s v="ASSOCIATED PKG/KY LOUISVILLE"/>
    <s v="28565"/>
    <s v="SPACEKRAFT"/>
    <x v="14"/>
    <s v="232165"/>
    <s v="DT 200 GLA-48mm x 50m-24 rls/cs-H"/>
    <n v="70025.48"/>
    <m/>
    <n v="33062.400000000001"/>
    <m/>
    <x v="2"/>
    <x v="50"/>
    <x v="41"/>
  </r>
  <r>
    <s v="26"/>
    <s v="SARA LEVINE (I)"/>
    <s v="708536"/>
    <s v="ASSOCIATED PKG/KY LOUISVILLE"/>
    <s v="28565"/>
    <s v="SPACEKRAFT"/>
    <x v="6"/>
    <s v="207888"/>
    <s v="HP 300 CLR-48mm x 50m-36 rls/cs-H"/>
    <n v="7270.56"/>
    <m/>
    <n v="12399.6"/>
    <m/>
    <x v="2"/>
    <x v="50"/>
    <x v="42"/>
  </r>
  <r>
    <s v="26"/>
    <s v="SARA LEVINE (I)"/>
    <s v="708536"/>
    <s v="ASSOCIATED PKG/KY LOUISVILLE"/>
    <s v="33313"/>
    <s v="WHITE CASTLE"/>
    <x v="3"/>
    <s v="195553"/>
    <s v="HP 100 CLR-53mm x 1500m-6 rls/cs-S"/>
    <n v="4956.8100000000004"/>
    <n v="10409.73"/>
    <n v="20537.495999999999"/>
    <n v="41074.991999999998"/>
    <x v="2"/>
    <x v="51"/>
    <x v="18"/>
  </r>
  <r>
    <s v="26"/>
    <s v="SARA LEVINE (I)"/>
    <s v="708536"/>
    <s v="ASSOCIATED PKG/KY LOUISVILLE"/>
    <s v="33769"/>
    <s v="ROLLPAK CORP/BERRY GLOBAL"/>
    <x v="3"/>
    <s v="195553"/>
    <s v="HP 100 CLR-53mm x 1500m-6 rls/cs-S"/>
    <n v="9225.06"/>
    <n v="9686.9500000000007"/>
    <n v="41074.991999999998"/>
    <n v="41074.991999999998"/>
    <x v="2"/>
    <x v="52"/>
    <x v="18"/>
  </r>
  <r>
    <s v="26"/>
    <s v="SARA LEVINE (I)"/>
    <s v="708536"/>
    <s v="ASSOCIATED PKG/KY LOUISVILLE"/>
    <s v="34535"/>
    <s v="QCD"/>
    <x v="2"/>
    <s v="207149"/>
    <s v="HP 200 CLR-48mm x 100m-36 rls/cs-S"/>
    <n v="613.72"/>
    <m/>
    <n v="2479.92"/>
    <m/>
    <x v="2"/>
    <x v="53"/>
    <x v="3"/>
  </r>
  <r>
    <s v="26"/>
    <s v="SARA LEVINE (I)"/>
    <s v="708536"/>
    <s v="ASSOCIATED PKG/KY LOUISVILLE"/>
    <s v="34558"/>
    <s v="EXPRESS PACKAGING"/>
    <x v="2"/>
    <s v="207149"/>
    <s v="HP 200 CLR-48mm x 100m-36 rls/cs-S"/>
    <n v="2993.76"/>
    <m/>
    <n v="12399.6"/>
    <m/>
    <x v="2"/>
    <x v="54"/>
    <x v="3"/>
  </r>
  <r>
    <s v="26"/>
    <s v="SARA LEVINE (I)"/>
    <s v="708536"/>
    <s v="ASSOCIATED PKG/KY LOUISVILLE"/>
    <s v="37873"/>
    <s v="DOMTAR PAPER CO LLC"/>
    <x v="15"/>
    <s v="101536"/>
    <s v="CP 083 NAT-48mm x 55m-24 rls/cs-S"/>
    <m/>
    <n v="62.01"/>
    <m/>
    <n v="75.78"/>
    <x v="2"/>
    <x v="55"/>
    <x v="43"/>
  </r>
  <r>
    <s v="26"/>
    <s v="SARA LEVINE (I)"/>
    <s v="708536"/>
    <s v="ASSOCIATED PKG/KY LOUISVILLE"/>
    <s v="44567"/>
    <s v="ALBANESE CONFECTIONERY GRP"/>
    <x v="2"/>
    <s v="201324"/>
    <s v="HP 200 CLR-53mm x 1371m-6 rls/cs-H"/>
    <n v="10354.129999999999"/>
    <m/>
    <n v="37542.527999999998"/>
    <m/>
    <x v="2"/>
    <x v="56"/>
    <x v="44"/>
  </r>
  <r>
    <s v="26"/>
    <s v="SARA LEVINE (I)"/>
    <s v="708536"/>
    <s v="ASSOCIATED PKG/KY LOUISVILLE"/>
    <s v="44567"/>
    <s v="ALBANESE CONFECTIONERY GRP"/>
    <x v="2"/>
    <s v="207149"/>
    <s v="HP 200 CLR-48mm x 100m-36 rls/cs-S"/>
    <n v="9280.66"/>
    <n v="3122.06"/>
    <n v="37198.800000000003"/>
    <n v="12399.6"/>
    <x v="2"/>
    <x v="56"/>
    <x v="3"/>
  </r>
  <r>
    <s v="26"/>
    <s v="SARA LEVINE (I)"/>
    <s v="708536"/>
    <s v="ASSOCIATED PKG/KY LOUISVILLE"/>
    <s v="45362"/>
    <s v="ROCKY SHOES AND BOOTS"/>
    <x v="16"/>
    <s v="101374"/>
    <s v="GS 521 CLR-18mm x 55m-48 rls/cs-H"/>
    <m/>
    <n v="312.68"/>
    <m/>
    <n v="113.66"/>
    <x v="2"/>
    <x v="57"/>
    <x v="45"/>
  </r>
  <r>
    <s v="26"/>
    <s v="SARA LEVINE (I)"/>
    <s v="708536"/>
    <s v="ASSOCIATED PKG/KY LOUISVILLE"/>
    <s v="45598"/>
    <s v="HEAVEN HILL DISTILLERIES"/>
    <x v="17"/>
    <s v="104675"/>
    <s v="FP 115 BRN-48mm x 55m-24 rls/cs-H"/>
    <m/>
    <n v="461.89"/>
    <m/>
    <n v="303.072"/>
    <x v="2"/>
    <x v="58"/>
    <x v="46"/>
  </r>
  <r>
    <s v="26"/>
    <s v="SARA LEVINE (I)"/>
    <s v="708536"/>
    <s v="ASSOCIATED PKG/KY LOUISVILLE"/>
    <s v="75545"/>
    <s v="ID IMAGES"/>
    <x v="2"/>
    <s v="208496"/>
    <s v="HP 200 CLR-72mm x 914m-4 rls/cs-S"/>
    <n v="261.36"/>
    <m/>
    <n v="944.46"/>
    <m/>
    <x v="2"/>
    <x v="59"/>
    <x v="5"/>
  </r>
  <r>
    <s v="26"/>
    <s v="SARA LEVINE (I)"/>
    <s v="708536"/>
    <s v="ASSOCIATED PKG/KY LOUISVILLE"/>
    <s v="81193"/>
    <s v="THINK PACKAGING"/>
    <x v="2"/>
    <s v="100404"/>
    <s v="HP 200 CLR-48mm x 1828m-6 rls/cs-S"/>
    <m/>
    <n v="521.59"/>
    <m/>
    <n v="1888.95"/>
    <x v="2"/>
    <x v="60"/>
    <x v="30"/>
  </r>
  <r>
    <s v="26"/>
    <s v="SARA LEVINE (I)"/>
    <s v="708536"/>
    <s v="ASSOCIATED PKG/KY LOUISVILLE"/>
    <s v="701287"/>
    <s v="AUNT MILLIE'S - COLDWATER BAKE"/>
    <x v="3"/>
    <s v="195553"/>
    <s v="HP 100 CLR-53mm x 1500m-6 rls/cs-S"/>
    <n v="6513.21"/>
    <n v="15799.21"/>
    <n v="28524.3"/>
    <n v="62753.46"/>
    <x v="2"/>
    <x v="61"/>
    <x v="18"/>
  </r>
  <r>
    <s v="26"/>
    <s v="SARA LEVINE (I)"/>
    <s v="708536"/>
    <s v="ASSOCIATED PKG/KY LOUISVILLE"/>
    <s v="701287"/>
    <s v="AUNT MILLIE'S - COLDWATER BAKE"/>
    <x v="2"/>
    <s v="207149"/>
    <s v="HP 200 CLR-48mm x 100m-36 rls/cs-S"/>
    <m/>
    <n v="1040.69"/>
    <m/>
    <n v="4133.2"/>
    <x v="2"/>
    <x v="61"/>
    <x v="3"/>
  </r>
  <r>
    <s v="26"/>
    <s v="SARA LEVINE (I)"/>
    <s v="708536"/>
    <s v="ASSOCIATED PKG/KY LOUISVILLE"/>
    <s v="701287"/>
    <s v="AUNT MILLIE'S - COLDWATER BAKE"/>
    <x v="18"/>
    <s v="900617"/>
    <s v="SD 932  PISTOL GRIP TAPE DISP. ECONOMY-S"/>
    <m/>
    <n v="19.48"/>
    <m/>
    <n v="0"/>
    <x v="2"/>
    <x v="61"/>
    <x v="47"/>
  </r>
  <r>
    <s v="26"/>
    <s v="SARA LEVINE (I)"/>
    <s v="708536"/>
    <s v="ASSOCIATED PKG/KY LOUISVILLE"/>
    <s v="706717"/>
    <s v="AMERIQUAL PACKAGING"/>
    <x v="19"/>
    <s v="208561"/>
    <s v="HP 500 CLR-48mm x 914m-6 rls/cs-H"/>
    <n v="7274.84"/>
    <n v="15276.72"/>
    <n v="11333.52"/>
    <n v="22667.040000000001"/>
    <x v="2"/>
    <x v="62"/>
    <x v="48"/>
  </r>
  <r>
    <s v="26"/>
    <s v="SARA LEVINE (I)"/>
    <s v="708536"/>
    <s v="ASSOCIATED PKG/KY LOUISVILLE"/>
    <s v="708536"/>
    <s v="ASSOCIATED PKG/KY LOUISVILLE"/>
    <x v="11"/>
    <s v="140431"/>
    <s v="CP 105 NAT-24mm x 55m- 36 rls/cs-S"/>
    <n v="128.30000000000001"/>
    <m/>
    <n v="227.32"/>
    <m/>
    <x v="2"/>
    <x v="63"/>
    <x v="49"/>
  </r>
  <r>
    <s v="26"/>
    <s v="SARA LEVINE (I)"/>
    <s v="708536"/>
    <s v="ASSOCIATED PKG/KY LOUISVILLE"/>
    <s v="708536"/>
    <s v="ASSOCIATED PKG/KY LOUISVILLE"/>
    <x v="3"/>
    <s v="207194"/>
    <s v="HP 100 CLR-72mm x 100m-24 rls/cs-S"/>
    <n v="2794.18"/>
    <n v="6001.78"/>
    <n v="12399.6"/>
    <n v="24799.200000000001"/>
    <x v="2"/>
    <x v="63"/>
    <x v="50"/>
  </r>
  <r>
    <s v="26"/>
    <s v="SARA LEVINE (I)"/>
    <s v="708536"/>
    <s v="ASSOCIATED PKG/KY LOUISVILLE"/>
    <s v="708536"/>
    <s v="ASSOCIATED PKG/KY LOUISVILLE"/>
    <x v="3"/>
    <s v="208453"/>
    <s v="HP 100 CLR-48mm x 914m-6 rls/cs-S"/>
    <n v="741.31"/>
    <m/>
    <n v="3148.2"/>
    <m/>
    <x v="2"/>
    <x v="63"/>
    <x v="24"/>
  </r>
  <r>
    <s v="26"/>
    <s v="SARA LEVINE (I)"/>
    <s v="708536"/>
    <s v="ASSOCIATED PKG/KY LOUISVILLE"/>
    <s v="708536"/>
    <s v="ASSOCIATED PKG/KY LOUISVILLE"/>
    <x v="2"/>
    <s v="100404"/>
    <s v="HP 200 CLR-48mm x 1828m-6 rls/cs-S"/>
    <n v="5974.69"/>
    <n v="6076.09"/>
    <n v="22667.4"/>
    <n v="22037.75"/>
    <x v="2"/>
    <x v="63"/>
    <x v="30"/>
  </r>
  <r>
    <s v="26"/>
    <s v="SARA LEVINE (I)"/>
    <s v="708536"/>
    <s v="ASSOCIATED PKG/KY LOUISVILLE"/>
    <s v="708536"/>
    <s v="ASSOCIATED PKG/KY LOUISVILLE"/>
    <x v="2"/>
    <s v="123897"/>
    <s v="HP 200 BLU-72mm x 914m-4 rls/cs-H"/>
    <n v="7757.16"/>
    <m/>
    <n v="15111.36"/>
    <m/>
    <x v="2"/>
    <x v="63"/>
    <x v="51"/>
  </r>
  <r>
    <s v="26"/>
    <s v="SARA LEVINE (I)"/>
    <s v="708536"/>
    <s v="ASSOCIATED PKG/KY LOUISVILLE"/>
    <s v="708536"/>
    <s v="ASSOCIATED PKG/KY LOUISVILLE"/>
    <x v="2"/>
    <s v="201324"/>
    <s v="HP 200 CLR-53mm x 1371m-6 rls/cs-H"/>
    <n v="36239.46"/>
    <m/>
    <n v="131398.848"/>
    <m/>
    <x v="2"/>
    <x v="63"/>
    <x v="44"/>
  </r>
  <r>
    <s v="26"/>
    <s v="SARA LEVINE (I)"/>
    <s v="708536"/>
    <s v="ASSOCIATED PKG/KY LOUISVILLE"/>
    <s v="708536"/>
    <s v="ASSOCIATED PKG/KY LOUISVILLE"/>
    <x v="2"/>
    <s v="207149"/>
    <s v="HP 200 CLR-48mm x 100m-36 rls/cs-S"/>
    <n v="5987.52"/>
    <n v="1561.03"/>
    <n v="24799.200000000001"/>
    <n v="6199.8"/>
    <x v="2"/>
    <x v="63"/>
    <x v="3"/>
  </r>
  <r>
    <s v="26"/>
    <s v="SARA LEVINE (I)"/>
    <s v="708536"/>
    <s v="ASSOCIATED PKG/KY LOUISVILLE"/>
    <s v="708536"/>
    <s v="ASSOCIATED PKG/KY LOUISVILLE"/>
    <x v="2"/>
    <s v="207233"/>
    <s v="HP 200 CLR-72mm x 100m-24 rls/cs-S"/>
    <n v="323.61"/>
    <n v="118.8"/>
    <n v="1239.96"/>
    <n v="413.32"/>
    <x v="2"/>
    <x v="63"/>
    <x v="28"/>
  </r>
  <r>
    <s v="26"/>
    <s v="SARA LEVINE (I)"/>
    <s v="708536"/>
    <s v="ASSOCIATED PKG/KY LOUISVILLE"/>
    <s v="708536"/>
    <s v="ASSOCIATED PKG/KY LOUISVILLE"/>
    <x v="2"/>
    <s v="208492"/>
    <s v="HP 200 CLR-48mm x 914m-6 rls/cs-S"/>
    <n v="497.89"/>
    <n v="173.8"/>
    <n v="1888.92"/>
    <n v="629.64"/>
    <x v="2"/>
    <x v="63"/>
    <x v="6"/>
  </r>
  <r>
    <s v="26"/>
    <s v="SARA LEVINE (I)"/>
    <s v="708536"/>
    <s v="ASSOCIATED PKG/KY LOUISVILLE"/>
    <s v="708538"/>
    <s v="MID STATE WAREHOUSE FOR RICH PRODUC"/>
    <x v="3"/>
    <s v="195553"/>
    <s v="HP 100 CLR-53mm x 1500m-6 rls/cs-S"/>
    <n v="14913.19"/>
    <n v="10372.18"/>
    <n v="82149.983999999997"/>
    <n v="52484.712"/>
    <x v="2"/>
    <x v="64"/>
    <x v="18"/>
  </r>
  <r>
    <s v="26"/>
    <s v="SARA LEVINE (I)"/>
    <s v="708536"/>
    <s v="ASSOCIATED PKG/KY LOUISVILLE"/>
    <s v="708637"/>
    <s v="KENCO LOGISTIC SERVICES"/>
    <x v="17"/>
    <s v="104663"/>
    <s v="FP 115 BRN-72mm x 55m-16 rls/cs-H"/>
    <m/>
    <n v="630.44000000000005"/>
    <m/>
    <n v="378.88"/>
    <x v="2"/>
    <x v="65"/>
    <x v="52"/>
  </r>
  <r>
    <s v="26"/>
    <s v="SARA LEVINE (I)"/>
    <s v="708536"/>
    <s v="ASSOCIATED PKG/KY LOUISVILLE"/>
    <s v="708654"/>
    <s v="ORBIS CORPORATION"/>
    <x v="20"/>
    <s v="100055"/>
    <s v="FP 097 KFT-48mm x 50m-24 rls/cs-H"/>
    <m/>
    <n v="100.5"/>
    <m/>
    <n v="68.89"/>
    <x v="2"/>
    <x v="66"/>
    <x v="53"/>
  </r>
  <r>
    <s v="26"/>
    <s v="SARA LEVINE (I)"/>
    <s v="708536"/>
    <s v="ASSOCIATED PKG/KY LOUISVILLE"/>
    <s v="708654"/>
    <s v="ORBIS CORPORATION"/>
    <x v="19"/>
    <s v="207831"/>
    <s v="HP 500 CLR-48mm x 50m-36 rls/cs-H/A"/>
    <n v="898.84"/>
    <n v="1054.94"/>
    <n v="929.97"/>
    <n v="1033.3"/>
    <x v="2"/>
    <x v="66"/>
    <x v="54"/>
  </r>
  <r>
    <s v="26"/>
    <s v="SARA LEVINE (I)"/>
    <s v="708536"/>
    <s v="ASSOCIATED PKG/KY LOUISVILLE"/>
    <s v="708660"/>
    <s v="EPW"/>
    <x v="21"/>
    <s v="230982"/>
    <s v="AP 101 CLR-48mm x 100m-36 rls/cs-S"/>
    <n v="2673"/>
    <m/>
    <n v="12398.4"/>
    <m/>
    <x v="2"/>
    <x v="67"/>
    <x v="55"/>
  </r>
  <r>
    <s v="26"/>
    <s v="SARA LEVINE (I)"/>
    <s v="708536"/>
    <s v="ASSOCIATED PKG/KY LOUISVILLE"/>
    <s v="708734"/>
    <s v="PARKER HANNIFIN CORP HVAC DIV"/>
    <x v="11"/>
    <s v="113699"/>
    <s v="CP 105 NAT-72mm x 55m-16 rls/cs-H"/>
    <n v="279.42"/>
    <m/>
    <n v="454.68"/>
    <m/>
    <x v="2"/>
    <x v="68"/>
    <x v="56"/>
  </r>
  <r>
    <s v="26"/>
    <s v="SARA LEVINE (I)"/>
    <s v="708536"/>
    <s v="ASSOCIATED PKG/KY LOUISVILLE"/>
    <s v="708734"/>
    <s v="PARKER HANNIFIN CORP HVAC DIV"/>
    <x v="22"/>
    <s v="138775"/>
    <s v="P- 628 BLK-48mm x 50m-24 RLS/CS-S"/>
    <n v="811.17"/>
    <n v="892.43"/>
    <n v="137.77600000000001"/>
    <n v="137.77600000000001"/>
    <x v="2"/>
    <x v="68"/>
    <x v="57"/>
  </r>
  <r>
    <s v="26"/>
    <s v="SARA LEVINE (I)"/>
    <s v="708536"/>
    <s v="ASSOCIATED PKG/KY LOUISVILLE"/>
    <s v="708795"/>
    <s v="KEHE DISTRIBUTORS"/>
    <x v="0"/>
    <s v="231045"/>
    <s v="AP 180 CLR-72mm x 100m-24 rls/cs-H/A"/>
    <n v="2922.48"/>
    <n v="2950.99"/>
    <n v="12400.128000000001"/>
    <n v="12400.128000000001"/>
    <x v="2"/>
    <x v="69"/>
    <x v="58"/>
  </r>
  <r>
    <s v="26"/>
    <s v="SARA LEVINE (I)"/>
    <s v="708536"/>
    <s v="ASSOCIATED PKG/KY LOUISVILLE"/>
    <s v="708795"/>
    <s v="KEHE DISTRIBUTORS"/>
    <x v="2"/>
    <s v="207233"/>
    <s v="HP 200 CLR-72mm x 100m-24 rls/cs-S"/>
    <n v="12573.79"/>
    <m/>
    <n v="49598.400000000001"/>
    <m/>
    <x v="2"/>
    <x v="69"/>
    <x v="28"/>
  </r>
  <r>
    <s v="26"/>
    <s v="SARA LEVINE (I)"/>
    <s v="708536"/>
    <s v="ASSOCIATED PKG/KY LOUISVILLE"/>
    <s v="708795"/>
    <s v="KEHE DISTRIBUTORS"/>
    <x v="4"/>
    <s v="150721"/>
    <s v="HP 235 CLR-72mm x 914m-4 rls/cs-H"/>
    <m/>
    <n v="3984.55"/>
    <m/>
    <n v="11334.24"/>
    <x v="2"/>
    <x v="69"/>
    <x v="23"/>
  </r>
  <r>
    <s v="26"/>
    <s v="SARA LEVINE (I)"/>
    <s v="708536"/>
    <s v="ASSOCIATED PKG/KY LOUISVILLE"/>
    <s v="708795"/>
    <s v="KEHE DISTRIBUTORS"/>
    <x v="10"/>
    <s v="909535"/>
    <s v="SD 935  PISTOL GRIP DISPNSR-3 IN. ROLL-S"/>
    <n v="195.78"/>
    <n v="79.83"/>
    <n v="0"/>
    <n v="0"/>
    <x v="2"/>
    <x v="69"/>
    <x v="33"/>
  </r>
  <r>
    <s v="26"/>
    <s v="SARA LEVINE (I)"/>
    <s v="708536"/>
    <s v="ASSOCIATED PKG/KY LOUISVILLE"/>
    <s v="710113"/>
    <s v="AMCOR FLEXIBLE SHELBYVILLE"/>
    <x v="12"/>
    <s v="101006"/>
    <s v="CP 106 NAT-24mm x 55m-36 rls/cs-S"/>
    <m/>
    <n v="166.8"/>
    <m/>
    <n v="227.32"/>
    <x v="2"/>
    <x v="70"/>
    <x v="59"/>
  </r>
  <r>
    <s v="26"/>
    <s v="SARA LEVINE (I)"/>
    <s v="708536"/>
    <s v="ASSOCIATED PKG/KY LOUISVILLE"/>
    <s v="710113"/>
    <s v="AMCOR FLEXIBLE SHELBYVILLE"/>
    <x v="12"/>
    <s v="101008"/>
    <s v="CP 106 NAT-48mm x 55m-24 rls/cs-S"/>
    <n v="401.07"/>
    <n v="442.88"/>
    <n v="606.24"/>
    <n v="606.24"/>
    <x v="2"/>
    <x v="70"/>
    <x v="60"/>
  </r>
  <r>
    <s v="26"/>
    <s v="SARA LEVINE (I)"/>
    <s v="708536"/>
    <s v="ASSOCIATED PKG/KY LOUISVILLE"/>
    <s v="710113"/>
    <s v="AMCOR FLEXIBLE SHELBYVILLE"/>
    <x v="20"/>
    <s v="101072"/>
    <s v="FP 097 KFT-48mm x 55m-24 rls/cs-H/A"/>
    <m/>
    <n v="179.16"/>
    <m/>
    <n v="151.56"/>
    <x v="2"/>
    <x v="70"/>
    <x v="61"/>
  </r>
  <r>
    <s v="26"/>
    <s v="SARA LEVINE (I)"/>
    <s v="708536"/>
    <s v="ASSOCIATED PKG/KY LOUISVILLE"/>
    <s v="710113"/>
    <s v="AMCOR FLEXIBLE SHELBYVILLE"/>
    <x v="2"/>
    <s v="207149"/>
    <s v="HP 200 CLR-48mm x 100m-36 rls/cs-S"/>
    <m/>
    <n v="468.31"/>
    <m/>
    <n v="1859.94"/>
    <x v="2"/>
    <x v="70"/>
    <x v="3"/>
  </r>
  <r>
    <s v="26"/>
    <s v="SARA LEVINE (I)"/>
    <s v="708536"/>
    <s v="ASSOCIATED PKG/KY LOUISVILLE"/>
    <s v="710544"/>
    <s v="MAPLEHURST BAKERY"/>
    <x v="2"/>
    <s v="101428"/>
    <s v="HP 200 CLR-48mm x 1500m-6 rls/cs-H"/>
    <m/>
    <n v="9785.32"/>
    <m/>
    <n v="37200.239999999998"/>
    <x v="2"/>
    <x v="71"/>
    <x v="39"/>
  </r>
  <r>
    <s v="26"/>
    <s v="SARA LEVINE (I)"/>
    <s v="708536"/>
    <s v="ASSOCIATED PKG/KY LOUISVILLE"/>
    <s v="710544"/>
    <s v="MAPLEHURST BAKERY"/>
    <x v="2"/>
    <s v="207149"/>
    <s v="HP 200 CLR-48mm x 100m-36 rls/cs-S"/>
    <n v="2993.76"/>
    <m/>
    <n v="12399.6"/>
    <m/>
    <x v="2"/>
    <x v="71"/>
    <x v="3"/>
  </r>
  <r>
    <s v="26"/>
    <s v="SARA LEVINE (I)"/>
    <s v="708536"/>
    <s v="ASSOCIATED PKG/KY LOUISVILLE"/>
    <s v="710544"/>
    <s v="MAPLEHURST BAKERY"/>
    <x v="2"/>
    <s v="208511"/>
    <s v="HP 200 CLR-48mm x 1371m-6 rls/cs-S"/>
    <n v="5250.48"/>
    <m/>
    <n v="21722.58"/>
    <m/>
    <x v="2"/>
    <x v="71"/>
    <x v="4"/>
  </r>
  <r>
    <s v="26"/>
    <s v="SARA LEVINE (I)"/>
    <s v="708536"/>
    <s v="ASSOCIATED PKG/KY LOUISVILLE"/>
    <s v="711137"/>
    <s v="GLOBAL HARVEST FOODS"/>
    <x v="3"/>
    <s v="208470"/>
    <s v="HP 100 CLR-48mm x 1371m-6 rls/cs- S"/>
    <n v="16726.55"/>
    <m/>
    <n v="68001.119999999995"/>
    <m/>
    <x v="2"/>
    <x v="72"/>
    <x v="8"/>
  </r>
  <r>
    <s v="26"/>
    <s v="SARA LEVINE (I)"/>
    <s v="708536"/>
    <s v="ASSOCIATED PKG/KY LOUISVILLE"/>
    <s v="711137"/>
    <s v="GLOBAL HARVEST FOODS"/>
    <x v="2"/>
    <s v="207149"/>
    <s v="HP 200 CLR-48mm x 100m-36 rls/cs-S"/>
    <n v="798.34"/>
    <n v="2543.27"/>
    <n v="3306.56"/>
    <n v="9919.68"/>
    <x v="2"/>
    <x v="72"/>
    <x v="3"/>
  </r>
  <r>
    <s v="26"/>
    <s v="SARA LEVINE (I)"/>
    <s v="708536"/>
    <s v="ASSOCIATED PKG/KY LOUISVILLE"/>
    <s v="711137"/>
    <s v="GLOBAL HARVEST FOODS"/>
    <x v="2"/>
    <s v="208496"/>
    <s v="HP 200 CLR-72mm x 914m-4 rls/cs-S"/>
    <m/>
    <n v="27858.85"/>
    <m/>
    <n v="96334.92"/>
    <x v="2"/>
    <x v="72"/>
    <x v="5"/>
  </r>
  <r>
    <s v="26"/>
    <s v="SARA LEVINE (I)"/>
    <s v="708536"/>
    <s v="ASSOCIATED PKG/KY LOUISVILLE"/>
    <s v="711137"/>
    <s v="GLOBAL HARVEST FOODS"/>
    <x v="2"/>
    <s v="208511"/>
    <s v="HP 200 CLR-48mm x 1371m-6 rls/cs-S"/>
    <m/>
    <n v="1190.97"/>
    <m/>
    <n v="4722.3"/>
    <x v="2"/>
    <x v="72"/>
    <x v="4"/>
  </r>
  <r>
    <s v="26"/>
    <s v="SARA LEVINE (I)"/>
    <s v="708536"/>
    <s v="ASSOCIATED PKG/KY LOUISVILLE"/>
    <s v="713453"/>
    <s v="AAK USA LLC"/>
    <x v="19"/>
    <s v="208571"/>
    <s v="HP 500 CLR-72mm x 914m-4 rls/cs-S"/>
    <n v="12226.9"/>
    <n v="15405.98"/>
    <n v="12592.923000000001"/>
    <n v="15111.508"/>
    <x v="2"/>
    <x v="73"/>
    <x v="62"/>
  </r>
  <r>
    <s v="26"/>
    <s v="SARA LEVINE (I)"/>
    <s v="708536"/>
    <s v="ASSOCIATED PKG/KY LOUISVILLE"/>
    <s v="714666"/>
    <s v="PARKER HANNIFIN CORP HVAC DIV"/>
    <x v="15"/>
    <s v="101536"/>
    <s v="CP 083 NAT-48mm x 55m-24 rls/cs-S"/>
    <n v="579.74"/>
    <m/>
    <n v="757.8"/>
    <m/>
    <x v="2"/>
    <x v="74"/>
    <x v="43"/>
  </r>
  <r>
    <s v="26"/>
    <s v="SARA LEVINE (I)"/>
    <s v="708536"/>
    <s v="ASSOCIATED PKG/KY LOUISVILLE"/>
    <s v="714666"/>
    <s v="PARKER HANNIFIN CORP HVAC DIV"/>
    <x v="2"/>
    <s v="120887"/>
    <s v="HP 200 WHI-48mm x 100m-36 rls/cs-H"/>
    <n v="330.74"/>
    <n v="260.88"/>
    <n v="826.68"/>
    <n v="620.01"/>
    <x v="2"/>
    <x v="74"/>
    <x v="63"/>
  </r>
  <r>
    <s v="26"/>
    <s v="SARA LEVINE (I)"/>
    <s v="708536"/>
    <s v="ASSOCIATED PKG/KY LOUISVILLE"/>
    <s v="716771"/>
    <s v="GENPAK"/>
    <x v="3"/>
    <s v="208453"/>
    <s v="HP 100 CLR-48mm x 914m-6 rls/cs-S"/>
    <n v="8331.2099999999991"/>
    <m/>
    <n v="30222.720000000001"/>
    <m/>
    <x v="2"/>
    <x v="75"/>
    <x v="24"/>
  </r>
  <r>
    <s v="26"/>
    <s v="SARA LEVINE (I)"/>
    <s v="708536"/>
    <s v="ASSOCIATED PKG/KY LOUISVILLE"/>
    <s v="717853"/>
    <s v="MAPLEHURST BAKERIES"/>
    <x v="2"/>
    <s v="101428"/>
    <s v="HP 200 CLR-48mm x 1500m-6 rls/cs-H"/>
    <n v="13978.72"/>
    <n v="39141.269999999997"/>
    <n v="55800.36"/>
    <n v="148800.95999999999"/>
    <x v="2"/>
    <x v="76"/>
    <x v="39"/>
  </r>
  <r>
    <s v="26"/>
    <s v="SARA LEVINE (I)"/>
    <s v="708536"/>
    <s v="ASSOCIATED PKG/KY LOUISVILLE"/>
    <s v="717853"/>
    <s v="MAPLEHURST BAKERIES"/>
    <x v="2"/>
    <s v="207149"/>
    <s v="HP 200 CLR-48mm x 100m-36 rls/cs-S"/>
    <m/>
    <n v="1040.69"/>
    <m/>
    <n v="4133.2"/>
    <x v="2"/>
    <x v="76"/>
    <x v="3"/>
  </r>
  <r>
    <s v="26"/>
    <s v="SARA LEVINE (I)"/>
    <s v="708536"/>
    <s v="ASSOCIATED PKG/KY LOUISVILLE"/>
    <s v="717862"/>
    <s v="PARKER COMMERCIAL STORAGE &amp; DI"/>
    <x v="2"/>
    <s v="207149"/>
    <s v="HP 200 CLR-48mm x 100m-36 rls/cs-S"/>
    <n v="3143.45"/>
    <m/>
    <n v="12399.6"/>
    <m/>
    <x v="2"/>
    <x v="77"/>
    <x v="3"/>
  </r>
  <r>
    <s v="26"/>
    <s v="SARA LEVINE (I)"/>
    <s v="708536"/>
    <s v="ASSOCIATED PKG/KY LOUISVILLE"/>
    <s v="718089"/>
    <s v="INTERNATIONAL PAPER"/>
    <x v="23"/>
    <s v="232259"/>
    <s v="DP 380 GLA-48mm x 50m-24 rls/cs-H"/>
    <n v="168.93"/>
    <m/>
    <n v="68.89"/>
    <m/>
    <x v="2"/>
    <x v="78"/>
    <x v="64"/>
  </r>
  <r>
    <s v="26"/>
    <s v="SARA LEVINE (I)"/>
    <s v="708536"/>
    <s v="ASSOCIATED PKG/KY LOUISVILLE"/>
    <s v="719150"/>
    <s v="T MARZETTI COMPANY"/>
    <x v="3"/>
    <s v="207142"/>
    <s v="HP 100 CLR-48mm x 100m-36 rls/cs-S"/>
    <n v="1193.22"/>
    <m/>
    <n v="4959.84"/>
    <m/>
    <x v="2"/>
    <x v="79"/>
    <x v="22"/>
  </r>
  <r>
    <s v="26"/>
    <s v="SARA LEVINE (I)"/>
    <s v="708536"/>
    <s v="ASSOCIATED PKG/KY LOUISVILLE"/>
    <s v="719905"/>
    <s v="PROXIMO DISTILLERS"/>
    <x v="3"/>
    <s v="195553"/>
    <s v="HP 100 CLR-53mm x 1500m-6 rls/cs-S"/>
    <n v="22709.8"/>
    <n v="16229.51"/>
    <n v="82149.983999999997"/>
    <n v="55907.627999999997"/>
    <x v="2"/>
    <x v="80"/>
    <x v="18"/>
  </r>
  <r>
    <s v="26"/>
    <s v="SARA LEVINE (I)"/>
    <s v="708536"/>
    <s v="ASSOCIATED PKG/KY LOUISVILLE"/>
    <s v="719905"/>
    <s v="PROXIMO DISTILLERS"/>
    <x v="2"/>
    <s v="136221"/>
    <s v="HP 200 ORG-48mm x 914m-6 rls/cs-H"/>
    <m/>
    <n v="1725.57"/>
    <m/>
    <n v="3148.2"/>
    <x v="2"/>
    <x v="80"/>
    <x v="13"/>
  </r>
  <r>
    <s v="26"/>
    <s v="SARA LEVINE (I)"/>
    <s v="708536"/>
    <s v="ASSOCIATED PKG/KY LOUISVILLE"/>
    <s v="720956"/>
    <s v="MAPLEHURST BAKERIES"/>
    <x v="2"/>
    <s v="101428"/>
    <s v="HP 200 CLR-48mm x 1500m-6 rls/cs-H"/>
    <n v="44371.8"/>
    <n v="39141.279999999999"/>
    <n v="186001.2"/>
    <n v="148800.95999999999"/>
    <x v="2"/>
    <x v="81"/>
    <x v="39"/>
  </r>
  <r>
    <s v="26"/>
    <s v="SARA LEVINE (I)"/>
    <s v="708536"/>
    <s v="ASSOCIATED PKG/KY LOUISVILLE"/>
    <s v="721175"/>
    <s v="AMERICAN AIR FILTER"/>
    <x v="24"/>
    <s v="100466"/>
    <s v="CP 107 NAT-48mm x 55m-24 rls/cs-H/A"/>
    <n v="2548.2600000000002"/>
    <m/>
    <n v="2954.25"/>
    <m/>
    <x v="2"/>
    <x v="82"/>
    <x v="65"/>
  </r>
  <r>
    <s v="26"/>
    <s v="SARA LEVINE (I)"/>
    <s v="708536"/>
    <s v="ASSOCIATED PKG/KY LOUISVILLE"/>
    <s v="721175"/>
    <s v="AMERICAN AIR FILTER"/>
    <x v="25"/>
    <s v="188481"/>
    <s v="CP 500 NAT-24mm x 55m-36 rls/cs-H"/>
    <m/>
    <n v="830.77"/>
    <m/>
    <n v="511.47"/>
    <x v="2"/>
    <x v="82"/>
    <x v="66"/>
  </r>
  <r>
    <s v="26"/>
    <s v="SARA LEVINE (I)"/>
    <s v="708536"/>
    <s v="ASSOCIATED PKG/KY LOUISVILLE"/>
    <s v="724093"/>
    <s v="WINKLER INC"/>
    <x v="1"/>
    <s v="230962"/>
    <s v="AP 201 CLR-48mm x 100m-36 rls/cs-H/A"/>
    <n v="320.76"/>
    <m/>
    <n v="1033.2"/>
    <m/>
    <x v="2"/>
    <x v="83"/>
    <x v="25"/>
  </r>
  <r>
    <s v="26"/>
    <s v="SARA LEVINE (I)"/>
    <s v="708536"/>
    <s v="ASSOCIATED PKG/KY LOUISVILLE"/>
    <s v="724344"/>
    <s v="RAGE CORPORATION"/>
    <x v="2"/>
    <s v="208511"/>
    <s v="HP 200 CLR-48mm x 1371m-6 rls/cs-S"/>
    <n v="4298.18"/>
    <m/>
    <n v="17000.28"/>
    <m/>
    <x v="2"/>
    <x v="84"/>
    <x v="4"/>
  </r>
  <r>
    <s v="26"/>
    <s v="SARA LEVINE (I)"/>
    <s v="708536"/>
    <s v="ASSOCIATED PKG/KY LOUISVILLE"/>
    <s v="729312"/>
    <s v="NIFCO"/>
    <x v="13"/>
    <s v="201806"/>
    <s v="FP 096 KFT-48mm x 55m-24 rls/cs-S"/>
    <n v="100.74"/>
    <m/>
    <n v="75.78"/>
    <m/>
    <x v="2"/>
    <x v="85"/>
    <x v="40"/>
  </r>
  <r>
    <s v="26"/>
    <s v="SARA LEVINE (I)"/>
    <s v="708536"/>
    <s v="ASSOCIATED PKG/KY LOUISVILLE"/>
    <s v="732105"/>
    <s v="FRY KRISP FOOD PRODUCTS"/>
    <x v="6"/>
    <s v="208660"/>
    <s v="HP 300 CLR-72mm x 914m-4 rls/cs-H"/>
    <n v="1327.39"/>
    <n v="1463.62"/>
    <n v="3148.2"/>
    <n v="3148.2"/>
    <x v="2"/>
    <x v="86"/>
    <x v="67"/>
  </r>
  <r>
    <s v="26"/>
    <s v="SARA LEVINE (I)"/>
    <s v="708536"/>
    <s v="ASSOCIATED PKG/KY LOUISVILLE"/>
    <s v="733431"/>
    <s v="GENERIC ONE TIME SHIP-TO B2B DIST P"/>
    <x v="26"/>
    <s v="901801"/>
    <s v="50385 2&quot; RH/LH Hub"/>
    <m/>
    <n v="336.6"/>
    <m/>
    <n v="0"/>
    <x v="2"/>
    <x v="34"/>
    <x v="68"/>
  </r>
  <r>
    <s v="26"/>
    <s v="SARA LEVINE (I)"/>
    <s v="708536"/>
    <s v="ASSOCIATED PKG/KY LOUISVILLE"/>
    <s v="734369"/>
    <s v="AMERICAN MITSUBA"/>
    <x v="3"/>
    <s v="207142"/>
    <s v="HP 100 CLR-48mm x 100m-36 rls/cs-S"/>
    <n v="152.9"/>
    <n v="254.83"/>
    <n v="619.98"/>
    <n v="1033.3"/>
    <x v="2"/>
    <x v="87"/>
    <x v="22"/>
  </r>
  <r>
    <s v="26"/>
    <s v="SARA LEVINE (I)"/>
    <s v="708536"/>
    <s v="ASSOCIATED PKG/KY LOUISVILLE"/>
    <s v="736313"/>
    <s v="ASSOCIATED PKG FOR WHITE CASTLE"/>
    <x v="11"/>
    <s v="140431"/>
    <s v="CP 105 NAT-24mm x 55m- 36 rls/cs-S"/>
    <n v="192.46"/>
    <n v="183.55"/>
    <n v="340.98"/>
    <n v="284.14999999999998"/>
    <x v="2"/>
    <x v="88"/>
    <x v="49"/>
  </r>
  <r>
    <s v="26"/>
    <s v="SARA LEVINE (I)"/>
    <s v="708536"/>
    <s v="ASSOCIATED PKG/KY LOUISVILLE"/>
    <s v="736313"/>
    <s v="ASSOCIATED PKG FOR WHITE CASTLE"/>
    <x v="3"/>
    <s v="195553"/>
    <s v="HP 100 CLR-53mm x 1500m-6 rls/cs-S"/>
    <n v="4956.8100000000004"/>
    <n v="15614.59"/>
    <n v="20537.495999999999"/>
    <n v="61612.487999999998"/>
    <x v="2"/>
    <x v="88"/>
    <x v="18"/>
  </r>
  <r>
    <s v="26"/>
    <s v="SARA LEVINE (I)"/>
    <s v="708536"/>
    <s v="ASSOCIATED PKG/KY LOUISVILLE"/>
    <s v="736313"/>
    <s v="ASSOCIATED PKG FOR WHITE CASTLE"/>
    <x v="2"/>
    <s v="207233"/>
    <s v="HP 200 CLR-72mm x 100m-24 rls/cs-S"/>
    <m/>
    <n v="113.1"/>
    <m/>
    <n v="413.32"/>
    <x v="2"/>
    <x v="88"/>
    <x v="28"/>
  </r>
  <r>
    <s v="26"/>
    <s v="SARA LEVINE (I)"/>
    <s v="708536"/>
    <s v="ASSOCIATED PKG/KY LOUISVILLE"/>
    <s v="738291"/>
    <s v="ASSOCIATED PKG FOR BERRY GLOBAL/ROL"/>
    <x v="3"/>
    <s v="195553"/>
    <s v="HP 100 CLR-53mm x 1500m-6 rls/cs-S"/>
    <n v="1281.26"/>
    <m/>
    <n v="5704.86"/>
    <m/>
    <x v="2"/>
    <x v="89"/>
    <x v="18"/>
  </r>
  <r>
    <s v="26"/>
    <s v="SARA LEVINE (I)"/>
    <s v="708536"/>
    <s v="ASSOCIATED PKG/KY LOUISVILLE"/>
    <s v="738552"/>
    <s v="AUNT MILLIE'S"/>
    <x v="3"/>
    <s v="195553"/>
    <s v="HP 100 CLR-53mm x 1500m-6 rls/cs-S"/>
    <n v="13353.12"/>
    <n v="5170.66"/>
    <n v="57048.6"/>
    <n v="20537.495999999999"/>
    <x v="2"/>
    <x v="90"/>
    <x v="18"/>
  </r>
  <r>
    <s v="26"/>
    <s v="SARA LEVINE (I)"/>
    <s v="708536"/>
    <s v="ASSOCIATED PKG/KY LOUISVILLE"/>
    <s v="738552"/>
    <s v="AUNT MILLIE'S"/>
    <x v="2"/>
    <s v="207149"/>
    <s v="HP 200 CLR-48mm x 100m-36 rls/cs-S"/>
    <m/>
    <n v="520.34"/>
    <m/>
    <n v="2066.6"/>
    <x v="2"/>
    <x v="90"/>
    <x v="3"/>
  </r>
  <r>
    <s v="26"/>
    <s v="SARA LEVINE (I)"/>
    <s v="708536"/>
    <s v="ASSOCIATED PKG/KY LOUISVILLE"/>
    <s v="738771"/>
    <s v="MID STATE WAREHOUSE FOR EXPRESS PKG"/>
    <x v="2"/>
    <s v="208496"/>
    <s v="HP 200 CLR-72mm x 914m-4 rls/cs-S"/>
    <n v="7584.19"/>
    <m/>
    <n v="30222.720000000001"/>
    <m/>
    <x v="2"/>
    <x v="91"/>
    <x v="5"/>
  </r>
  <r>
    <s v="26"/>
    <s v="SARA LEVINE (I)"/>
    <s v="708536"/>
    <s v="ASSOCIATED PKG/KY LOUISVILLE"/>
    <s v="738771"/>
    <s v="MID STATE WAREHOUSE FOR EXPRESS PKG"/>
    <x v="2"/>
    <s v="208511"/>
    <s v="HP 200 CLR-48mm x 1371m-6 rls/cs-S"/>
    <n v="16251.84"/>
    <n v="26879.69"/>
    <n v="68001.119999999995"/>
    <n v="102001.68"/>
    <x v="2"/>
    <x v="91"/>
    <x v="4"/>
  </r>
  <r>
    <s v="26"/>
    <s v="SARA LEVINE (I)"/>
    <s v="708536"/>
    <s v="ASSOCIATED PKG/KY LOUISVILLE"/>
    <s v="739391"/>
    <s v="THE ROYAL GROUP"/>
    <x v="3"/>
    <s v="207142"/>
    <s v="HP 100 CLR-48mm x 100m-36 rls/cs-S"/>
    <n v="203.86"/>
    <m/>
    <n v="826.64"/>
    <m/>
    <x v="2"/>
    <x v="92"/>
    <x v="22"/>
  </r>
  <r>
    <s v="26"/>
    <s v="SARA LEVINE (I)"/>
    <s v="708536"/>
    <s v="ASSOCIATED PKG/KY LOUISVILLE"/>
    <s v="739391"/>
    <s v="THE ROYAL GROUP"/>
    <x v="3"/>
    <s v="207194"/>
    <s v="HP 100 CLR-72mm x 100m-24 rls/cs-S"/>
    <n v="510.84"/>
    <m/>
    <n v="2066.6"/>
    <m/>
    <x v="2"/>
    <x v="92"/>
    <x v="50"/>
  </r>
  <r>
    <s v="26"/>
    <s v="SARA LEVINE (I)"/>
    <s v="708536"/>
    <s v="ASSOCIATED PKG/KY LOUISVILLE"/>
    <s v="740267"/>
    <s v="PARKER HANNIFIN CORP HVAC DIV"/>
    <x v="11"/>
    <s v="140431"/>
    <s v="CP 105 NAT-24mm x 55m- 36 rls/cs-S"/>
    <n v="68.430000000000007"/>
    <m/>
    <n v="113.66"/>
    <m/>
    <x v="2"/>
    <x v="93"/>
    <x v="49"/>
  </r>
  <r>
    <s v="26"/>
    <s v="SARA LEVINE (I)"/>
    <s v="708536"/>
    <s v="ASSOCIATED PKG/KY LOUISVILLE"/>
    <s v="740438"/>
    <s v="MID STATE FOR T MARZETTI"/>
    <x v="3"/>
    <s v="208465"/>
    <s v="HP 100 CLR-72mm x 914m-4 rls/cs-S"/>
    <m/>
    <n v="22547.29"/>
    <m/>
    <n v="90668.160000000003"/>
    <x v="2"/>
    <x v="94"/>
    <x v="69"/>
  </r>
  <r>
    <s v="26"/>
    <s v="SARA LEVINE (I)"/>
    <s v="708536"/>
    <s v="ASSOCIATED PKG/KY LOUISVILLE"/>
    <s v="740438"/>
    <s v="MID STATE FOR T MARZETTI"/>
    <x v="3"/>
    <s v="208470"/>
    <s v="HP 100 CLR-48mm x 1371m-6 rls/cs- S"/>
    <n v="49843.96"/>
    <n v="59186.63"/>
    <n v="221003.64"/>
    <n v="238003.92"/>
    <x v="2"/>
    <x v="94"/>
    <x v="8"/>
  </r>
  <r>
    <s v="26"/>
    <s v="SARA LEVINE (I)"/>
    <s v="708536"/>
    <s v="ASSOCIATED PKG/KY LOUISVILLE"/>
    <s v="740747"/>
    <s v="IMEX GLOBAL SOLUTIONS LLC"/>
    <x v="2"/>
    <s v="207233"/>
    <s v="HP 200 CLR-72mm x 100m-24 rls/cs-S"/>
    <n v="1130.98"/>
    <n v="1188"/>
    <n v="4133.2"/>
    <n v="4133.2"/>
    <x v="2"/>
    <x v="95"/>
    <x v="28"/>
  </r>
  <r>
    <s v="26"/>
    <s v="SARA LEVINE (I)"/>
    <s v="708536"/>
    <s v="ASSOCIATED PKG/KY LOUISVILLE"/>
    <s v="741924"/>
    <s v="NEXUS VALVE"/>
    <x v="3"/>
    <s v="207194"/>
    <s v="HP 100 CLR-72mm x 100m-24 rls/cs-S"/>
    <m/>
    <n v="2922.48"/>
    <m/>
    <n v="12399.6"/>
    <x v="2"/>
    <x v="96"/>
    <x v="50"/>
  </r>
  <r>
    <s v="26"/>
    <s v="SARA LEVINE (I)"/>
    <s v="708536"/>
    <s v="ASSOCIATED PKG/KY LOUISVILLE"/>
    <s v="742808"/>
    <s v="ALBANESE CONFECTIONERY DISTR"/>
    <x v="8"/>
    <s v="101230"/>
    <s v="GS 490 CLR-48mm x 55m-24 rls/cs-H/A"/>
    <n v="4873.18"/>
    <m/>
    <n v="5304.6"/>
    <m/>
    <x v="2"/>
    <x v="97"/>
    <x v="70"/>
  </r>
  <r>
    <s v="26"/>
    <s v="SARA LEVINE (I)"/>
    <s v="708536"/>
    <s v="ASSOCIATED PKG/KY LOUISVILLE"/>
    <s v="743933"/>
    <s v="ATCORR PACKAGING PRODUCTS"/>
    <x v="27"/>
    <s v="105322"/>
    <s v="CP 225 GLD-48mm x 55m-24 rls/cs-H/T"/>
    <m/>
    <n v="217.64"/>
    <m/>
    <n v="151.536"/>
    <x v="2"/>
    <x v="98"/>
    <x v="71"/>
  </r>
  <r>
    <s v="26"/>
    <s v="SARA LEVINE (I)"/>
    <s v="708536"/>
    <s v="ASSOCIATED PKG/KY LOUISVILLE"/>
    <s v="743933"/>
    <s v="ATCORR PACKAGING PRODUCTS"/>
    <x v="2"/>
    <s v="207149"/>
    <s v="HP 200 CLR-48mm x 100m-36 rls/cs-S"/>
    <n v="5987.52"/>
    <m/>
    <n v="24799.200000000001"/>
    <m/>
    <x v="2"/>
    <x v="98"/>
    <x v="3"/>
  </r>
  <r>
    <s v="26"/>
    <s v="SARA LEVINE (I)"/>
    <s v="708536"/>
    <s v="ASSOCIATED PKG/KY LOUISVILLE"/>
    <s v="744750"/>
    <s v="LYONS MAGNUS"/>
    <x v="2"/>
    <s v="208529"/>
    <s v="HP 200 CLR-72mm x 1371m-4 rls/cs-S"/>
    <n v="49149"/>
    <n v="12287.25"/>
    <n v="204003.36"/>
    <n v="51000.84"/>
    <x v="2"/>
    <x v="99"/>
    <x v="72"/>
  </r>
  <r>
    <s v="26"/>
    <s v="SARA LEVINE (I)"/>
    <s v="708536"/>
    <s v="ASSOCIATED PKG/KY LOUISVILLE"/>
    <s v="745777"/>
    <s v="MCI FULFILLMENT SERVICES"/>
    <x v="19"/>
    <s v="208561"/>
    <s v="HP 500 CLR-48mm x 914m-6 rls/cs-H"/>
    <n v="348.5"/>
    <m/>
    <n v="314.82"/>
    <m/>
    <x v="2"/>
    <x v="100"/>
    <x v="48"/>
  </r>
  <r>
    <s v="26"/>
    <s v="SARA LEVINE (I)"/>
    <s v="708536"/>
    <s v="ASSOCIATED PKG/KY LOUISVILLE"/>
    <s v="746094"/>
    <s v="AF SHELBYVILLE KY"/>
    <x v="1"/>
    <s v="105302"/>
    <s v="AP 201 RED 48mm x 100m-36 rls/cs-H/A"/>
    <n v="277.27999999999997"/>
    <m/>
    <n v="826.56"/>
    <m/>
    <x v="2"/>
    <x v="101"/>
    <x v="73"/>
  </r>
  <r>
    <s v="26"/>
    <s v="SARA LEVINE (I)"/>
    <s v="708536"/>
    <s v="ASSOCIATED PKG/KY LOUISVILLE"/>
    <s v="746094"/>
    <s v="AF SHELBYVILLE KY"/>
    <x v="12"/>
    <s v="101006"/>
    <s v="CP 106 NAT-24mm x 55m-36 rls/cs-S"/>
    <m/>
    <n v="500.39"/>
    <m/>
    <n v="681.96"/>
    <x v="2"/>
    <x v="101"/>
    <x v="59"/>
  </r>
  <r>
    <s v="26"/>
    <s v="SARA LEVINE (I)"/>
    <s v="708536"/>
    <s v="ASSOCIATED PKG/KY LOUISVILLE"/>
    <s v="746094"/>
    <s v="AF SHELBYVILLE KY"/>
    <x v="12"/>
    <s v="101008"/>
    <s v="CP 106 NAT-48mm x 55m-24 rls/cs-S"/>
    <n v="802.13"/>
    <n v="1107.22"/>
    <n v="1212.48"/>
    <n v="1515.6"/>
    <x v="2"/>
    <x v="101"/>
    <x v="60"/>
  </r>
  <r>
    <s v="26"/>
    <s v="SARA LEVINE (I)"/>
    <s v="708536"/>
    <s v="ASSOCIATED PKG/KY LOUISVILLE"/>
    <s v="746094"/>
    <s v="AF SHELBYVILLE KY"/>
    <x v="12"/>
    <s v="101330"/>
    <s v="CP 106 NAT-12mm x 55m-72 rls/cs-H/A"/>
    <n v="210.99"/>
    <m/>
    <n v="227.32"/>
    <m/>
    <x v="2"/>
    <x v="101"/>
    <x v="36"/>
  </r>
  <r>
    <s v="26"/>
    <s v="SARA LEVINE (I)"/>
    <s v="708536"/>
    <s v="ASSOCIATED PKG/KY LOUISVILLE"/>
    <s v="746252"/>
    <s v="CAITO FOODS FOR HUNGRYROOT"/>
    <x v="4"/>
    <s v="150721"/>
    <s v="HP 235 CLR-72mm x 914m-4 rls/cs-H"/>
    <n v="10158.99"/>
    <m/>
    <n v="30224.639999999999"/>
    <m/>
    <x v="2"/>
    <x v="102"/>
    <x v="23"/>
  </r>
  <r>
    <s v="26"/>
    <s v="SARA LEVINE (I)"/>
    <s v="708536"/>
    <s v="ASSOCIATED PKG/KY LOUISVILLE"/>
    <s v="746780"/>
    <s v="ASSOCIATED FOR AAK"/>
    <x v="28"/>
    <s v="232032"/>
    <s v="AF 975 SIL-48mm x 46m-24 rls/cs-S"/>
    <n v="558.84"/>
    <m/>
    <n v="190.13499999999999"/>
    <m/>
    <x v="2"/>
    <x v="103"/>
    <x v="74"/>
  </r>
  <r>
    <s v="26"/>
    <s v="SARA LEVINE (I)"/>
    <s v="708536"/>
    <s v="ASSOCIATED PKG/KY LOUISVILLE"/>
    <s v="746780"/>
    <s v="ASSOCIATED FOR AAK"/>
    <x v="12"/>
    <s v="101006"/>
    <s v="CP 106 NAT-24mm x 55m-36 rls/cs-S"/>
    <n v="427.32"/>
    <m/>
    <n v="625.13"/>
    <m/>
    <x v="2"/>
    <x v="103"/>
    <x v="59"/>
  </r>
  <r>
    <s v="26"/>
    <s v="SARA LEVINE (I)"/>
    <s v="708536"/>
    <s v="ASSOCIATED PKG/KY LOUISVILLE"/>
    <s v="746780"/>
    <s v="ASSOCIATED FOR AAK"/>
    <x v="3"/>
    <s v="208453"/>
    <s v="HP 100 CLR-48mm x 914m-6 rls/cs-S"/>
    <n v="889.57"/>
    <m/>
    <n v="3777.84"/>
    <m/>
    <x v="2"/>
    <x v="103"/>
    <x v="24"/>
  </r>
  <r>
    <s v="26"/>
    <s v="SARA LEVINE (I)"/>
    <s v="708536"/>
    <s v="ASSOCIATED PKG/KY LOUISVILLE"/>
    <s v="746780"/>
    <s v="ASSOCIATED FOR AAK"/>
    <x v="2"/>
    <s v="100404"/>
    <s v="HP 200 CLR-48mm x 1828m-6 rls/cs-S"/>
    <n v="16555.86"/>
    <m/>
    <n v="61076.05"/>
    <m/>
    <x v="2"/>
    <x v="103"/>
    <x v="30"/>
  </r>
  <r>
    <s v="26"/>
    <s v="SARA LEVINE (I)"/>
    <s v="708536"/>
    <s v="ASSOCIATED PKG/KY LOUISVILLE"/>
    <s v="746780"/>
    <s v="ASSOCIATED FOR AAK"/>
    <x v="2"/>
    <s v="123897"/>
    <s v="HP 200 BLU-72mm x 914m-4 rls/cs-H"/>
    <n v="24047.02"/>
    <n v="17103.400000000001"/>
    <n v="45334.080000000002"/>
    <n v="30222.720000000001"/>
    <x v="2"/>
    <x v="103"/>
    <x v="51"/>
  </r>
  <r>
    <s v="26"/>
    <s v="SARA LEVINE (I)"/>
    <s v="708536"/>
    <s v="ASSOCIATED PKG/KY LOUISVILLE"/>
    <s v="746780"/>
    <s v="ASSOCIATED FOR AAK"/>
    <x v="2"/>
    <s v="207149"/>
    <s v="HP 200 CLR-48mm x 100m-36 rls/cs-S"/>
    <n v="8981.2800000000007"/>
    <m/>
    <n v="37198.800000000003"/>
    <m/>
    <x v="2"/>
    <x v="103"/>
    <x v="3"/>
  </r>
  <r>
    <s v="26"/>
    <s v="SARA LEVINE (I)"/>
    <s v="708536"/>
    <s v="ASSOCIATED PKG/KY LOUISVILLE"/>
    <s v="746780"/>
    <s v="ASSOCIATED FOR AAK"/>
    <x v="2"/>
    <s v="207233"/>
    <s v="HP 200 CLR-72mm x 100m-24 rls/cs-S"/>
    <m/>
    <n v="113.1"/>
    <m/>
    <n v="413.32"/>
    <x v="2"/>
    <x v="103"/>
    <x v="28"/>
  </r>
  <r>
    <s v="26"/>
    <s v="SARA LEVINE (I)"/>
    <s v="708536"/>
    <s v="ASSOCIATED PKG/KY LOUISVILLE"/>
    <s v="746780"/>
    <s v="ASSOCIATED FOR AAK"/>
    <x v="2"/>
    <s v="208492"/>
    <s v="HP 200 CLR-48mm x 914m-6 rls/cs-S"/>
    <m/>
    <n v="695.22"/>
    <m/>
    <n v="2518.56"/>
    <x v="2"/>
    <x v="103"/>
    <x v="6"/>
  </r>
  <r>
    <s v="26"/>
    <s v="SARA LEVINE (I)"/>
    <s v="708536"/>
    <s v="ASSOCIATED PKG/KY LOUISVILLE"/>
    <s v="746841"/>
    <s v="ASSOCIATED FOR MAPLEHURST"/>
    <x v="2"/>
    <s v="101428"/>
    <s v="HP 200 CLR-48mm x 1500m-6 rls/cs-H"/>
    <n v="45261.37"/>
    <m/>
    <n v="186001.2"/>
    <m/>
    <x v="2"/>
    <x v="104"/>
    <x v="39"/>
  </r>
  <r>
    <s v="26"/>
    <s v="SARA LEVINE (I)"/>
    <s v="708536"/>
    <s v="ASSOCIATED PKG/KY LOUISVILLE"/>
    <s v="746841"/>
    <s v="ASSOCIATED FOR MAPLEHURST"/>
    <x v="2"/>
    <s v="207149"/>
    <s v="HP 200 CLR-48mm x 100m-36 rls/cs-S"/>
    <n v="6137.21"/>
    <m/>
    <n v="24799.200000000001"/>
    <m/>
    <x v="2"/>
    <x v="104"/>
    <x v="3"/>
  </r>
  <r>
    <s v="26"/>
    <s v="SARA LEVINE (I)"/>
    <s v="708536"/>
    <s v="ASSOCIATED PKG/KY LOUISVILLE"/>
    <s v="746841"/>
    <s v="ASSOCIATED FOR MAPLEHURST"/>
    <x v="2"/>
    <s v="208511"/>
    <s v="HP 200 CLR-48mm x 1371m-6 rls/cs-S"/>
    <n v="16226.18"/>
    <m/>
    <n v="68001.119999999995"/>
    <m/>
    <x v="2"/>
    <x v="104"/>
    <x v="4"/>
  </r>
  <r>
    <s v="26"/>
    <s v="SARA LEVINE (I)"/>
    <s v="708536"/>
    <s v="ASSOCIATED PKG/KY LOUISVILLE"/>
    <s v="746902"/>
    <s v="INDIANA BEVERAGE INC"/>
    <x v="2"/>
    <s v="201324"/>
    <s v="HP 200 CLR-53mm x 1371m-6 rls/cs-H"/>
    <n v="15531.2"/>
    <n v="49660.07"/>
    <n v="56313.792000000001"/>
    <n v="168941.37599999999"/>
    <x v="2"/>
    <x v="105"/>
    <x v="44"/>
  </r>
  <r>
    <s v="26"/>
    <s v="SARA LEVINE (I)"/>
    <s v="708536"/>
    <s v="ASSOCIATED PKG/KY LOUISVILLE"/>
    <s v="746910"/>
    <s v="RAGE PLASTICS"/>
    <x v="2"/>
    <s v="208511"/>
    <s v="HP 200 CLR-48mm x 1371m-6 rls/cs-S"/>
    <n v="4092.9"/>
    <m/>
    <n v="17000.28"/>
    <m/>
    <x v="2"/>
    <x v="106"/>
    <x v="4"/>
  </r>
  <r>
    <s v="26"/>
    <s v="SARA LEVINE (I)"/>
    <s v="708536"/>
    <s v="ASSOCIATED PKG/KY LOUISVILLE"/>
    <s v="746950"/>
    <s v="NEXGEN MOLD &amp; TOOL INC"/>
    <x v="13"/>
    <s v="201806"/>
    <s v="FP 096 KFT-48mm x 55m-24 rls/cs-S"/>
    <n v="208.61"/>
    <m/>
    <n v="151.56"/>
    <m/>
    <x v="2"/>
    <x v="107"/>
    <x v="40"/>
  </r>
  <r>
    <s v="26"/>
    <s v="SARA LEVINE (I)"/>
    <s v="708536"/>
    <s v="ASSOCIATED PKG/KY LOUISVILLE"/>
    <s v="747290"/>
    <s v="AAF ATLANTA PLANT"/>
    <x v="2"/>
    <s v="208511"/>
    <s v="HP 200 CLR-48mm x 1371m-6 rls/cs-S"/>
    <n v="2507.27"/>
    <m/>
    <n v="9916.83"/>
    <m/>
    <x v="2"/>
    <x v="108"/>
    <x v="4"/>
  </r>
  <r>
    <s v="26"/>
    <s v="SARA LEVINE (I)"/>
    <s v="708536"/>
    <s v="ASSOCIATED PKG/KY LOUISVILLE"/>
    <s v="747482"/>
    <s v="THE KINGSWOOD COMPANY"/>
    <x v="3"/>
    <s v="207194"/>
    <s v="HP 100 CLR-72mm x 100m-24 rls/cs-S"/>
    <n v="255.42"/>
    <m/>
    <n v="1033.3"/>
    <m/>
    <x v="2"/>
    <x v="109"/>
    <x v="50"/>
  </r>
  <r>
    <s v="26"/>
    <s v="SARA LEVINE (I)"/>
    <s v="708536"/>
    <s v="ASSOCIATED PKG/KY LOUISVILLE"/>
    <s v="747482"/>
    <s v="THE KINGSWOOD COMPANY"/>
    <x v="3"/>
    <s v="208465"/>
    <s v="HP 100 CLR-72mm x 914m-4 rls/cs-S"/>
    <n v="389.07"/>
    <n v="1119.26"/>
    <n v="1574.1"/>
    <n v="4407.4799999999996"/>
    <x v="2"/>
    <x v="109"/>
    <x v="69"/>
  </r>
  <r>
    <s v="26"/>
    <s v="SARA LEVINE (I)"/>
    <s v="708536"/>
    <s v="ASSOCIATED PKG/KY LOUISVILLE"/>
    <s v="747719"/>
    <s v="NORMA GROUP CRAIG ASSEMBLY"/>
    <x v="2"/>
    <s v="207149"/>
    <s v="HP 200 CLR-48mm x 100m-36 rls/cs-S"/>
    <n v="1047.82"/>
    <m/>
    <n v="4133.2"/>
    <m/>
    <x v="2"/>
    <x v="110"/>
    <x v="3"/>
  </r>
  <r>
    <s v="26"/>
    <s v="SARA LEVINE (I)"/>
    <s v="708536"/>
    <s v="ASSOCIATED PKG/KY LOUISVILLE"/>
    <s v="747719"/>
    <s v="NORMA GROUP CRAIG ASSEMBLY"/>
    <x v="2"/>
    <s v="207223"/>
    <s v="HP 200 TAN-48mm x 100m-36 rls/cs-H/A"/>
    <m/>
    <n v="1539.65"/>
    <m/>
    <n v="4959.84"/>
    <x v="2"/>
    <x v="110"/>
    <x v="75"/>
  </r>
  <r>
    <s v="26"/>
    <s v="SARA LEVINE (I)"/>
    <s v="708536"/>
    <s v="ASSOCIATED PKG/KY LOUISVILLE"/>
    <s v="748161"/>
    <s v="CATALINA CRUNCH"/>
    <x v="2"/>
    <s v="208492"/>
    <s v="HP 200 CLR-48mm x 914m-6 rls/cs-S"/>
    <m/>
    <n v="12733.46"/>
    <m/>
    <n v="45334.080000000002"/>
    <x v="2"/>
    <x v="111"/>
    <x v="6"/>
  </r>
  <r>
    <s v="26"/>
    <s v="SARA LEVINE (I)"/>
    <s v="708536"/>
    <s v="ASSOCIATED PKG/KY LOUISVILLE"/>
    <s v="749571"/>
    <s v="NORMA MICHIGAN INC"/>
    <x v="0"/>
    <s v="231044"/>
    <s v="AP 180 CLR-48mm x 100m-36 rls/cs-H/A"/>
    <m/>
    <n v="208.14"/>
    <m/>
    <n v="826.56"/>
    <x v="2"/>
    <x v="112"/>
    <x v="1"/>
  </r>
  <r>
    <s v="26"/>
    <s v="SARA LEVINE (I)"/>
    <s v="708536"/>
    <s v="ASSOCIATED PKG/KY LOUISVILLE"/>
    <s v="749972"/>
    <s v="LACROSSE FOOTWEAR INC"/>
    <x v="2"/>
    <s v="207233"/>
    <s v="HP 200 CLR-72mm x 100m-24 rls/cs-S"/>
    <m/>
    <n v="2021.98"/>
    <m/>
    <n v="7233.1"/>
    <x v="2"/>
    <x v="113"/>
    <x v="28"/>
  </r>
  <r>
    <s v="26"/>
    <s v="SARA LEVINE (I)"/>
    <s v="708536"/>
    <s v="ASSOCIATED PKG/KY LOUISVILLE"/>
    <s v="749972"/>
    <s v="LACROSSE FOOTWEAR INC"/>
    <x v="2"/>
    <s v="208492"/>
    <s v="HP 200 CLR-48mm x 914m-6 rls/cs-S"/>
    <m/>
    <n v="457.38"/>
    <m/>
    <n v="1574.1"/>
    <x v="2"/>
    <x v="113"/>
    <x v="6"/>
  </r>
  <r>
    <s v="26"/>
    <s v="SARA LEVINE (I)"/>
    <s v="708536"/>
    <s v="ASSOCIATED PKG/KY LOUISVILLE"/>
    <s v="749972"/>
    <s v="LACROSSE FOOTWEAR INC"/>
    <x v="2"/>
    <s v="208494"/>
    <s v="HP 200 TAN-48mm x 914m-6 rls/cs-H"/>
    <m/>
    <n v="-291.54000000000002"/>
    <m/>
    <n v="-944.46"/>
    <x v="2"/>
    <x v="113"/>
    <x v="76"/>
  </r>
  <r>
    <s v="26"/>
    <s v="SARA LEVINE (I)"/>
    <s v="708536"/>
    <s v="ASSOCIATED PKG/KY LOUISVILLE"/>
    <s v="750389"/>
    <s v="HUNGRYROOT INC"/>
    <x v="4"/>
    <s v="150721"/>
    <s v="HP 235 CLR-72mm x 914m-4 rls/cs-H"/>
    <m/>
    <n v="8074.6"/>
    <m/>
    <n v="22668.48"/>
    <x v="2"/>
    <x v="114"/>
    <x v="23"/>
  </r>
  <r>
    <s v="28"/>
    <s v="PRESTON ALMOND (I)"/>
    <s v="3838"/>
    <s v="ASSOCIATED PKG/NC STATESVILLE"/>
    <s v="3838"/>
    <s v="ASSOCIATED PKG/NC STATESVILLE"/>
    <x v="1"/>
    <s v="230962"/>
    <s v="AP 201 CLR-48mm x 100m-36 rls/cs-H/A"/>
    <m/>
    <n v="808.32"/>
    <m/>
    <n v="2479.6799999999998"/>
    <x v="3"/>
    <x v="115"/>
    <x v="25"/>
  </r>
  <r>
    <s v="28"/>
    <s v="PRESTON ALMOND (I)"/>
    <s v="3838"/>
    <s v="ASSOCIATED PKG/NC STATESVILLE"/>
    <s v="3838"/>
    <s v="ASSOCIATED PKG/NC STATESVILLE"/>
    <x v="1"/>
    <s v="230966"/>
    <s v="AP 201 CLR-72mm x 914m-4 rls/cs-H"/>
    <n v="4719.68"/>
    <n v="7238.17"/>
    <n v="15111.552"/>
    <n v="23296.975999999999"/>
    <x v="3"/>
    <x v="115"/>
    <x v="77"/>
  </r>
  <r>
    <s v="28"/>
    <s v="PRESTON ALMOND (I)"/>
    <s v="3838"/>
    <s v="ASSOCIATED PKG/NC STATESVILLE"/>
    <s v="3838"/>
    <s v="ASSOCIATED PKG/NC STATESVILLE"/>
    <x v="3"/>
    <s v="207142"/>
    <s v="HP 100 CLR-48mm x 100m-36 rls/cs-S"/>
    <n v="5752.29"/>
    <n v="2950.99"/>
    <n v="24799.200000000001"/>
    <n v="12399.6"/>
    <x v="3"/>
    <x v="115"/>
    <x v="22"/>
  </r>
  <r>
    <s v="28"/>
    <s v="PRESTON ALMOND (I)"/>
    <s v="3838"/>
    <s v="ASSOCIATED PKG/NC STATESVILLE"/>
    <s v="3838"/>
    <s v="ASSOCIATED PKG/NC STATESVILLE"/>
    <x v="3"/>
    <s v="207194"/>
    <s v="HP 100 CLR-72mm x 100m-24 rls/cs-S"/>
    <n v="613.01"/>
    <n v="613.01"/>
    <n v="2479.92"/>
    <n v="2479.92"/>
    <x v="3"/>
    <x v="115"/>
    <x v="50"/>
  </r>
  <r>
    <s v="28"/>
    <s v="PRESTON ALMOND (I)"/>
    <s v="3838"/>
    <s v="ASSOCIATED PKG/NC STATESVILLE"/>
    <s v="3838"/>
    <s v="ASSOCIATED PKG/NC STATESVILLE"/>
    <x v="29"/>
    <s v="116083"/>
    <s v="HP 132 CLR-72mm x 100m-24 rls/cs-H"/>
    <n v="17363.82"/>
    <n v="7544.28"/>
    <n v="60759.216"/>
    <n v="26039.664000000001"/>
    <x v="3"/>
    <x v="115"/>
    <x v="78"/>
  </r>
  <r>
    <s v="28"/>
    <s v="PRESTON ALMOND (I)"/>
    <s v="3838"/>
    <s v="ASSOCIATED PKG/NC STATESVILLE"/>
    <s v="3838"/>
    <s v="ASSOCIATED PKG/NC STATESVILLE"/>
    <x v="2"/>
    <s v="207149"/>
    <s v="HP 200 CLR-48mm x 100m-36 rls/cs-S"/>
    <n v="112.62"/>
    <m/>
    <n v="413.32"/>
    <m/>
    <x v="3"/>
    <x v="115"/>
    <x v="3"/>
  </r>
  <r>
    <s v="28"/>
    <s v="PRESTON ALMOND (I)"/>
    <s v="3838"/>
    <s v="ASSOCIATED PKG/NC STATESVILLE"/>
    <s v="3838"/>
    <s v="ASSOCIATED PKG/NC STATESVILLE"/>
    <x v="2"/>
    <s v="208492"/>
    <s v="HP 200 CLR-48mm x 914m-6 rls/cs-S"/>
    <n v="5751.23"/>
    <m/>
    <n v="20778.12"/>
    <m/>
    <x v="3"/>
    <x v="115"/>
    <x v="6"/>
  </r>
  <r>
    <s v="28"/>
    <s v="PRESTON ALMOND (I)"/>
    <s v="3838"/>
    <s v="ASSOCIATED PKG/NC STATESVILLE"/>
    <s v="3838"/>
    <s v="ASSOCIATED PKG/NC STATESVILLE"/>
    <x v="2"/>
    <s v="208496"/>
    <s v="HP 200 CLR-72mm x 914m-4 rls/cs-S"/>
    <n v="6359.76"/>
    <n v="4172.25"/>
    <n v="22981.86"/>
    <n v="15111.36"/>
    <x v="3"/>
    <x v="115"/>
    <x v="5"/>
  </r>
  <r>
    <s v="28"/>
    <s v="PRESTON ALMOND (I)"/>
    <s v="3838"/>
    <s v="ASSOCIATED PKG/NC STATESVILLE"/>
    <s v="10941"/>
    <s v="MOUNTAIN STATE BEVERAGE"/>
    <x v="2"/>
    <s v="208492"/>
    <s v="HP 200 CLR-48mm x 914m-6 rls/cs-S"/>
    <n v="2091.36"/>
    <m/>
    <n v="7555.68"/>
    <m/>
    <x v="3"/>
    <x v="116"/>
    <x v="6"/>
  </r>
  <r>
    <s v="28"/>
    <s v="PRESTON ALMOND (I)"/>
    <s v="3838"/>
    <s v="ASSOCIATED PKG/NC STATESVILLE"/>
    <s v="20424"/>
    <s v="PROGRESS PRINTING CO INC"/>
    <x v="3"/>
    <s v="207194"/>
    <s v="HP 100 CLR-72mm x 100m-24 rls/cs-S"/>
    <n v="1839.02"/>
    <n v="1839.02"/>
    <n v="7439.76"/>
    <n v="7439.76"/>
    <x v="3"/>
    <x v="117"/>
    <x v="50"/>
  </r>
  <r>
    <s v="28"/>
    <s v="PRESTON ALMOND (I)"/>
    <s v="3838"/>
    <s v="ASSOCIATED PKG/NC STATESVILLE"/>
    <s v="20424"/>
    <s v="PROGRESS PRINTING CO INC"/>
    <x v="2"/>
    <s v="208492"/>
    <s v="HP 200 CLR-48mm x 914m-6 rls/cs-S"/>
    <n v="1742.8"/>
    <m/>
    <n v="6296.4"/>
    <m/>
    <x v="3"/>
    <x v="117"/>
    <x v="6"/>
  </r>
  <r>
    <s v="28"/>
    <s v="PRESTON ALMOND (I)"/>
    <s v="3838"/>
    <s v="ASSOCIATED PKG/NC STATESVILLE"/>
    <s v="27825"/>
    <s v="ROBERTSON MARKETING GROUP"/>
    <x v="2"/>
    <s v="207233"/>
    <s v="HP 200 CLR-72mm x 100m-24 rls/cs-S"/>
    <n v="4008.78"/>
    <n v="2782.77"/>
    <n v="14879.52"/>
    <n v="9919.68"/>
    <x v="3"/>
    <x v="118"/>
    <x v="28"/>
  </r>
  <r>
    <s v="28"/>
    <s v="PRESTON ALMOND (I)"/>
    <s v="3838"/>
    <s v="ASSOCIATED PKG/NC STATESVILLE"/>
    <s v="33406"/>
    <s v="ALFA SUPPLY, INC."/>
    <x v="21"/>
    <s v="230982"/>
    <s v="AP 101 CLR-48mm x 100m-36 rls/cs-S"/>
    <n v="983.66"/>
    <n v="933.77"/>
    <n v="4132.8"/>
    <n v="4132.8"/>
    <x v="3"/>
    <x v="119"/>
    <x v="55"/>
  </r>
  <r>
    <s v="28"/>
    <s v="PRESTON ALMOND (I)"/>
    <s v="3838"/>
    <s v="ASSOCIATED PKG/NC STATESVILLE"/>
    <s v="38117"/>
    <s v="POSITEC TOOL CORPORATION"/>
    <x v="6"/>
    <s v="207870"/>
    <s v="HP 300 CLR-72mm x 100m-24 RLS/CS-H"/>
    <n v="1007.42"/>
    <m/>
    <n v="2066.6999999999998"/>
    <m/>
    <x v="3"/>
    <x v="120"/>
    <x v="79"/>
  </r>
  <r>
    <s v="28"/>
    <s v="PRESTON ALMOND (I)"/>
    <s v="3838"/>
    <s v="ASSOCIATED PKG/NC STATESVILLE"/>
    <s v="43903"/>
    <s v="BIMBO BAKEHOUSE LLC"/>
    <x v="0"/>
    <s v="231045"/>
    <s v="AP 180 CLR-72mm x 100m-24 rls/cs-H/A"/>
    <n v="5901.98"/>
    <n v="5388.77"/>
    <n v="24800.256000000001"/>
    <n v="24800.256000000001"/>
    <x v="3"/>
    <x v="121"/>
    <x v="58"/>
  </r>
  <r>
    <s v="28"/>
    <s v="PRESTON ALMOND (I)"/>
    <s v="3838"/>
    <s v="ASSOCIATED PKG/NC STATESVILLE"/>
    <s v="75226"/>
    <s v="ATLAS COLD STORAGE"/>
    <x v="21"/>
    <s v="230982"/>
    <s v="AP 101 CLR-48mm x 100m-36 rls/cs-S"/>
    <m/>
    <n v="1033.56"/>
    <m/>
    <n v="4132.8"/>
    <x v="3"/>
    <x v="122"/>
    <x v="55"/>
  </r>
  <r>
    <s v="28"/>
    <s v="PRESTON ALMOND (I)"/>
    <s v="3838"/>
    <s v="ASSOCIATED PKG/NC STATESVILLE"/>
    <s v="84691"/>
    <s v="CAMRETT LOGISTICS"/>
    <x v="3"/>
    <s v="207194"/>
    <s v="HP 100 CLR-72mm x 100m-24 rls/cs-S"/>
    <n v="8667.66"/>
    <m/>
    <n v="37198.800000000003"/>
    <m/>
    <x v="3"/>
    <x v="123"/>
    <x v="50"/>
  </r>
  <r>
    <s v="28"/>
    <s v="PRESTON ALMOND (I)"/>
    <s v="3838"/>
    <s v="ASSOCIATED PKG/NC STATESVILLE"/>
    <s v="84691"/>
    <s v="CAMRETT LOGISTICS"/>
    <x v="3"/>
    <s v="208453"/>
    <s v="HP 100 CLR-48mm x 914m-6 rls/cs-S"/>
    <n v="7293.37"/>
    <m/>
    <n v="30222.720000000001"/>
    <m/>
    <x v="3"/>
    <x v="123"/>
    <x v="24"/>
  </r>
  <r>
    <s v="28"/>
    <s v="PRESTON ALMOND (I)"/>
    <s v="3838"/>
    <s v="ASSOCIATED PKG/NC STATESVILLE"/>
    <s v="703143"/>
    <s v="WM T BURNETT"/>
    <x v="3"/>
    <s v="207194"/>
    <s v="HP 100 CLR-72mm x 100m-24 rls/cs-S"/>
    <n v="2794.18"/>
    <m/>
    <n v="12399.6"/>
    <m/>
    <x v="3"/>
    <x v="124"/>
    <x v="50"/>
  </r>
  <r>
    <s v="28"/>
    <s v="PRESTON ALMOND (I)"/>
    <s v="3838"/>
    <s v="ASSOCIATED PKG/NC STATESVILLE"/>
    <s v="703143"/>
    <s v="WM T BURNETT"/>
    <x v="30"/>
    <s v="101688"/>
    <s v="WP 100 NAT-70mm x 153m(500ft)-6 rls/cs-H"/>
    <n v="2523.31"/>
    <m/>
    <n v="4611"/>
    <m/>
    <x v="3"/>
    <x v="124"/>
    <x v="80"/>
  </r>
  <r>
    <s v="28"/>
    <s v="PRESTON ALMOND (I)"/>
    <s v="3838"/>
    <s v="ASSOCIATED PKG/NC STATESVILLE"/>
    <s v="704061"/>
    <s v="WRBP-MARION"/>
    <x v="20"/>
    <s v="101073"/>
    <s v="FP 097 KFT-72mm x 55m-16 rls/cs-H/A"/>
    <m/>
    <n v="1094.8599999999999"/>
    <m/>
    <n v="909.36"/>
    <x v="3"/>
    <x v="125"/>
    <x v="81"/>
  </r>
  <r>
    <s v="28"/>
    <s v="PRESTON ALMOND (I)"/>
    <s v="3838"/>
    <s v="ASSOCIATED PKG/NC STATESVILLE"/>
    <s v="707919"/>
    <s v="WHOLESALE BOUTIQUE"/>
    <x v="30"/>
    <s v="101685"/>
    <s v="WP 100 NAT-70mmx138m(450ft)-10rls/cs-H/A"/>
    <n v="710.82"/>
    <m/>
    <n v="1155.3"/>
    <m/>
    <x v="3"/>
    <x v="126"/>
    <x v="82"/>
  </r>
  <r>
    <s v="28"/>
    <s v="PRESTON ALMOND (I)"/>
    <s v="3838"/>
    <s v="ASSOCIATED PKG/NC STATESVILLE"/>
    <s v="714105"/>
    <s v="DHL ROCK HILL"/>
    <x v="3"/>
    <s v="207141"/>
    <s v="HP 100 CLR-48mm x 50m-36 rls/cs-S"/>
    <n v="3678.05"/>
    <m/>
    <n v="12399.6"/>
    <m/>
    <x v="3"/>
    <x v="127"/>
    <x v="83"/>
  </r>
  <r>
    <s v="28"/>
    <s v="PRESTON ALMOND (I)"/>
    <s v="3838"/>
    <s v="ASSOCIATED PKG/NC STATESVILLE"/>
    <s v="714105"/>
    <s v="DHL ROCK HILL"/>
    <x v="4"/>
    <s v="188923"/>
    <s v="HP 235 CLR-48mm x 100m-36 rls/cs-H"/>
    <m/>
    <n v="10307.09"/>
    <m/>
    <n v="24801.119999999999"/>
    <x v="3"/>
    <x v="127"/>
    <x v="17"/>
  </r>
  <r>
    <s v="28"/>
    <s v="PRESTON ALMOND (I)"/>
    <s v="3838"/>
    <s v="ASSOCIATED PKG/NC STATESVILLE"/>
    <s v="714105"/>
    <s v="DHL ROCK HILL"/>
    <x v="7"/>
    <s v="903000"/>
    <s v="SD 934  PISTOL GRIP TAPE DISPNSR PREM.-S"/>
    <n v="95.83"/>
    <m/>
    <n v="0"/>
    <m/>
    <x v="3"/>
    <x v="127"/>
    <x v="26"/>
  </r>
  <r>
    <s v="28"/>
    <s v="PRESTON ALMOND (I)"/>
    <s v="3838"/>
    <s v="ASSOCIATED PKG/NC STATESVILLE"/>
    <s v="717314"/>
    <s v="PHOENIX PACKAGING OPERATIONS"/>
    <x v="31"/>
    <s v="903238"/>
    <s v="03042 SPARE CLEAR WIPER FOR FE-3"/>
    <m/>
    <n v="194.34"/>
    <m/>
    <n v="0"/>
    <x v="3"/>
    <x v="128"/>
    <x v="84"/>
  </r>
  <r>
    <s v="28"/>
    <s v="PRESTON ALMOND (I)"/>
    <s v="3838"/>
    <s v="ASSOCIATED PKG/NC STATESVILLE"/>
    <s v="717314"/>
    <s v="PHOENIX PACKAGING OPERATIONS"/>
    <x v="32"/>
    <s v="903251"/>
    <s v="FE-3 Folded-Edge Tape Dispenser - H"/>
    <m/>
    <n v="786.98"/>
    <m/>
    <n v="0"/>
    <x v="3"/>
    <x v="128"/>
    <x v="85"/>
  </r>
  <r>
    <s v="28"/>
    <s v="PRESTON ALMOND (I)"/>
    <s v="3838"/>
    <s v="ASSOCIATED PKG/NC STATESVILLE"/>
    <s v="720725"/>
    <s v="EASTERN STATES STEEL"/>
    <x v="2"/>
    <s v="207149"/>
    <s v="HP 200 CLR-48mm x 100m-36 rls/cs-S"/>
    <m/>
    <n v="3207.6"/>
    <m/>
    <n v="12399.6"/>
    <x v="3"/>
    <x v="129"/>
    <x v="3"/>
  </r>
  <r>
    <s v="28"/>
    <s v="PRESTON ALMOND (I)"/>
    <s v="3838"/>
    <s v="ASSOCIATED PKG/NC STATESVILLE"/>
    <s v="721758"/>
    <s v="RICH PRODUCTS"/>
    <x v="3"/>
    <s v="195553"/>
    <s v="HP 100 CLR-53mm x 1500m-6 rls/cs-S"/>
    <n v="15097.1"/>
    <n v="16700.919999999998"/>
    <n v="82149.983999999997"/>
    <n v="82149.983999999997"/>
    <x v="3"/>
    <x v="130"/>
    <x v="18"/>
  </r>
  <r>
    <s v="28"/>
    <s v="PRESTON ALMOND (I)"/>
    <s v="3838"/>
    <s v="ASSOCIATED PKG/NC STATESVILLE"/>
    <s v="722360"/>
    <s v="SARSTEDT INC"/>
    <x v="1"/>
    <s v="230966"/>
    <s v="AP 201 CLR-72mm x 914m-4 rls/cs-H"/>
    <m/>
    <n v="2493.9699999999998"/>
    <m/>
    <n v="6611.3040000000001"/>
    <x v="3"/>
    <x v="131"/>
    <x v="77"/>
  </r>
  <r>
    <s v="28"/>
    <s v="PRESTON ALMOND (I)"/>
    <s v="3838"/>
    <s v="ASSOCIATED PKG/NC STATESVILLE"/>
    <s v="727933"/>
    <s v="PIONEER ECLIPSE CORP"/>
    <x v="2"/>
    <s v="106042"/>
    <s v="HP 200 YEL-48mm x 914m-6 rls/cs-H"/>
    <n v="199.58"/>
    <m/>
    <n v="314.82"/>
    <m/>
    <x v="3"/>
    <x v="132"/>
    <x v="11"/>
  </r>
  <r>
    <s v="28"/>
    <s v="PRESTON ALMOND (I)"/>
    <s v="3838"/>
    <s v="ASSOCIATED PKG/NC STATESVILLE"/>
    <s v="727933"/>
    <s v="PIONEER ECLIPSE CORP"/>
    <x v="2"/>
    <s v="129199"/>
    <s v="HP 200 GRN-48mm x 914m-6 rls/cs-H/A"/>
    <n v="199.58"/>
    <n v="220.02"/>
    <n v="314.82"/>
    <n v="314.82"/>
    <x v="3"/>
    <x v="132"/>
    <x v="12"/>
  </r>
  <r>
    <s v="28"/>
    <s v="PRESTON ALMOND (I)"/>
    <s v="3838"/>
    <s v="ASSOCIATED PKG/NC STATESVILLE"/>
    <s v="727933"/>
    <s v="PIONEER ECLIPSE CORP"/>
    <x v="2"/>
    <s v="162592"/>
    <s v="HP 200 BLU-48mm x 914m-6 rls/cs-H"/>
    <n v="798.34"/>
    <n v="880.07"/>
    <n v="1259.28"/>
    <n v="1259.28"/>
    <x v="3"/>
    <x v="132"/>
    <x v="14"/>
  </r>
  <r>
    <s v="28"/>
    <s v="PRESTON ALMOND (I)"/>
    <s v="3838"/>
    <s v="ASSOCIATED PKG/NC STATESVILLE"/>
    <s v="727933"/>
    <s v="PIONEER ECLIPSE CORP"/>
    <x v="2"/>
    <s v="207149"/>
    <s v="HP 200 CLR-48mm x 100m-36 rls/cs-S"/>
    <n v="53.46"/>
    <m/>
    <n v="206.66"/>
    <m/>
    <x v="3"/>
    <x v="132"/>
    <x v="3"/>
  </r>
  <r>
    <s v="28"/>
    <s v="PRESTON ALMOND (I)"/>
    <s v="3838"/>
    <s v="ASSOCIATED PKG/NC STATESVILLE"/>
    <s v="727933"/>
    <s v="PIONEER ECLIPSE CORP"/>
    <x v="2"/>
    <s v="208492"/>
    <s v="HP 200 CLR-48mm x 914m-6 rls/cs-S"/>
    <n v="997.93"/>
    <n v="1650.13"/>
    <n v="3148.2"/>
    <n v="4722.3"/>
    <x v="3"/>
    <x v="132"/>
    <x v="6"/>
  </r>
  <r>
    <s v="28"/>
    <s v="PRESTON ALMOND (I)"/>
    <s v="3838"/>
    <s v="ASSOCIATED PKG/NC STATESVILLE"/>
    <s v="727933"/>
    <s v="PIONEER ECLIPSE CORP"/>
    <x v="2"/>
    <s v="218104"/>
    <s v="HP 200 RED-48mm x 914m-6 rls/cs-H"/>
    <n v="199.58"/>
    <n v="220.02"/>
    <n v="314.82"/>
    <n v="314.82"/>
    <x v="3"/>
    <x v="132"/>
    <x v="16"/>
  </r>
  <r>
    <s v="28"/>
    <s v="PRESTON ALMOND (I)"/>
    <s v="3838"/>
    <s v="ASSOCIATED PKG/NC STATESVILLE"/>
    <s v="728841"/>
    <s v="ELIZABETH ARDEN"/>
    <x v="2"/>
    <s v="208498"/>
    <s v="HP 200 TAN-72mm x 914m-4 rls/cs-H"/>
    <m/>
    <n v="2401.0300000000002"/>
    <m/>
    <n v="8185.32"/>
    <x v="3"/>
    <x v="133"/>
    <x v="86"/>
  </r>
  <r>
    <s v="28"/>
    <s v="PRESTON ALMOND (I)"/>
    <s v="3838"/>
    <s v="ASSOCIATED PKG/NC STATESVILLE"/>
    <s v="732361"/>
    <s v="TEAM IMAGE MARKETING"/>
    <x v="23"/>
    <s v="232262"/>
    <s v="DP 380 GLA-19mm x 50m-48 rls/cs-H"/>
    <n v="738.46"/>
    <m/>
    <n v="327.16800000000001"/>
    <m/>
    <x v="3"/>
    <x v="134"/>
    <x v="87"/>
  </r>
  <r>
    <s v="28"/>
    <s v="PRESTON ALMOND (I)"/>
    <s v="3838"/>
    <s v="ASSOCIATED PKG/NC STATESVILLE"/>
    <s v="732361"/>
    <s v="TEAM IMAGE MARKETING"/>
    <x v="3"/>
    <s v="208453"/>
    <s v="HP 100 CLR-48mm x 914m-6 rls/cs-S"/>
    <n v="155.63"/>
    <m/>
    <n v="629.64"/>
    <m/>
    <x v="3"/>
    <x v="134"/>
    <x v="24"/>
  </r>
  <r>
    <s v="28"/>
    <s v="PRESTON ALMOND (I)"/>
    <s v="3838"/>
    <s v="ASSOCIATED PKG/NC STATESVILLE"/>
    <s v="733232"/>
    <s v="CARGILL MEAT"/>
    <x v="29"/>
    <s v="116083"/>
    <s v="HP 132 CLR-72mm x 100m-24 rls/cs-H"/>
    <m/>
    <n v="7985.03"/>
    <m/>
    <n v="27486.312000000002"/>
    <x v="3"/>
    <x v="135"/>
    <x v="78"/>
  </r>
  <r>
    <s v="28"/>
    <s v="PRESTON ALMOND (I)"/>
    <s v="3838"/>
    <s v="ASSOCIATED PKG/NC STATESVILLE"/>
    <s v="733232"/>
    <s v="CARGILL MEAT"/>
    <x v="29"/>
    <s v="176748"/>
    <s v="HP 132 CLR-48mm x 914m-6 rls/cs-S"/>
    <n v="10692"/>
    <m/>
    <n v="30222.720000000001"/>
    <m/>
    <x v="3"/>
    <x v="135"/>
    <x v="88"/>
  </r>
  <r>
    <s v="28"/>
    <s v="PRESTON ALMOND (I)"/>
    <s v="3838"/>
    <s v="ASSOCIATED PKG/NC STATESVILLE"/>
    <s v="739404"/>
    <s v="READERLINK DISTRIBUTION DNU"/>
    <x v="4"/>
    <s v="150721"/>
    <s v="HP 235 CLR-72mm x 914m-4 rls/cs-H"/>
    <m/>
    <n v="15271.03"/>
    <m/>
    <n v="34002.720000000001"/>
    <x v="3"/>
    <x v="136"/>
    <x v="23"/>
  </r>
  <r>
    <s v="28"/>
    <s v="PRESTON ALMOND (I)"/>
    <s v="3838"/>
    <s v="ASSOCIATED PKG/NC STATESVILLE"/>
    <s v="739415"/>
    <s v="DEHAVEN TRANSPORTATION"/>
    <x v="0"/>
    <s v="231045"/>
    <s v="AP 180 CLR-72mm x 100m-24 rls/cs-H/A"/>
    <n v="2566.08"/>
    <n v="4847.04"/>
    <n v="12400.128000000001"/>
    <n v="24800.256000000001"/>
    <x v="3"/>
    <x v="137"/>
    <x v="58"/>
  </r>
  <r>
    <s v="28"/>
    <s v="PRESTON ALMOND (I)"/>
    <s v="3838"/>
    <s v="ASSOCIATED PKG/NC STATESVILLE"/>
    <s v="739415"/>
    <s v="DEHAVEN TRANSPORTATION"/>
    <x v="0"/>
    <s v="231051"/>
    <s v="AP 180 CLR-72mm x 1371m-4 rls/cs-H"/>
    <n v="42853.54"/>
    <n v="58301.34"/>
    <n v="170002.28599999999"/>
    <n v="204002.742"/>
    <x v="3"/>
    <x v="137"/>
    <x v="89"/>
  </r>
  <r>
    <s v="28"/>
    <s v="PRESTON ALMOND (I)"/>
    <s v="3838"/>
    <s v="ASSOCIATED PKG/NC STATESVILLE"/>
    <s v="739415"/>
    <s v="DEHAVEN TRANSPORTATION"/>
    <x v="32"/>
    <s v="903251"/>
    <s v="FE-3 Folded-Edge Tape Dispenser - H"/>
    <m/>
    <n v="888.04"/>
    <m/>
    <n v="0"/>
    <x v="3"/>
    <x v="137"/>
    <x v="85"/>
  </r>
  <r>
    <s v="28"/>
    <s v="PRESTON ALMOND (I)"/>
    <s v="3838"/>
    <s v="ASSOCIATED PKG/NC STATESVILLE"/>
    <s v="739415"/>
    <s v="DEHAVEN TRANSPORTATION"/>
    <x v="3"/>
    <s v="207194"/>
    <s v="HP 100 CLR-72mm x 100m-24 rls/cs-S"/>
    <n v="2936.74"/>
    <n v="11846.74"/>
    <n v="12399.6"/>
    <n v="49598.400000000001"/>
    <x v="3"/>
    <x v="137"/>
    <x v="50"/>
  </r>
  <r>
    <s v="28"/>
    <s v="PRESTON ALMOND (I)"/>
    <s v="3838"/>
    <s v="ASSOCIATED PKG/NC STATESVILLE"/>
    <s v="739415"/>
    <s v="DEHAVEN TRANSPORTATION"/>
    <x v="3"/>
    <s v="208465"/>
    <s v="HP 100 CLR-72mm x 914m-4 rls/cs-S"/>
    <n v="3735.07"/>
    <n v="11372.49"/>
    <n v="15111.36"/>
    <n v="45334.080000000002"/>
    <x v="3"/>
    <x v="137"/>
    <x v="69"/>
  </r>
  <r>
    <s v="28"/>
    <s v="PRESTON ALMOND (I)"/>
    <s v="3838"/>
    <s v="ASSOCIATED PKG/NC STATESVILLE"/>
    <s v="739415"/>
    <s v="DEHAVEN TRANSPORTATION"/>
    <x v="2"/>
    <s v="207223"/>
    <s v="HP 200 TAN-48mm x 100m-36 rls/cs-H/A"/>
    <m/>
    <n v="3656.66"/>
    <m/>
    <n v="12399.6"/>
    <x v="3"/>
    <x v="137"/>
    <x v="75"/>
  </r>
  <r>
    <s v="28"/>
    <s v="PRESTON ALMOND (I)"/>
    <s v="3838"/>
    <s v="ASSOCIATED PKG/NC STATESVILLE"/>
    <s v="739415"/>
    <s v="DEHAVEN TRANSPORTATION"/>
    <x v="2"/>
    <s v="208494"/>
    <s v="HP 200 TAN-48mm x 914m-6 rls/cs-H"/>
    <n v="4231.18"/>
    <m/>
    <n v="15111.36"/>
    <m/>
    <x v="3"/>
    <x v="137"/>
    <x v="76"/>
  </r>
  <r>
    <s v="28"/>
    <s v="PRESTON ALMOND (I)"/>
    <s v="3838"/>
    <s v="ASSOCIATED PKG/NC STATESVILLE"/>
    <s v="739415"/>
    <s v="DEHAVEN TRANSPORTATION"/>
    <x v="2"/>
    <s v="208498"/>
    <s v="HP 200 TAN-72mm x 914m-4 rls/cs-H"/>
    <n v="8466.16"/>
    <n v="4617.3599999999997"/>
    <n v="30222.720000000001"/>
    <n v="15741"/>
    <x v="3"/>
    <x v="137"/>
    <x v="86"/>
  </r>
  <r>
    <s v="28"/>
    <s v="PRESTON ALMOND (I)"/>
    <s v="3838"/>
    <s v="ASSOCIATED PKG/NC STATESVILLE"/>
    <s v="740591"/>
    <s v="EBI LLC"/>
    <x v="0"/>
    <s v="231045"/>
    <s v="AP 180 CLR-72mm x 100m-24 rls/cs-H/A"/>
    <n v="2566.08"/>
    <m/>
    <n v="12400.128000000001"/>
    <m/>
    <x v="3"/>
    <x v="138"/>
    <x v="58"/>
  </r>
  <r>
    <s v="28"/>
    <s v="PRESTON ALMOND (I)"/>
    <s v="3838"/>
    <s v="ASSOCIATED PKG/NC STATESVILLE"/>
    <s v="741315"/>
    <s v="RESOURCE MHR NC LLC"/>
    <x v="2"/>
    <s v="207233"/>
    <s v="HP 200 CLR-72mm x 100m-24 rls/cs-S"/>
    <n v="565.49"/>
    <m/>
    <n v="2066.6"/>
    <m/>
    <x v="3"/>
    <x v="139"/>
    <x v="28"/>
  </r>
  <r>
    <s v="28"/>
    <s v="PRESTON ALMOND (I)"/>
    <s v="3838"/>
    <s v="ASSOCIATED PKG/NC STATESVILLE"/>
    <s v="741556"/>
    <s v="LSC COMMUNICATIONS"/>
    <x v="2"/>
    <s v="123897"/>
    <s v="HP 200 BLU-72mm x 914m-4 rls/cs-H"/>
    <m/>
    <n v="2586.35"/>
    <m/>
    <n v="5037.12"/>
    <x v="3"/>
    <x v="140"/>
    <x v="51"/>
  </r>
  <r>
    <s v="28"/>
    <s v="PRESTON ALMOND (I)"/>
    <s v="3838"/>
    <s v="ASSOCIATED PKG/NC STATESVILLE"/>
    <s v="741556"/>
    <s v="LSC COMMUNICATIONS"/>
    <x v="2"/>
    <s v="208498"/>
    <s v="HP 200 TAN-72mm x 914m-4 rls/cs-H"/>
    <m/>
    <n v="1630.89"/>
    <m/>
    <n v="5037.12"/>
    <x v="3"/>
    <x v="140"/>
    <x v="86"/>
  </r>
  <r>
    <s v="28"/>
    <s v="PRESTON ALMOND (I)"/>
    <s v="3838"/>
    <s v="ASSOCIATED PKG/NC STATESVILLE"/>
    <s v="743503"/>
    <s v="ADVANCE AUTO SUPPLIES"/>
    <x v="30"/>
    <s v="101685"/>
    <s v="WP 100 NAT-70mmx138m(450ft)-10rls/cs-H/A"/>
    <n v="2132.46"/>
    <m/>
    <n v="3465.9"/>
    <m/>
    <x v="3"/>
    <x v="141"/>
    <x v="82"/>
  </r>
  <r>
    <s v="28"/>
    <s v="PRESTON ALMOND (I)"/>
    <s v="3838"/>
    <s v="ASSOCIATED PKG/NC STATESVILLE"/>
    <s v="743609"/>
    <s v="MAINETTI"/>
    <x v="3"/>
    <s v="207142"/>
    <s v="HP 100 CLR-48mm x 100m-36 rls/cs-S"/>
    <m/>
    <n v="509.65"/>
    <m/>
    <n v="2066.6"/>
    <x v="3"/>
    <x v="142"/>
    <x v="22"/>
  </r>
  <r>
    <s v="28"/>
    <s v="PRESTON ALMOND (I)"/>
    <s v="3838"/>
    <s v="ASSOCIATED PKG/NC STATESVILLE"/>
    <s v="743609"/>
    <s v="MAINETTI"/>
    <x v="2"/>
    <s v="208496"/>
    <s v="HP 200 CLR-72mm x 914m-4 rls/cs-S"/>
    <m/>
    <n v="2173.0500000000002"/>
    <m/>
    <n v="7870.5"/>
    <x v="3"/>
    <x v="142"/>
    <x v="5"/>
  </r>
  <r>
    <s v="28"/>
    <s v="PRESTON ALMOND (I)"/>
    <s v="3838"/>
    <s v="ASSOCIATED PKG/NC STATESVILLE"/>
    <s v="744442"/>
    <s v="PACKAGING CENTER"/>
    <x v="2"/>
    <s v="207149"/>
    <s v="HP 200 CLR-48mm x 100m-36 rls/cs-S"/>
    <m/>
    <n v="3143.45"/>
    <m/>
    <n v="12399.6"/>
    <x v="3"/>
    <x v="143"/>
    <x v="3"/>
  </r>
  <r>
    <s v="28"/>
    <s v="PRESTON ALMOND (I)"/>
    <s v="3838"/>
    <s v="ASSOCIATED PKG/NC STATESVILLE"/>
    <s v="744567"/>
    <s v="READERLINK DISTRIBUTION DNU"/>
    <x v="4"/>
    <s v="150721"/>
    <s v="HP 235 CLR-72mm x 914m-4 rls/cs-H"/>
    <n v="8358.77"/>
    <m/>
    <n v="18890.400000000001"/>
    <m/>
    <x v="3"/>
    <x v="144"/>
    <x v="23"/>
  </r>
  <r>
    <s v="28"/>
    <s v="PRESTON ALMOND (I)"/>
    <s v="3838"/>
    <s v="ASSOCIATED PKG/NC STATESVILLE"/>
    <s v="745047"/>
    <s v="DAYE NORTH AMERICA INC"/>
    <x v="1"/>
    <s v="230962"/>
    <s v="AP 201 CLR-48mm x 100m-36 rls/cs-H/A"/>
    <n v="3549.74"/>
    <m/>
    <n v="12398.4"/>
    <m/>
    <x v="3"/>
    <x v="145"/>
    <x v="25"/>
  </r>
  <r>
    <s v="28"/>
    <s v="PRESTON ALMOND (I)"/>
    <s v="3838"/>
    <s v="ASSOCIATED PKG/NC STATESVILLE"/>
    <s v="746603"/>
    <s v="SML LOGISTICS FOR HUNGRYROOT"/>
    <x v="4"/>
    <s v="150721"/>
    <s v="HP 235 CLR-72mm x 914m-4 rls/cs-H"/>
    <n v="12748.04"/>
    <n v="4037.3"/>
    <n v="37151.120000000003"/>
    <n v="11334.24"/>
    <x v="3"/>
    <x v="146"/>
    <x v="23"/>
  </r>
  <r>
    <s v="28"/>
    <s v="PRESTON ALMOND (I)"/>
    <s v="3838"/>
    <s v="ASSOCIATED PKG/NC STATESVILLE"/>
    <s v="748035"/>
    <s v="RICH PRODUCTS"/>
    <x v="3"/>
    <s v="195553"/>
    <s v="HP 100 CLR-53mm x 1500m-6 rls/cs-S"/>
    <m/>
    <n v="4176.3"/>
    <m/>
    <n v="20537.495999999999"/>
    <x v="3"/>
    <x v="147"/>
    <x v="18"/>
  </r>
  <r>
    <s v="28"/>
    <s v="PRESTON ALMOND (I)"/>
    <s v="3838"/>
    <s v="ASSOCIATED PKG/NC STATESVILLE"/>
    <s v="749470"/>
    <s v="ELIZABETH ARDEN ASSEMBLY"/>
    <x v="2"/>
    <s v="208498"/>
    <s v="HP 200 TAN-72mm x 914m-4 rls/cs-H"/>
    <m/>
    <n v="2916.54"/>
    <m/>
    <n v="9444.6"/>
    <x v="3"/>
    <x v="148"/>
    <x v="86"/>
  </r>
  <r>
    <s v="28"/>
    <s v="PRESTON ALMOND (I)"/>
    <s v="3838"/>
    <s v="ASSOCIATED PKG/NC STATESVILLE"/>
    <s v="750058"/>
    <s v="TCG LEGACY GRAPHICS INC"/>
    <x v="3"/>
    <s v="207194"/>
    <s v="HP 100 CLR-72mm x 100m-24 rls/cs-S"/>
    <m/>
    <n v="2514.7600000000002"/>
    <m/>
    <n v="9919.68"/>
    <x v="3"/>
    <x v="149"/>
    <x v="50"/>
  </r>
  <r>
    <s v="28"/>
    <s v="PRESTON ALMOND (I)"/>
    <s v="3838"/>
    <s v="ASSOCIATED PKG/NC STATESVILLE"/>
    <s v="751082"/>
    <s v="BIMBO BAKEHOUSE"/>
    <x v="0"/>
    <s v="231045"/>
    <s v="AP 180 CLR-72mm x 100m-24 rls/cs-H/A"/>
    <m/>
    <n v="1525.39"/>
    <m/>
    <n v="6200.0640000000003"/>
    <x v="3"/>
    <x v="150"/>
    <x v="58"/>
  </r>
  <r>
    <s v="28"/>
    <s v="PRESTON ALMOND (I)"/>
    <s v="3838"/>
    <s v="ASSOCIATED PKG/NC STATESVILLE"/>
    <s v="751421"/>
    <s v="DIRECT SPORTS, INC."/>
    <x v="3"/>
    <s v="207142"/>
    <s v="HP 100 CLR-48mm x 100m-36 rls/cs-S"/>
    <m/>
    <n v="764.48"/>
    <m/>
    <n v="3099.9"/>
    <x v="3"/>
    <x v="151"/>
    <x v="22"/>
  </r>
  <r>
    <s v="28"/>
    <s v="PRESTON ALMOND (I)"/>
    <s v="3838"/>
    <s v="ASSOCIATED PKG/NC STATESVILLE"/>
    <s v="751481"/>
    <s v="AXJO AMERICA INC"/>
    <x v="8"/>
    <s v="101295"/>
    <s v="GS 490 CLR-72mm x 55m-12 rls/cs-H"/>
    <m/>
    <n v="5337.45"/>
    <m/>
    <n v="4432.74"/>
    <x v="3"/>
    <x v="152"/>
    <x v="90"/>
  </r>
  <r>
    <s v="28"/>
    <s v="PRESTON ALMOND (I)"/>
    <s v="3838"/>
    <s v="ASSOCIATED PKG/NC STATESVILLE"/>
    <s v="751481"/>
    <s v="AXJO AMERICA INC"/>
    <x v="33"/>
    <s v="101290"/>
    <s v="GS 501 CLR-72mm x 55m-12 rls/cs-H"/>
    <m/>
    <n v="6310.66"/>
    <m/>
    <n v="3637.12"/>
    <x v="3"/>
    <x v="152"/>
    <x v="91"/>
  </r>
  <r>
    <s v="28"/>
    <s v="PRESTON ALMOND (I)"/>
    <s v="3838"/>
    <s v="ASSOCIATED PKG/NC STATESVILLE"/>
    <s v="751584"/>
    <s v="PRODUCTIV INC"/>
    <x v="0"/>
    <s v="231044"/>
    <s v="AP 180 CLR-48mm x 100m-36 rls/cs-H/A"/>
    <m/>
    <n v="2801.3"/>
    <m/>
    <n v="12398.4"/>
    <x v="3"/>
    <x v="153"/>
    <x v="1"/>
  </r>
  <r>
    <s v="28"/>
    <s v="PRESTON ALMOND (I)"/>
    <s v="3838"/>
    <s v="ASSOCIATED PKG/NC STATESVILLE"/>
    <s v="751821"/>
    <s v="SOFTEX PAPER INC"/>
    <x v="0"/>
    <s v="231045"/>
    <s v="AP 180 CLR-72mm x 100m-24 rls/cs-H/A"/>
    <m/>
    <n v="874.37"/>
    <m/>
    <n v="4133.3760000000002"/>
    <x v="3"/>
    <x v="154"/>
    <x v="58"/>
  </r>
  <r>
    <s v="35"/>
    <s v="CHRIS ASHLEY (I)"/>
    <s v="6517"/>
    <s v="ASSOCIATED PKG/TN GALLATIN"/>
    <s v="6517"/>
    <s v="ASSOCIATED PKG/TN GALLATIN"/>
    <x v="21"/>
    <s v="230982"/>
    <s v="AP 101 CLR-48mm x 100m-36 rls/cs-S"/>
    <n v="2673"/>
    <m/>
    <n v="12398.4"/>
    <m/>
    <x v="4"/>
    <x v="155"/>
    <x v="55"/>
  </r>
  <r>
    <s v="35"/>
    <s v="CHRIS ASHLEY (I)"/>
    <s v="6517"/>
    <s v="ASSOCIATED PKG/TN GALLATIN"/>
    <s v="6517"/>
    <s v="ASSOCIATED PKG/TN GALLATIN"/>
    <x v="1"/>
    <s v="105302"/>
    <s v="AP 201 RED 48mm x 100m-36 rls/cs-H/A"/>
    <m/>
    <n v="151.11000000000001"/>
    <m/>
    <n v="413.28"/>
    <x v="4"/>
    <x v="155"/>
    <x v="73"/>
  </r>
  <r>
    <s v="35"/>
    <s v="CHRIS ASHLEY (I)"/>
    <s v="6517"/>
    <s v="ASSOCIATED PKG/TN GALLATIN"/>
    <s v="6517"/>
    <s v="ASSOCIATED PKG/TN GALLATIN"/>
    <x v="11"/>
    <s v="140431"/>
    <s v="CP 105 NAT-24mm x 55m- 36 rls/cs-S"/>
    <n v="392.04"/>
    <n v="378.5"/>
    <n v="568.29999999999995"/>
    <n v="511.47"/>
    <x v="4"/>
    <x v="155"/>
    <x v="49"/>
  </r>
  <r>
    <s v="35"/>
    <s v="CHRIS ASHLEY (I)"/>
    <s v="6517"/>
    <s v="ASSOCIATED PKG/TN GALLATIN"/>
    <s v="6517"/>
    <s v="ASSOCIATED PKG/TN GALLATIN"/>
    <x v="17"/>
    <s v="104663"/>
    <s v="FP 115 BRN-72mm x 55m-16 rls/cs-H"/>
    <n v="9907.92"/>
    <n v="3782.59"/>
    <n v="6819.84"/>
    <n v="2273.2800000000002"/>
    <x v="4"/>
    <x v="155"/>
    <x v="52"/>
  </r>
  <r>
    <s v="35"/>
    <s v="CHRIS ASHLEY (I)"/>
    <s v="6517"/>
    <s v="ASSOCIATED PKG/TN GALLATIN"/>
    <s v="6517"/>
    <s v="ASSOCIATED PKG/TN GALLATIN"/>
    <x v="17"/>
    <s v="104675"/>
    <s v="FP 115 BRN-48mm x 55m-24 rls/cs-H"/>
    <m/>
    <n v="2886.84"/>
    <m/>
    <n v="1894.2"/>
    <x v="4"/>
    <x v="155"/>
    <x v="46"/>
  </r>
  <r>
    <s v="35"/>
    <s v="CHRIS ASHLEY (I)"/>
    <s v="6517"/>
    <s v="ASSOCIATED PKG/TN GALLATIN"/>
    <s v="6517"/>
    <s v="ASSOCIATED PKG/TN GALLATIN"/>
    <x v="3"/>
    <s v="207142"/>
    <s v="HP 100 CLR-48mm x 100m-36 rls/cs-S"/>
    <n v="5752.29"/>
    <n v="9152.35"/>
    <n v="24799.200000000001"/>
    <n v="37198.800000000003"/>
    <x v="4"/>
    <x v="155"/>
    <x v="22"/>
  </r>
  <r>
    <s v="35"/>
    <s v="CHRIS ASHLEY (I)"/>
    <s v="6517"/>
    <s v="ASSOCIATED PKG/TN GALLATIN"/>
    <s v="6517"/>
    <s v="ASSOCIATED PKG/TN GALLATIN"/>
    <x v="3"/>
    <s v="207194"/>
    <s v="HP 100 CLR-72mm x 100m-24 rls/cs-S"/>
    <n v="2794.18"/>
    <n v="1532.52"/>
    <n v="12399.6"/>
    <n v="6199.8"/>
    <x v="4"/>
    <x v="155"/>
    <x v="50"/>
  </r>
  <r>
    <s v="35"/>
    <s v="CHRIS ASHLEY (I)"/>
    <s v="6517"/>
    <s v="ASSOCIATED PKG/TN GALLATIN"/>
    <s v="6517"/>
    <s v="ASSOCIATED PKG/TN GALLATIN"/>
    <x v="3"/>
    <s v="208465"/>
    <s v="HP 100 CLR-72mm x 914m-4 rls/cs-S"/>
    <n v="2593.21"/>
    <n v="1940.4"/>
    <n v="11018.7"/>
    <n v="7870.5"/>
    <x v="4"/>
    <x v="155"/>
    <x v="69"/>
  </r>
  <r>
    <s v="35"/>
    <s v="CHRIS ASHLEY (I)"/>
    <s v="6517"/>
    <s v="ASSOCIATED PKG/TN GALLATIN"/>
    <s v="6517"/>
    <s v="ASSOCIATED PKG/TN GALLATIN"/>
    <x v="2"/>
    <s v="207149"/>
    <s v="HP 200 CLR-48mm x 100m-36 rls/cs-S"/>
    <n v="3207.6"/>
    <m/>
    <n v="12399.6"/>
    <m/>
    <x v="4"/>
    <x v="155"/>
    <x v="3"/>
  </r>
  <r>
    <s v="35"/>
    <s v="CHRIS ASHLEY (I)"/>
    <s v="6517"/>
    <s v="ASSOCIATED PKG/TN GALLATIN"/>
    <s v="6517"/>
    <s v="ASSOCIATED PKG/TN GALLATIN"/>
    <x v="2"/>
    <s v="207233"/>
    <s v="HP 200 CLR-72mm x 100m-24 rls/cs-S"/>
    <n v="809.02"/>
    <m/>
    <n v="3099.9"/>
    <m/>
    <x v="4"/>
    <x v="155"/>
    <x v="28"/>
  </r>
  <r>
    <s v="35"/>
    <s v="CHRIS ASHLEY (I)"/>
    <s v="6517"/>
    <s v="ASSOCIATED PKG/TN GALLATIN"/>
    <s v="6517"/>
    <s v="ASSOCIATED PKG/TN GALLATIN"/>
    <x v="2"/>
    <s v="207239"/>
    <s v="HP 200 TAN-72mm x 100m-24 rls/cs-H/A"/>
    <m/>
    <n v="596.38"/>
    <m/>
    <n v="2066.6"/>
    <x v="4"/>
    <x v="155"/>
    <x v="92"/>
  </r>
  <r>
    <s v="35"/>
    <s v="CHRIS ASHLEY (I)"/>
    <s v="6517"/>
    <s v="ASSOCIATED PKG/TN GALLATIN"/>
    <s v="8238"/>
    <s v="VALLEN DISTRIBUTION INC"/>
    <x v="3"/>
    <s v="195553"/>
    <s v="HP 100 CLR-53mm x 1500m-6 rls/cs-S"/>
    <n v="14626.66"/>
    <m/>
    <n v="61612.487999999998"/>
    <m/>
    <x v="4"/>
    <x v="156"/>
    <x v="18"/>
  </r>
  <r>
    <s v="35"/>
    <s v="CHRIS ASHLEY (I)"/>
    <s v="6517"/>
    <s v="ASSOCIATED PKG/TN GALLATIN"/>
    <s v="9644"/>
    <s v="PANOLAM INDUSTRIES INTERNATIONAL IN"/>
    <x v="17"/>
    <s v="104667"/>
    <s v="FP 115 BRN-24mm x 55m-36 rls/cs-H"/>
    <m/>
    <n v="173.92"/>
    <m/>
    <n v="113.688"/>
    <x v="4"/>
    <x v="157"/>
    <x v="93"/>
  </r>
  <r>
    <s v="35"/>
    <s v="CHRIS ASHLEY (I)"/>
    <s v="6517"/>
    <s v="ASSOCIATED PKG/TN GALLATIN"/>
    <s v="26204"/>
    <s v="WAMPLERS FARM SAUSAGE CO"/>
    <x v="34"/>
    <s v="100962"/>
    <s v="HP 232 CLR-48mm x 914m-6 rls/cs-H/A"/>
    <n v="8211.4599999999991"/>
    <n v="9340.06"/>
    <n v="22667.040000000001"/>
    <n v="25185.599999999999"/>
    <x v="4"/>
    <x v="158"/>
    <x v="94"/>
  </r>
  <r>
    <s v="35"/>
    <s v="CHRIS ASHLEY (I)"/>
    <s v="6517"/>
    <s v="ASSOCIATED PKG/TN GALLATIN"/>
    <s v="27108"/>
    <s v="TRANZONIC COMPANIES"/>
    <x v="3"/>
    <s v="207194"/>
    <s v="HP 100 CLR-72mm x 100m-24 rls/cs-S"/>
    <m/>
    <n v="6467.95"/>
    <m/>
    <n v="26245.82"/>
    <x v="4"/>
    <x v="159"/>
    <x v="50"/>
  </r>
  <r>
    <s v="35"/>
    <s v="CHRIS ASHLEY (I)"/>
    <s v="6517"/>
    <s v="ASSOCIATED PKG/TN GALLATIN"/>
    <s v="27108"/>
    <s v="TRANZONIC COMPANIES"/>
    <x v="3"/>
    <s v="208453"/>
    <s v="HP 100 CLR-48mm x 914m-6 rls/cs-S"/>
    <m/>
    <n v="3911.85"/>
    <m/>
    <n v="15111.36"/>
    <x v="4"/>
    <x v="159"/>
    <x v="24"/>
  </r>
  <r>
    <s v="35"/>
    <s v="CHRIS ASHLEY (I)"/>
    <s v="6517"/>
    <s v="ASSOCIATED PKG/TN GALLATIN"/>
    <s v="27717"/>
    <s v="FEDERAL MOGUL"/>
    <x v="3"/>
    <s v="208453"/>
    <s v="HP 100 CLR-48mm x 914m-6 rls/cs-S"/>
    <n v="3472.77"/>
    <m/>
    <n v="15111.36"/>
    <m/>
    <x v="4"/>
    <x v="160"/>
    <x v="24"/>
  </r>
  <r>
    <s v="35"/>
    <s v="CHRIS ASHLEY (I)"/>
    <s v="6517"/>
    <s v="ASSOCIATED PKG/TN GALLATIN"/>
    <s v="27717"/>
    <s v="FEDERAL MOGUL"/>
    <x v="2"/>
    <s v="207149"/>
    <s v="HP 200 CLR-48mm x 100m-36 rls/cs-S"/>
    <n v="3057.91"/>
    <m/>
    <n v="12399.6"/>
    <m/>
    <x v="4"/>
    <x v="160"/>
    <x v="3"/>
  </r>
  <r>
    <s v="35"/>
    <s v="CHRIS ASHLEY (I)"/>
    <s v="6517"/>
    <s v="ASSOCIATED PKG/TN GALLATIN"/>
    <s v="27717"/>
    <s v="FEDERAL MOGUL"/>
    <x v="2"/>
    <s v="208492"/>
    <s v="HP 200 CLR-48mm x 914m-6 rls/cs-S"/>
    <m/>
    <n v="3110.18"/>
    <m/>
    <n v="10703.88"/>
    <x v="4"/>
    <x v="160"/>
    <x v="6"/>
  </r>
  <r>
    <s v="35"/>
    <s v="CHRIS ASHLEY (I)"/>
    <s v="6517"/>
    <s v="ASSOCIATED PKG/TN GALLATIN"/>
    <s v="27717"/>
    <s v="FEDERAL MOGUL"/>
    <x v="2"/>
    <s v="208496"/>
    <s v="HP 200 CLR-72mm x 914m-4 rls/cs-S"/>
    <n v="3736.97"/>
    <m/>
    <n v="15111.36"/>
    <m/>
    <x v="4"/>
    <x v="160"/>
    <x v="5"/>
  </r>
  <r>
    <s v="35"/>
    <s v="CHRIS ASHLEY (I)"/>
    <s v="6517"/>
    <s v="ASSOCIATED PKG/TN GALLATIN"/>
    <s v="27880"/>
    <s v="MIAMI CORP"/>
    <x v="3"/>
    <s v="207194"/>
    <s v="HP 100 CLR-72mm x 100m-24 rls/cs-S"/>
    <m/>
    <n v="470.21"/>
    <m/>
    <n v="1859.94"/>
    <x v="4"/>
    <x v="161"/>
    <x v="50"/>
  </r>
  <r>
    <s v="35"/>
    <s v="CHRIS ASHLEY (I)"/>
    <s v="6517"/>
    <s v="ASSOCIATED PKG/TN GALLATIN"/>
    <s v="38633"/>
    <s v="GENESCO IMPORT GROUP/ DOCKERS"/>
    <x v="2"/>
    <s v="208496"/>
    <s v="HP 200 CLR-72mm x 914m-4 rls/cs-S"/>
    <n v="3923.25"/>
    <m/>
    <n v="15111.36"/>
    <m/>
    <x v="4"/>
    <x v="162"/>
    <x v="5"/>
  </r>
  <r>
    <s v="35"/>
    <s v="CHRIS ASHLEY (I)"/>
    <s v="6517"/>
    <s v="ASSOCIATED PKG/TN GALLATIN"/>
    <s v="39112"/>
    <s v="BOSTIK INC"/>
    <x v="2"/>
    <s v="208529"/>
    <s v="HP 200 CLR-72mm x 1371m-4 rls/cs-S"/>
    <n v="9223.6299999999992"/>
    <n v="4291.0600000000004"/>
    <n v="34000.559999999998"/>
    <n v="17000.28"/>
    <x v="4"/>
    <x v="163"/>
    <x v="72"/>
  </r>
  <r>
    <s v="35"/>
    <s v="CHRIS ASHLEY (I)"/>
    <s v="6517"/>
    <s v="ASSOCIATED PKG/TN GALLATIN"/>
    <s v="43629"/>
    <s v="DALEN PRODUCTS INC"/>
    <x v="33"/>
    <s v="101289"/>
    <s v="GS 501 CLR-48mm x 55m-24 rls/cs-H/A"/>
    <m/>
    <n v="394.18"/>
    <m/>
    <n v="227.34"/>
    <x v="4"/>
    <x v="164"/>
    <x v="95"/>
  </r>
  <r>
    <s v="35"/>
    <s v="CHRIS ASHLEY (I)"/>
    <s v="6517"/>
    <s v="ASSOCIATED PKG/TN GALLATIN"/>
    <s v="46217"/>
    <s v="JOHNS MANVILLE"/>
    <x v="35"/>
    <s v="205586"/>
    <s v="CP 66L NAT-48mm x 165m- 6 rls/cs-C"/>
    <n v="8069.31"/>
    <m/>
    <n v="7443.42"/>
    <m/>
    <x v="4"/>
    <x v="165"/>
    <x v="96"/>
  </r>
  <r>
    <s v="35"/>
    <s v="CHRIS ASHLEY (I)"/>
    <s v="6517"/>
    <s v="ASSOCIATED PKG/TN GALLATIN"/>
    <s v="46217"/>
    <s v="JOHNS MANVILLE"/>
    <x v="35"/>
    <s v="209420"/>
    <s v="CP 66L NAT-4in x 240yd-3 rls/cs-H"/>
    <n v="86609.94"/>
    <n v="11081.66"/>
    <n v="88320"/>
    <n v="10240"/>
    <x v="4"/>
    <x v="165"/>
    <x v="97"/>
  </r>
  <r>
    <s v="35"/>
    <s v="CHRIS ASHLEY (I)"/>
    <s v="6517"/>
    <s v="ASSOCIATED PKG/TN GALLATIN"/>
    <s v="80579"/>
    <s v="SPECIALTY CONVERTING"/>
    <x v="15"/>
    <s v="100486"/>
    <s v="CP 083 NAT-18mm x 55m-48 rls/cs-S"/>
    <n v="475.2"/>
    <m/>
    <n v="568.4"/>
    <m/>
    <x v="4"/>
    <x v="166"/>
    <x v="98"/>
  </r>
  <r>
    <s v="35"/>
    <s v="CHRIS ASHLEY (I)"/>
    <s v="6517"/>
    <s v="ASSOCIATED PKG/TN GALLATIN"/>
    <s v="80579"/>
    <s v="SPECIALTY CONVERTING"/>
    <x v="36"/>
    <s v="203796"/>
    <s v="DP 050 CLR-48mm x 50m-24 rls/cs-H"/>
    <n v="954.68"/>
    <m/>
    <n v="482.23"/>
    <m/>
    <x v="4"/>
    <x v="166"/>
    <x v="99"/>
  </r>
  <r>
    <s v="35"/>
    <s v="CHRIS ASHLEY (I)"/>
    <s v="6517"/>
    <s v="ASSOCIATED PKG/TN GALLATIN"/>
    <s v="80579"/>
    <s v="SPECIALTY CONVERTING"/>
    <x v="36"/>
    <s v="204559"/>
    <s v="DP 050 CLR-24mm x 50m-36 rls/cs-H"/>
    <n v="720.64"/>
    <m/>
    <n v="310.02"/>
    <m/>
    <x v="4"/>
    <x v="166"/>
    <x v="100"/>
  </r>
  <r>
    <s v="35"/>
    <s v="CHRIS ASHLEY (I)"/>
    <s v="6517"/>
    <s v="ASSOCIATED PKG/TN GALLATIN"/>
    <s v="80579"/>
    <s v="SPECIALTY CONVERTING"/>
    <x v="20"/>
    <s v="100020"/>
    <s v="FP 097 KFT-36mm x 55m-24 rls/cs-H"/>
    <m/>
    <n v="412.23"/>
    <m/>
    <n v="284.14999999999998"/>
    <x v="4"/>
    <x v="166"/>
    <x v="101"/>
  </r>
  <r>
    <s v="35"/>
    <s v="CHRIS ASHLEY (I)"/>
    <s v="6517"/>
    <s v="ASSOCIATED PKG/TN GALLATIN"/>
    <s v="80579"/>
    <s v="SPECIALTY CONVERTING"/>
    <x v="3"/>
    <s v="207142"/>
    <s v="HP 100 CLR-48mm x 100m-36 rls/cs-S"/>
    <n v="254.83"/>
    <n v="356.76"/>
    <n v="1033.3"/>
    <n v="1446.62"/>
    <x v="4"/>
    <x v="166"/>
    <x v="22"/>
  </r>
  <r>
    <s v="35"/>
    <s v="CHRIS ASHLEY (I)"/>
    <s v="6517"/>
    <s v="ASSOCIATED PKG/TN GALLATIN"/>
    <s v="81112"/>
    <s v="FLEETGUARD INC"/>
    <x v="4"/>
    <s v="178027"/>
    <s v="HP 235 CLR-48mm x 914m-6 rls/cs-H"/>
    <n v="6131.26"/>
    <m/>
    <n v="16370.64"/>
    <m/>
    <x v="4"/>
    <x v="167"/>
    <x v="102"/>
  </r>
  <r>
    <s v="35"/>
    <s v="CHRIS ASHLEY (I)"/>
    <s v="6517"/>
    <s v="ASSOCIATED PKG/TN GALLATIN"/>
    <s v="84047"/>
    <s v="THE ROBINETTE COMPANY"/>
    <x v="37"/>
    <s v="100761"/>
    <s v="DF 065 NAT-1/2in x 36yd-72 rls/cs-H/A"/>
    <n v="2330.86"/>
    <m/>
    <n v="360"/>
    <m/>
    <x v="4"/>
    <x v="168"/>
    <x v="103"/>
  </r>
  <r>
    <s v="35"/>
    <s v="CHRIS ASHLEY (I)"/>
    <s v="6517"/>
    <s v="ASSOCIATED PKG/TN GALLATIN"/>
    <s v="84995"/>
    <s v="CARGILL MEAT SOLUTIONS CORP"/>
    <x v="3"/>
    <s v="207142"/>
    <s v="HP 100 CLR-48mm x 100m-36 rls/cs-S"/>
    <n v="9443.18"/>
    <n v="2950.99"/>
    <n v="39678.720000000001"/>
    <n v="12399.6"/>
    <x v="4"/>
    <x v="169"/>
    <x v="22"/>
  </r>
  <r>
    <s v="35"/>
    <s v="CHRIS ASHLEY (I)"/>
    <s v="6517"/>
    <s v="ASSOCIATED PKG/TN GALLATIN"/>
    <s v="84995"/>
    <s v="CARGILL MEAT SOLUTIONS CORP"/>
    <x v="3"/>
    <s v="208453"/>
    <s v="HP 100 CLR-48mm x 914m-6 rls/cs-S"/>
    <n v="3646.68"/>
    <n v="7467.29"/>
    <n v="15111.36"/>
    <n v="30222.720000000001"/>
    <x v="4"/>
    <x v="169"/>
    <x v="24"/>
  </r>
  <r>
    <s v="35"/>
    <s v="CHRIS ASHLEY (I)"/>
    <s v="6517"/>
    <s v="ASSOCIATED PKG/TN GALLATIN"/>
    <s v="84995"/>
    <s v="CARGILL MEAT SOLUTIONS CORP"/>
    <x v="38"/>
    <s v="183220"/>
    <s v="HP 240 WR STOP-48mm x 914m-6 rls/cs-H"/>
    <n v="1269.5"/>
    <m/>
    <n v="1888.92"/>
    <m/>
    <x v="4"/>
    <x v="169"/>
    <x v="104"/>
  </r>
  <r>
    <s v="35"/>
    <s v="CHRIS ASHLEY (I)"/>
    <s v="6517"/>
    <s v="ASSOCIATED PKG/TN GALLATIN"/>
    <s v="85219"/>
    <s v="A-Z OFFICE RESOURCE INC"/>
    <x v="15"/>
    <s v="100486"/>
    <s v="CP 083 NAT-18mm x 55m-48 rls/cs-S"/>
    <n v="300.33"/>
    <m/>
    <n v="454.72"/>
    <m/>
    <x v="4"/>
    <x v="170"/>
    <x v="98"/>
  </r>
  <r>
    <s v="35"/>
    <s v="CHRIS ASHLEY (I)"/>
    <s v="6517"/>
    <s v="ASSOCIATED PKG/TN GALLATIN"/>
    <s v="85219"/>
    <s v="A-Z OFFICE RESOURCE INC"/>
    <x v="20"/>
    <s v="101073"/>
    <s v="FP 097 KFT-72mm x 55m-16 rls/cs-H/A"/>
    <m/>
    <n v="91.24"/>
    <m/>
    <n v="75.78"/>
    <x v="4"/>
    <x v="170"/>
    <x v="81"/>
  </r>
  <r>
    <s v="35"/>
    <s v="CHRIS ASHLEY (I)"/>
    <s v="6517"/>
    <s v="ASSOCIATED PKG/TN GALLATIN"/>
    <s v="85219"/>
    <s v="A-Z OFFICE RESOURCE INC"/>
    <x v="8"/>
    <s v="101230"/>
    <s v="GS 490 CLR-48mm x 55m-24 rls/cs-H/A"/>
    <m/>
    <n v="642.47"/>
    <m/>
    <n v="606.24"/>
    <x v="4"/>
    <x v="170"/>
    <x v="70"/>
  </r>
  <r>
    <s v="35"/>
    <s v="CHRIS ASHLEY (I)"/>
    <s v="6517"/>
    <s v="ASSOCIATED PKG/TN GALLATIN"/>
    <s v="700619"/>
    <s v="KENTUCKY MOVING &amp; STORAGE"/>
    <x v="3"/>
    <s v="207181"/>
    <s v="HP 100 TAN-48mm x 100m-36 rls/cs-S"/>
    <n v="3143.45"/>
    <m/>
    <n v="12399.6"/>
    <m/>
    <x v="4"/>
    <x v="171"/>
    <x v="105"/>
  </r>
  <r>
    <s v="35"/>
    <s v="CHRIS ASHLEY (I)"/>
    <s v="6517"/>
    <s v="ASSOCIATED PKG/TN GALLATIN"/>
    <s v="701357"/>
    <s v="DREW FOAM OF TENNESSEE"/>
    <x v="3"/>
    <s v="207194"/>
    <s v="HP 100 CLR-72mm x 100m-24 rls/cs-S"/>
    <m/>
    <n v="3079.3"/>
    <m/>
    <n v="12399.6"/>
    <x v="4"/>
    <x v="172"/>
    <x v="50"/>
  </r>
  <r>
    <s v="35"/>
    <s v="CHRIS ASHLEY (I)"/>
    <s v="6517"/>
    <s v="ASSOCIATED PKG/TN GALLATIN"/>
    <s v="704009"/>
    <s v="DREW FOAM OF TENNESSEE"/>
    <x v="3"/>
    <s v="207194"/>
    <s v="HP 100 CLR-72mm x 100m-24 rls/cs-S"/>
    <n v="2936.74"/>
    <n v="2922.48"/>
    <n v="12399.6"/>
    <n v="12399.6"/>
    <x v="4"/>
    <x v="173"/>
    <x v="50"/>
  </r>
  <r>
    <s v="35"/>
    <s v="CHRIS ASHLEY (I)"/>
    <s v="6517"/>
    <s v="ASSOCIATED PKG/TN GALLATIN"/>
    <s v="704898"/>
    <s v="METALMAX LLC"/>
    <x v="8"/>
    <s v="101230"/>
    <s v="GS 490 CLR-48mm x 55m-24 rls/cs-H/A"/>
    <n v="9975.4"/>
    <n v="10279.530000000001"/>
    <n v="9699.84"/>
    <n v="9699.84"/>
    <x v="4"/>
    <x v="174"/>
    <x v="70"/>
  </r>
  <r>
    <s v="35"/>
    <s v="CHRIS ASHLEY (I)"/>
    <s v="6517"/>
    <s v="ASSOCIATED PKG/TN GALLATIN"/>
    <s v="706027"/>
    <s v="PEYTONS MID-SOUTH"/>
    <x v="3"/>
    <s v="207142"/>
    <s v="HP 100 CLR-48mm x 100m-36 rls/cs-S"/>
    <n v="2950.99"/>
    <m/>
    <n v="12399.6"/>
    <m/>
    <x v="4"/>
    <x v="175"/>
    <x v="22"/>
  </r>
  <r>
    <s v="35"/>
    <s v="CHRIS ASHLEY (I)"/>
    <s v="6517"/>
    <s v="ASSOCIATED PKG/TN GALLATIN"/>
    <s v="706241"/>
    <s v="METALMAX LLC"/>
    <x v="8"/>
    <s v="101230"/>
    <s v="GS 490 CLR-48mm x 55m-24 rls/cs-H/A"/>
    <n v="10560.37"/>
    <n v="4790.0200000000004"/>
    <n v="10760.76"/>
    <n v="4849.92"/>
    <x v="4"/>
    <x v="176"/>
    <x v="70"/>
  </r>
  <r>
    <s v="35"/>
    <s v="CHRIS ASHLEY (I)"/>
    <s v="6517"/>
    <s v="ASSOCIATED PKG/TN GALLATIN"/>
    <s v="709845"/>
    <s v="COOPER CONTAINER"/>
    <x v="2"/>
    <s v="207149"/>
    <s v="HP 200 CLR-48mm x 100m-36 rls/cs-S"/>
    <n v="1553.9"/>
    <m/>
    <n v="5786.48"/>
    <m/>
    <x v="4"/>
    <x v="177"/>
    <x v="3"/>
  </r>
  <r>
    <s v="35"/>
    <s v="CHRIS ASHLEY (I)"/>
    <s v="6517"/>
    <s v="ASSOCIATED PKG/TN GALLATIN"/>
    <s v="709845"/>
    <s v="COOPER CONTAINER"/>
    <x v="2"/>
    <s v="208492"/>
    <s v="HP 200 CLR-48mm x 914m-6 rls/cs-S"/>
    <n v="1045.68"/>
    <n v="869.02"/>
    <n v="3777.84"/>
    <n v="3148.2"/>
    <x v="4"/>
    <x v="177"/>
    <x v="6"/>
  </r>
  <r>
    <s v="35"/>
    <s v="CHRIS ASHLEY (I)"/>
    <s v="6517"/>
    <s v="ASSOCIATED PKG/TN GALLATIN"/>
    <s v="709845"/>
    <s v="COOPER CONTAINER"/>
    <x v="7"/>
    <s v="903000"/>
    <s v="SD 934  PISTOL GRIP TAPE DISPNSR PREM.-S"/>
    <n v="27.38"/>
    <m/>
    <n v="0"/>
    <m/>
    <x v="4"/>
    <x v="177"/>
    <x v="26"/>
  </r>
  <r>
    <s v="35"/>
    <s v="CHRIS ASHLEY (I)"/>
    <s v="6517"/>
    <s v="ASSOCIATED PKG/TN GALLATIN"/>
    <s v="711526"/>
    <s v="JM SMUCKERS COMPANY"/>
    <x v="2"/>
    <s v="208492"/>
    <s v="HP 200 CLR-48mm x 914m-6 rls/cs-S"/>
    <n v="21954.22"/>
    <m/>
    <n v="75556.800000000003"/>
    <m/>
    <x v="4"/>
    <x v="178"/>
    <x v="6"/>
  </r>
  <r>
    <s v="35"/>
    <s v="CHRIS ASHLEY (I)"/>
    <s v="6517"/>
    <s v="ASSOCIATED PKG/TN GALLATIN"/>
    <s v="712280"/>
    <s v="VYTRON CORPORATION"/>
    <x v="8"/>
    <s v="101228"/>
    <s v="GS 490 CLR-12mm x 55m-72 rls/cs-H/A"/>
    <m/>
    <n v="791.21"/>
    <m/>
    <n v="568.29999999999995"/>
    <x v="4"/>
    <x v="179"/>
    <x v="106"/>
  </r>
  <r>
    <s v="35"/>
    <s v="CHRIS ASHLEY (I)"/>
    <s v="6517"/>
    <s v="ASSOCIATED PKG/TN GALLATIN"/>
    <s v="713838"/>
    <s v="GAP INC TENNESSEE DC"/>
    <x v="3"/>
    <s v="207194"/>
    <s v="HP 100 CLR-72mm x 100m-24 rls/cs-S"/>
    <n v="5616.86"/>
    <n v="17705.939999999999"/>
    <n v="24799.200000000001"/>
    <n v="74397.600000000006"/>
    <x v="4"/>
    <x v="180"/>
    <x v="50"/>
  </r>
  <r>
    <s v="35"/>
    <s v="CHRIS ASHLEY (I)"/>
    <s v="6517"/>
    <s v="ASSOCIATED PKG/TN GALLATIN"/>
    <s v="713838"/>
    <s v="GAP INC TENNESSEE DC"/>
    <x v="2"/>
    <s v="208496"/>
    <s v="HP 200 CLR-72mm x 914m-4 rls/cs-S"/>
    <n v="7401.72"/>
    <n v="7770.48"/>
    <n v="30222.720000000001"/>
    <n v="30222.720000000001"/>
    <x v="4"/>
    <x v="180"/>
    <x v="5"/>
  </r>
  <r>
    <s v="35"/>
    <s v="CHRIS ASHLEY (I)"/>
    <s v="6517"/>
    <s v="ASSOCIATED PKG/TN GALLATIN"/>
    <s v="714320"/>
    <s v="GAP INC SOUTHERN DC"/>
    <x v="3"/>
    <s v="207142"/>
    <s v="HP 100 CLR-48mm x 100m-36 rls/cs-S"/>
    <n v="2950.99"/>
    <m/>
    <n v="12399.6"/>
    <m/>
    <x v="4"/>
    <x v="181"/>
    <x v="22"/>
  </r>
  <r>
    <s v="35"/>
    <s v="CHRIS ASHLEY (I)"/>
    <s v="6517"/>
    <s v="ASSOCIATED PKG/TN GALLATIN"/>
    <s v="714320"/>
    <s v="GAP INC SOUTHERN DC"/>
    <x v="3"/>
    <s v="207194"/>
    <s v="HP 100 CLR-72mm x 100m-24 rls/cs-S"/>
    <n v="33444.559999999998"/>
    <n v="44264.88"/>
    <n v="148795.20000000001"/>
    <n v="185994"/>
    <x v="4"/>
    <x v="181"/>
    <x v="50"/>
  </r>
  <r>
    <s v="35"/>
    <s v="CHRIS ASHLEY (I)"/>
    <s v="6517"/>
    <s v="ASSOCIATED PKG/TN GALLATIN"/>
    <s v="714320"/>
    <s v="GAP INC SOUTHERN DC"/>
    <x v="2"/>
    <s v="208496"/>
    <s v="HP 200 CLR-72mm x 914m-4 rls/cs-S"/>
    <n v="7401.72"/>
    <n v="3885.24"/>
    <n v="30222.720000000001"/>
    <n v="15111.36"/>
    <x v="4"/>
    <x v="181"/>
    <x v="5"/>
  </r>
  <r>
    <s v="35"/>
    <s v="CHRIS ASHLEY (I)"/>
    <s v="6517"/>
    <s v="ASSOCIATED PKG/TN GALLATIN"/>
    <s v="714654"/>
    <s v="GAP INC"/>
    <x v="21"/>
    <s v="230982"/>
    <s v="AP 101 CLR-48mm x 100m-36 rls/cs-S"/>
    <n v="5153.54"/>
    <m/>
    <n v="24796.799999999999"/>
    <m/>
    <x v="4"/>
    <x v="182"/>
    <x v="55"/>
  </r>
  <r>
    <s v="35"/>
    <s v="CHRIS ASHLEY (I)"/>
    <s v="6517"/>
    <s v="ASSOCIATED PKG/TN GALLATIN"/>
    <s v="716952"/>
    <s v="HYDRO DESIGN USA"/>
    <x v="3"/>
    <s v="207142"/>
    <s v="HP 100 CLR-48mm x 100m-36 rls/cs-S"/>
    <m/>
    <n v="3100.68"/>
    <m/>
    <n v="12399.6"/>
    <x v="4"/>
    <x v="183"/>
    <x v="22"/>
  </r>
  <r>
    <s v="35"/>
    <s v="CHRIS ASHLEY (I)"/>
    <s v="6517"/>
    <s v="ASSOCIATED PKG/TN GALLATIN"/>
    <s v="717435"/>
    <s v="MITCHELL PRINTING/TNT"/>
    <x v="39"/>
    <s v="104618"/>
    <s v="HM 016 CLR-72mm x 100m-24 rls/cs-S"/>
    <m/>
    <n v="3934.66"/>
    <m/>
    <n v="19013.088"/>
    <x v="4"/>
    <x v="184"/>
    <x v="107"/>
  </r>
  <r>
    <s v="35"/>
    <s v="CHRIS ASHLEY (I)"/>
    <s v="6517"/>
    <s v="ASSOCIATED PKG/TN GALLATIN"/>
    <s v="717594"/>
    <s v="ASSOCIATED PKG FOR JM SMUCKERS"/>
    <x v="21"/>
    <s v="230982"/>
    <s v="AP 101 CLR-48mm x 100m-36 rls/cs-S"/>
    <m/>
    <n v="1083.46"/>
    <m/>
    <n v="4132.8"/>
    <x v="4"/>
    <x v="185"/>
    <x v="55"/>
  </r>
  <r>
    <s v="35"/>
    <s v="CHRIS ASHLEY (I)"/>
    <s v="6517"/>
    <s v="ASSOCIATED PKG/TN GALLATIN"/>
    <s v="717594"/>
    <s v="ASSOCIATED PKG FOR JM SMUCKERS"/>
    <x v="11"/>
    <s v="206932"/>
    <s v="CP 105 NAT-18mm x 55m-48 rls/cs-S"/>
    <m/>
    <n v="367.8"/>
    <m/>
    <n v="511.47"/>
    <x v="4"/>
    <x v="185"/>
    <x v="35"/>
  </r>
  <r>
    <s v="35"/>
    <s v="CHRIS ASHLEY (I)"/>
    <s v="6517"/>
    <s v="ASSOCIATED PKG/TN GALLATIN"/>
    <s v="717594"/>
    <s v="ASSOCIATED PKG FOR JM SMUCKERS"/>
    <x v="8"/>
    <s v="101230"/>
    <s v="GS 490 CLR-48mm x 55m-24 rls/cs-H/A"/>
    <n v="566.44000000000005"/>
    <m/>
    <n v="606.24"/>
    <m/>
    <x v="4"/>
    <x v="185"/>
    <x v="70"/>
  </r>
  <r>
    <s v="35"/>
    <s v="CHRIS ASHLEY (I)"/>
    <s v="6517"/>
    <s v="ASSOCIATED PKG/TN GALLATIN"/>
    <s v="717594"/>
    <s v="ASSOCIATED PKG FOR JM SMUCKERS"/>
    <x v="3"/>
    <s v="208453"/>
    <s v="HP 100 CLR-48mm x 914m-6 rls/cs-S"/>
    <m/>
    <n v="1634.69"/>
    <m/>
    <n v="6296.4"/>
    <x v="4"/>
    <x v="185"/>
    <x v="24"/>
  </r>
  <r>
    <s v="35"/>
    <s v="CHRIS ASHLEY (I)"/>
    <s v="6517"/>
    <s v="ASSOCIATED PKG/TN GALLATIN"/>
    <s v="717594"/>
    <s v="ASSOCIATED PKG FOR JM SMUCKERS"/>
    <x v="2"/>
    <s v="207233"/>
    <s v="HP 200 CLR-72mm x 100m-24 rls/cs-S"/>
    <m/>
    <n v="475.2"/>
    <m/>
    <n v="1653.28"/>
    <x v="4"/>
    <x v="185"/>
    <x v="28"/>
  </r>
  <r>
    <s v="35"/>
    <s v="CHRIS ASHLEY (I)"/>
    <s v="6517"/>
    <s v="ASSOCIATED PKG/TN GALLATIN"/>
    <s v="717594"/>
    <s v="ASSOCIATED PKG FOR JM SMUCKERS"/>
    <x v="2"/>
    <s v="208492"/>
    <s v="HP 200 CLR-48mm x 914m-6 rls/cs-S"/>
    <n v="4476.38"/>
    <n v="32911.410000000003"/>
    <n v="15111.36"/>
    <n v="105779.52"/>
    <x v="4"/>
    <x v="185"/>
    <x v="6"/>
  </r>
  <r>
    <s v="35"/>
    <s v="CHRIS ASHLEY (I)"/>
    <s v="6517"/>
    <s v="ASSOCIATED PKG/TN GALLATIN"/>
    <s v="717735"/>
    <s v="GAP-OLD NAVY"/>
    <x v="3"/>
    <s v="207194"/>
    <s v="HP 100 CLR-72mm x 100m-24 rls/cs-S"/>
    <n v="28084.32"/>
    <m/>
    <n v="123996"/>
    <m/>
    <x v="4"/>
    <x v="186"/>
    <x v="50"/>
  </r>
  <r>
    <s v="35"/>
    <s v="CHRIS ASHLEY (I)"/>
    <s v="6517"/>
    <s v="ASSOCIATED PKG/TN GALLATIN"/>
    <s v="717735"/>
    <s v="GAP-OLD NAVY"/>
    <x v="2"/>
    <s v="208496"/>
    <s v="HP 200 CLR-72mm x 914m-4 rls/cs-S"/>
    <n v="3700.86"/>
    <m/>
    <n v="15111.36"/>
    <m/>
    <x v="4"/>
    <x v="186"/>
    <x v="5"/>
  </r>
  <r>
    <s v="35"/>
    <s v="CHRIS ASHLEY (I)"/>
    <s v="6517"/>
    <s v="ASSOCIATED PKG/TN GALLATIN"/>
    <s v="718292"/>
    <s v="CDH BUSINESS PRODUCTS LLC"/>
    <x v="18"/>
    <s v="900617"/>
    <s v="SD 932  PISTOL GRIP TAPE DISP. ECONOMY-S"/>
    <n v="74.13"/>
    <m/>
    <n v="0"/>
    <m/>
    <x v="4"/>
    <x v="187"/>
    <x v="47"/>
  </r>
  <r>
    <s v="35"/>
    <s v="CHRIS ASHLEY (I)"/>
    <s v="6517"/>
    <s v="ASSOCIATED PKG/TN GALLATIN"/>
    <s v="718535"/>
    <s v="GAP INC SOUTHERN CROSS DOCK"/>
    <x v="3"/>
    <s v="207194"/>
    <s v="HP 100 CLR-72mm x 100m-24 rls/cs-S"/>
    <n v="2808.43"/>
    <n v="2950.99"/>
    <n v="12399.6"/>
    <n v="12399.6"/>
    <x v="4"/>
    <x v="188"/>
    <x v="50"/>
  </r>
  <r>
    <s v="35"/>
    <s v="CHRIS ASHLEY (I)"/>
    <s v="6517"/>
    <s v="ASSOCIATED PKG/TN GALLATIN"/>
    <s v="718553"/>
    <s v="CONSTRUCTION VENTURES CORP"/>
    <x v="6"/>
    <s v="207870"/>
    <s v="HP 300 CLR-72mm x 100m-24 RLS/CS-H"/>
    <m/>
    <n v="3072.17"/>
    <m/>
    <n v="6200.1"/>
    <x v="4"/>
    <x v="189"/>
    <x v="79"/>
  </r>
  <r>
    <s v="35"/>
    <s v="CHRIS ASHLEY (I)"/>
    <s v="6517"/>
    <s v="ASSOCIATED PKG/TN GALLATIN"/>
    <s v="718553"/>
    <s v="CONSTRUCTION VENTURES CORP"/>
    <x v="6"/>
    <s v="207871"/>
    <s v="HP 300 CLR-48mm x 100m-36 rls/cs-H/A"/>
    <m/>
    <n v="1834.75"/>
    <m/>
    <n v="3720.06"/>
    <x v="4"/>
    <x v="189"/>
    <x v="108"/>
  </r>
  <r>
    <s v="35"/>
    <s v="CHRIS ASHLEY (I)"/>
    <s v="6517"/>
    <s v="ASSOCIATED PKG/TN GALLATIN"/>
    <s v="719171"/>
    <s v="LATHAM POOL PRODUCTS"/>
    <x v="40"/>
    <s v="171918"/>
    <s v="CP 631 BLK-18mm x 55m-48 rls/cs-H"/>
    <n v="182.48"/>
    <m/>
    <n v="113.664"/>
    <m/>
    <x v="4"/>
    <x v="190"/>
    <x v="109"/>
  </r>
  <r>
    <s v="35"/>
    <s v="CHRIS ASHLEY (I)"/>
    <s v="6517"/>
    <s v="ASSOCIATED PKG/TN GALLATIN"/>
    <s v="720467"/>
    <s v="WORLD OUTDOOR RESOURCES"/>
    <x v="8"/>
    <s v="101230"/>
    <s v="GS 490 CLR-48mm x 55m-24 rls/cs-H/A"/>
    <n v="70.8"/>
    <n v="240.93"/>
    <n v="75.78"/>
    <n v="227.34"/>
    <x v="4"/>
    <x v="191"/>
    <x v="70"/>
  </r>
  <r>
    <s v="35"/>
    <s v="CHRIS ASHLEY (I)"/>
    <s v="6517"/>
    <s v="ASSOCIATED PKG/TN GALLATIN"/>
    <s v="720467"/>
    <s v="WORLD OUTDOOR RESOURCES"/>
    <x v="2"/>
    <s v="207223"/>
    <s v="HP 200 TAN-48mm x 100m-36 rls/cs-H/A"/>
    <n v="121.89"/>
    <m/>
    <n v="413.32"/>
    <m/>
    <x v="4"/>
    <x v="191"/>
    <x v="75"/>
  </r>
  <r>
    <s v="35"/>
    <s v="CHRIS ASHLEY (I)"/>
    <s v="6517"/>
    <s v="ASSOCIATED PKG/TN GALLATIN"/>
    <s v="722376"/>
    <s v="VALLEN DISTRIBUTION"/>
    <x v="3"/>
    <s v="195553"/>
    <s v="HP 100 CLR-53mm x 1500m-6 rls/cs-S"/>
    <n v="33458.47"/>
    <n v="7801.6"/>
    <n v="138628.098"/>
    <n v="31376.73"/>
    <x v="4"/>
    <x v="192"/>
    <x v="18"/>
  </r>
  <r>
    <s v="35"/>
    <s v="CHRIS ASHLEY (I)"/>
    <s v="6517"/>
    <s v="ASSOCIATED PKG/TN GALLATIN"/>
    <s v="728685"/>
    <s v="RICH PRODUCTS"/>
    <x v="3"/>
    <s v="195553"/>
    <s v="HP 100 CLR-53mm x 1500m-6 rls/cs-S"/>
    <n v="7364.64"/>
    <n v="12524.62"/>
    <n v="41074.991999999998"/>
    <n v="61612.487999999998"/>
    <x v="4"/>
    <x v="193"/>
    <x v="18"/>
  </r>
  <r>
    <s v="35"/>
    <s v="CHRIS ASHLEY (I)"/>
    <s v="6517"/>
    <s v="ASSOCIATED PKG/TN GALLATIN"/>
    <s v="729357"/>
    <s v="FAMOUS FOOTWEAR"/>
    <x v="2"/>
    <s v="125905"/>
    <s v="HP 200 WHI-72mm x 914m-4 rls/cs-H"/>
    <n v="6864.26"/>
    <n v="11072.64"/>
    <n v="22667.040000000001"/>
    <n v="34000.559999999998"/>
    <x v="4"/>
    <x v="194"/>
    <x v="110"/>
  </r>
  <r>
    <s v="35"/>
    <s v="CHRIS ASHLEY (I)"/>
    <s v="6517"/>
    <s v="ASSOCIATED PKG/TN GALLATIN"/>
    <s v="729357"/>
    <s v="FAMOUS FOOTWEAR"/>
    <x v="2"/>
    <s v="207149"/>
    <s v="HP 200 CLR-48mm x 100m-36 rls/cs-S"/>
    <n v="4586.87"/>
    <n v="6415.2"/>
    <n v="18599.400000000001"/>
    <n v="24799.200000000001"/>
    <x v="4"/>
    <x v="194"/>
    <x v="3"/>
  </r>
  <r>
    <s v="35"/>
    <s v="CHRIS ASHLEY (I)"/>
    <s v="6517"/>
    <s v="ASSOCIATED PKG/TN GALLATIN"/>
    <s v="729357"/>
    <s v="FAMOUS FOOTWEAR"/>
    <x v="2"/>
    <s v="208492"/>
    <s v="HP 200 CLR-48mm x 914m-6 rls/cs-S"/>
    <n v="3137.03"/>
    <n v="3293.14"/>
    <n v="11333.52"/>
    <n v="11333.52"/>
    <x v="4"/>
    <x v="194"/>
    <x v="6"/>
  </r>
  <r>
    <s v="35"/>
    <s v="CHRIS ASHLEY (I)"/>
    <s v="6517"/>
    <s v="ASSOCIATED PKG/TN GALLATIN"/>
    <s v="729357"/>
    <s v="FAMOUS FOOTWEAR"/>
    <x v="2"/>
    <s v="208825"/>
    <s v="HP 200 WHI-72mm x 100m-24 rls/cs-NS"/>
    <n v="7311.9"/>
    <n v="-467.6"/>
    <n v="28519.08"/>
    <n v="-1653.28"/>
    <x v="4"/>
    <x v="194"/>
    <x v="111"/>
  </r>
  <r>
    <s v="35"/>
    <s v="CHRIS ASHLEY (I)"/>
    <s v="6517"/>
    <s v="ASSOCIATED PKG/TN GALLATIN"/>
    <s v="729690"/>
    <s v="LPI INC"/>
    <x v="41"/>
    <s v="105449"/>
    <s v="PC 006 SIL-48mm x 55m-24 rls/cs-H/A"/>
    <m/>
    <n v="684.29"/>
    <m/>
    <n v="757.68"/>
    <x v="4"/>
    <x v="195"/>
    <x v="112"/>
  </r>
  <r>
    <s v="35"/>
    <s v="CHRIS ASHLEY (I)"/>
    <s v="6517"/>
    <s v="ASSOCIATED PKG/TN GALLATIN"/>
    <s v="730690"/>
    <s v="KATZ AMERICAS"/>
    <x v="3"/>
    <s v="104314"/>
    <s v="HP 100 CLR-48mm x 1500m-6 rls/cs-H/A"/>
    <m/>
    <n v="4952.53"/>
    <m/>
    <n v="18599.975999999999"/>
    <x v="4"/>
    <x v="196"/>
    <x v="113"/>
  </r>
  <r>
    <s v="35"/>
    <s v="CHRIS ASHLEY (I)"/>
    <s v="6517"/>
    <s v="ASSOCIATED PKG/TN GALLATIN"/>
    <s v="730762"/>
    <s v="ASSOCIATED PKG FOR FAMOUS FOOTWEAR"/>
    <x v="17"/>
    <s v="104675"/>
    <s v="FP 115 BRN-48mm x 55m-24 rls/cs-H"/>
    <m/>
    <n v="577.36"/>
    <m/>
    <n v="378.84"/>
    <x v="4"/>
    <x v="197"/>
    <x v="46"/>
  </r>
  <r>
    <s v="35"/>
    <s v="CHRIS ASHLEY (I)"/>
    <s v="6517"/>
    <s v="ASSOCIATED PKG/TN GALLATIN"/>
    <s v="730762"/>
    <s v="ASSOCIATED PKG FOR FAMOUS FOOTWEAR"/>
    <x v="8"/>
    <s v="101230"/>
    <s v="GS 490 CLR-48mm x 55m-24 rls/cs-H/A"/>
    <m/>
    <n v="321.24"/>
    <m/>
    <n v="303.12"/>
    <x v="4"/>
    <x v="197"/>
    <x v="70"/>
  </r>
  <r>
    <s v="35"/>
    <s v="CHRIS ASHLEY (I)"/>
    <s v="6517"/>
    <s v="ASSOCIATED PKG/TN GALLATIN"/>
    <s v="730762"/>
    <s v="ASSOCIATED PKG FOR FAMOUS FOOTWEAR"/>
    <x v="2"/>
    <s v="208825"/>
    <s v="HP 200 WHI-72mm x 100m-24 rls/cs-NS"/>
    <n v="6570.59"/>
    <n v="3506.98"/>
    <n v="25005.86"/>
    <n v="12399.6"/>
    <x v="4"/>
    <x v="197"/>
    <x v="111"/>
  </r>
  <r>
    <s v="35"/>
    <s v="CHRIS ASHLEY (I)"/>
    <s v="6517"/>
    <s v="ASSOCIATED PKG/TN GALLATIN"/>
    <s v="731394"/>
    <s v="RICH PRODUCTS PLANT 2"/>
    <x v="3"/>
    <s v="195553"/>
    <s v="HP 100 CLR-53mm x 1500m-6 rls/cs-S"/>
    <n v="3866.23"/>
    <n v="8350.4599999999991"/>
    <n v="20537.495999999999"/>
    <n v="41074.991999999998"/>
    <x v="4"/>
    <x v="198"/>
    <x v="18"/>
  </r>
  <r>
    <s v="35"/>
    <s v="CHRIS ASHLEY (I)"/>
    <s v="6517"/>
    <s v="ASSOCIATED PKG/TN GALLATIN"/>
    <s v="731626"/>
    <s v="ASSOCIATED PGK FOR RICH PRODUCTS"/>
    <x v="11"/>
    <s v="120407"/>
    <s v="CP 105 NAT-48mm x 55m-24 rls/cs-S"/>
    <n v="1843.78"/>
    <m/>
    <n v="3031.2"/>
    <m/>
    <x v="4"/>
    <x v="199"/>
    <x v="114"/>
  </r>
  <r>
    <s v="35"/>
    <s v="CHRIS ASHLEY (I)"/>
    <s v="6517"/>
    <s v="ASSOCIATED PKG/TN GALLATIN"/>
    <s v="731626"/>
    <s v="ASSOCIATED PGK FOR RICH PRODUCTS"/>
    <x v="3"/>
    <s v="195553"/>
    <s v="HP 100 CLR-53mm x 1500m-6 rls/cs-S"/>
    <n v="14729.29"/>
    <n v="12524.61"/>
    <n v="82149.983999999997"/>
    <n v="61612.487999999998"/>
    <x v="4"/>
    <x v="199"/>
    <x v="18"/>
  </r>
  <r>
    <s v="35"/>
    <s v="CHRIS ASHLEY (I)"/>
    <s v="6517"/>
    <s v="ASSOCIATED PKG/TN GALLATIN"/>
    <s v="731626"/>
    <s v="ASSOCIATED PGK FOR RICH PRODUCTS"/>
    <x v="3"/>
    <s v="207142"/>
    <s v="HP 100 CLR-48mm x 100m-36 rls/cs-S"/>
    <n v="2950.99"/>
    <m/>
    <n v="12399.6"/>
    <m/>
    <x v="4"/>
    <x v="199"/>
    <x v="22"/>
  </r>
  <r>
    <s v="35"/>
    <s v="CHRIS ASHLEY (I)"/>
    <s v="6517"/>
    <s v="ASSOCIATED PKG/TN GALLATIN"/>
    <s v="731626"/>
    <s v="ASSOCIATED PGK FOR RICH PRODUCTS"/>
    <x v="3"/>
    <s v="207194"/>
    <s v="HP 100 CLR-72mm x 100m-24 rls/cs-S"/>
    <n v="2936.74"/>
    <n v="536.98"/>
    <n v="12399.6"/>
    <n v="2066.6"/>
    <x v="4"/>
    <x v="199"/>
    <x v="50"/>
  </r>
  <r>
    <s v="35"/>
    <s v="CHRIS ASHLEY (I)"/>
    <s v="6517"/>
    <s v="ASSOCIATED PKG/TN GALLATIN"/>
    <s v="731626"/>
    <s v="ASSOCIATED PGK FOR RICH PRODUCTS"/>
    <x v="2"/>
    <s v="207233"/>
    <s v="HP 200 CLR-72mm x 100m-24 rls/cs-S"/>
    <n v="809.03"/>
    <m/>
    <n v="3099.9"/>
    <m/>
    <x v="4"/>
    <x v="199"/>
    <x v="28"/>
  </r>
  <r>
    <s v="35"/>
    <s v="CHRIS ASHLEY (I)"/>
    <s v="6517"/>
    <s v="ASSOCIATED PKG/TN GALLATIN"/>
    <s v="731626"/>
    <s v="ASSOCIATED PGK FOR RICH PRODUCTS"/>
    <x v="41"/>
    <s v="120954"/>
    <s v="PC 006 SIL-48mm x 55m-24 rls/cs-X"/>
    <n v="1505.43"/>
    <m/>
    <n v="1667.16"/>
    <m/>
    <x v="4"/>
    <x v="199"/>
    <x v="115"/>
  </r>
  <r>
    <s v="35"/>
    <s v="CHRIS ASHLEY (I)"/>
    <s v="6517"/>
    <s v="ASSOCIATED PKG/TN GALLATIN"/>
    <s v="733432"/>
    <s v="B2B GENERIC SHIP-TO DISTRIBUTOR POR"/>
    <x v="11"/>
    <s v="140431"/>
    <s v="CP 105 NAT-24mm x 55m- 36 rls/cs-S"/>
    <n v="39.200000000000003"/>
    <m/>
    <n v="56.83"/>
    <m/>
    <x v="4"/>
    <x v="200"/>
    <x v="49"/>
  </r>
  <r>
    <s v="35"/>
    <s v="CHRIS ASHLEY (I)"/>
    <s v="6517"/>
    <s v="ASSOCIATED PKG/TN GALLATIN"/>
    <s v="733468"/>
    <s v="CROWN LABORATORIES INC"/>
    <x v="2"/>
    <s v="101428"/>
    <s v="HP 200 CLR-48mm x 1500m-6 rls/cs-H"/>
    <n v="4541.96"/>
    <n v="4768.63"/>
    <n v="18600.12"/>
    <n v="18600.12"/>
    <x v="4"/>
    <x v="201"/>
    <x v="39"/>
  </r>
  <r>
    <s v="35"/>
    <s v="CHRIS ASHLEY (I)"/>
    <s v="6517"/>
    <s v="ASSOCIATED PKG/TN GALLATIN"/>
    <s v="734583"/>
    <s v="CHEF MINUTE MEALS"/>
    <x v="42"/>
    <s v="104985"/>
    <s v="HP 140 CK PULL EDGE 53mmX1500m-6r/cs-X"/>
    <n v="9560.43"/>
    <m/>
    <n v="16544.094000000001"/>
    <m/>
    <x v="4"/>
    <x v="202"/>
    <x v="116"/>
  </r>
  <r>
    <s v="35"/>
    <s v="CHRIS ASHLEY (I)"/>
    <s v="6517"/>
    <s v="ASSOCIATED PKG/TN GALLATIN"/>
    <s v="737854"/>
    <s v="ALADDIN TEMP-RITE"/>
    <x v="3"/>
    <s v="195553"/>
    <s v="HP 100 CLR-53mm x 1500m-6 rls/cs-S"/>
    <n v="3854.47"/>
    <m/>
    <n v="10268.748"/>
    <m/>
    <x v="4"/>
    <x v="203"/>
    <x v="18"/>
  </r>
  <r>
    <s v="35"/>
    <s v="CHRIS ASHLEY (I)"/>
    <s v="6517"/>
    <s v="ASSOCIATED PKG/TN GALLATIN"/>
    <s v="737854"/>
    <s v="ALADDIN TEMP-RITE"/>
    <x v="3"/>
    <s v="208465"/>
    <s v="HP 100 CLR-72mm x 914m-4 rls/cs-S"/>
    <m/>
    <n v="3308.82"/>
    <m/>
    <n v="13222.44"/>
    <x v="4"/>
    <x v="203"/>
    <x v="69"/>
  </r>
  <r>
    <s v="35"/>
    <s v="CHRIS ASHLEY (I)"/>
    <s v="6517"/>
    <s v="ASSOCIATED PKG/TN GALLATIN"/>
    <s v="740306"/>
    <s v="OVERMAN INTERNATIONAL"/>
    <x v="19"/>
    <s v="207775"/>
    <s v="HP 500 CLR-72mm x 50m-24 rls/cs-H/A"/>
    <n v="5260.46"/>
    <n v="5659.64"/>
    <n v="6197.91"/>
    <n v="6197.91"/>
    <x v="4"/>
    <x v="204"/>
    <x v="117"/>
  </r>
  <r>
    <s v="35"/>
    <s v="CHRIS ASHLEY (I)"/>
    <s v="6517"/>
    <s v="ASSOCIATED PKG/TN GALLATIN"/>
    <s v="740306"/>
    <s v="OVERMAN INTERNATIONAL"/>
    <x v="19"/>
    <s v="208571"/>
    <s v="HP 500 CLR-72mm x 914m-4 rls/cs-S"/>
    <n v="5303.24"/>
    <m/>
    <n v="11333.630999999999"/>
    <m/>
    <x v="4"/>
    <x v="204"/>
    <x v="62"/>
  </r>
  <r>
    <s v="35"/>
    <s v="CHRIS ASHLEY (I)"/>
    <s v="6517"/>
    <s v="ASSOCIATED PKG/TN GALLATIN"/>
    <s v="740351"/>
    <s v="UST INC"/>
    <x v="43"/>
    <s v="101727"/>
    <s v="WP 300 NAT-76mmx138m(450ft)-10rls/cs-H/A"/>
    <n v="615.98"/>
    <n v="1545.39"/>
    <n v="752.76"/>
    <n v="1756.44"/>
    <x v="4"/>
    <x v="205"/>
    <x v="118"/>
  </r>
  <r>
    <s v="35"/>
    <s v="CHRIS ASHLEY (I)"/>
    <s v="6517"/>
    <s v="ASSOCIATED PKG/TN GALLATIN"/>
    <s v="740610"/>
    <s v="ASSOCIATED PKG FOR BERRY GLOBAL"/>
    <x v="21"/>
    <s v="230982"/>
    <s v="AP 101 CLR-48mm x 100m-36 rls/cs-S"/>
    <m/>
    <n v="541.73"/>
    <m/>
    <n v="2066.4"/>
    <x v="4"/>
    <x v="206"/>
    <x v="55"/>
  </r>
  <r>
    <s v="35"/>
    <s v="CHRIS ASHLEY (I)"/>
    <s v="6517"/>
    <s v="ASSOCIATED PKG/TN GALLATIN"/>
    <s v="740610"/>
    <s v="ASSOCIATED PKG FOR BERRY GLOBAL"/>
    <x v="11"/>
    <s v="140431"/>
    <s v="CP 105 NAT-24mm x 55m- 36 rls/cs-S"/>
    <m/>
    <n v="630.83000000000004"/>
    <m/>
    <n v="852.45"/>
    <x v="4"/>
    <x v="206"/>
    <x v="49"/>
  </r>
  <r>
    <s v="35"/>
    <s v="CHRIS ASHLEY (I)"/>
    <s v="6517"/>
    <s v="ASSOCIATED PKG/TN GALLATIN"/>
    <s v="740610"/>
    <s v="ASSOCIATED PKG FOR BERRY GLOBAL"/>
    <x v="44"/>
    <s v="104249"/>
    <s v="DP 401 GLA-48mm x 50m-24 rls/cs-H"/>
    <m/>
    <n v="565.49"/>
    <m/>
    <n v="137.76"/>
    <x v="4"/>
    <x v="206"/>
    <x v="119"/>
  </r>
  <r>
    <s v="35"/>
    <s v="CHRIS ASHLEY (I)"/>
    <s v="6517"/>
    <s v="ASSOCIATED PKG/TN GALLATIN"/>
    <s v="740610"/>
    <s v="ASSOCIATED PKG FOR BERRY GLOBAL"/>
    <x v="17"/>
    <s v="104675"/>
    <s v="FP 115 BRN-48mm x 55m-24 rls/cs-H"/>
    <m/>
    <n v="1154.74"/>
    <m/>
    <n v="757.68"/>
    <x v="4"/>
    <x v="206"/>
    <x v="46"/>
  </r>
  <r>
    <s v="35"/>
    <s v="CHRIS ASHLEY (I)"/>
    <s v="6517"/>
    <s v="ASSOCIATED PKG/TN GALLATIN"/>
    <s v="740610"/>
    <s v="ASSOCIATED PKG FOR BERRY GLOBAL"/>
    <x v="8"/>
    <s v="101230"/>
    <s v="GS 490 CLR-48mm x 55m-24 rls/cs-H/A"/>
    <m/>
    <n v="481.86"/>
    <m/>
    <n v="454.68"/>
    <x v="4"/>
    <x v="206"/>
    <x v="70"/>
  </r>
  <r>
    <s v="35"/>
    <s v="CHRIS ASHLEY (I)"/>
    <s v="6517"/>
    <s v="ASSOCIATED PKG/TN GALLATIN"/>
    <s v="740610"/>
    <s v="ASSOCIATED PKG FOR BERRY GLOBAL"/>
    <x v="3"/>
    <s v="195553"/>
    <s v="HP 100 CLR-53mm x 1500m-6 rls/cs-S"/>
    <n v="47061.89"/>
    <n v="34922.199999999997"/>
    <n v="205374.96"/>
    <n v="143762.47200000001"/>
    <x v="4"/>
    <x v="206"/>
    <x v="18"/>
  </r>
  <r>
    <s v="35"/>
    <s v="CHRIS ASHLEY (I)"/>
    <s v="6517"/>
    <s v="ASSOCIATED PKG/TN GALLATIN"/>
    <s v="740610"/>
    <s v="ASSOCIATED PKG FOR BERRY GLOBAL"/>
    <x v="3"/>
    <s v="207142"/>
    <s v="HP 100 CLR-48mm x 100m-36 rls/cs-S"/>
    <m/>
    <n v="3100.68"/>
    <m/>
    <n v="12399.6"/>
    <x v="4"/>
    <x v="206"/>
    <x v="22"/>
  </r>
  <r>
    <s v="35"/>
    <s v="CHRIS ASHLEY (I)"/>
    <s v="6517"/>
    <s v="ASSOCIATED PKG/TN GALLATIN"/>
    <s v="740610"/>
    <s v="ASSOCIATED PKG FOR BERRY GLOBAL"/>
    <x v="3"/>
    <s v="207194"/>
    <s v="HP 100 CLR-72mm x 100m-24 rls/cs-S"/>
    <m/>
    <n v="1073.95"/>
    <m/>
    <n v="4133.2"/>
    <x v="4"/>
    <x v="206"/>
    <x v="50"/>
  </r>
  <r>
    <s v="35"/>
    <s v="CHRIS ASHLEY (I)"/>
    <s v="6517"/>
    <s v="ASSOCIATED PKG/TN GALLATIN"/>
    <s v="740610"/>
    <s v="ASSOCIATED PKG FOR BERRY GLOBAL"/>
    <x v="3"/>
    <s v="208453"/>
    <s v="HP 100 CLR-48mm x 914m-6 rls/cs-S"/>
    <m/>
    <n v="4822.1000000000004"/>
    <m/>
    <n v="18889.2"/>
    <x v="4"/>
    <x v="206"/>
    <x v="24"/>
  </r>
  <r>
    <s v="35"/>
    <s v="CHRIS ASHLEY (I)"/>
    <s v="6517"/>
    <s v="ASSOCIATED PKG/TN GALLATIN"/>
    <s v="740610"/>
    <s v="ASSOCIATED PKG FOR BERRY GLOBAL"/>
    <x v="3"/>
    <s v="208465"/>
    <s v="HP 100 CLR-72mm x 914m-4 rls/cs-S"/>
    <m/>
    <n v="1593.11"/>
    <m/>
    <n v="6296.4"/>
    <x v="4"/>
    <x v="206"/>
    <x v="69"/>
  </r>
  <r>
    <s v="35"/>
    <s v="CHRIS ASHLEY (I)"/>
    <s v="6517"/>
    <s v="ASSOCIATED PKG/TN GALLATIN"/>
    <s v="740610"/>
    <s v="ASSOCIATED PKG FOR BERRY GLOBAL"/>
    <x v="2"/>
    <s v="207149"/>
    <s v="HP 200 CLR-48mm x 100m-36 rls/cs-S"/>
    <m/>
    <n v="675.73"/>
    <m/>
    <n v="2479.92"/>
    <x v="4"/>
    <x v="206"/>
    <x v="3"/>
  </r>
  <r>
    <s v="35"/>
    <s v="CHRIS ASHLEY (I)"/>
    <s v="6517"/>
    <s v="ASSOCIATED PKG/TN GALLATIN"/>
    <s v="740610"/>
    <s v="ASSOCIATED PKG FOR BERRY GLOBAL"/>
    <x v="2"/>
    <s v="207233"/>
    <s v="HP 200 CLR-72mm x 100m-24 rls/cs-S"/>
    <m/>
    <n v="339.29"/>
    <m/>
    <n v="1239.96"/>
    <x v="4"/>
    <x v="206"/>
    <x v="28"/>
  </r>
  <r>
    <s v="35"/>
    <s v="CHRIS ASHLEY (I)"/>
    <s v="6517"/>
    <s v="ASSOCIATED PKG/TN GALLATIN"/>
    <s v="741349"/>
    <s v="ESQUIRE WIRE"/>
    <x v="27"/>
    <s v="105319"/>
    <s v="CP 225 GLD-18mm x 55m-64 rls/cs-H/T"/>
    <n v="336.44"/>
    <n v="119.75"/>
    <n v="227.328"/>
    <n v="75.775999999999996"/>
    <x v="4"/>
    <x v="207"/>
    <x v="120"/>
  </r>
  <r>
    <s v="35"/>
    <s v="CHRIS ASHLEY (I)"/>
    <s v="6517"/>
    <s v="ASSOCIATED PKG/TN GALLATIN"/>
    <s v="742055"/>
    <s v="G&amp;A SCREEN PRINTING"/>
    <x v="11"/>
    <s v="113699"/>
    <s v="CP 105 NAT-72mm x 55m-16 rls/cs-H"/>
    <n v="186.28"/>
    <m/>
    <n v="303.12"/>
    <m/>
    <x v="4"/>
    <x v="208"/>
    <x v="56"/>
  </r>
  <r>
    <s v="35"/>
    <s v="CHRIS ASHLEY (I)"/>
    <s v="6517"/>
    <s v="ASSOCIATED PKG/TN GALLATIN"/>
    <s v="742055"/>
    <s v="G&amp;A SCREEN PRINTING"/>
    <x v="11"/>
    <s v="120407"/>
    <s v="CP 105 NAT-48mm x 55m-24 rls/cs-S"/>
    <n v="98.84"/>
    <m/>
    <n v="151.56"/>
    <m/>
    <x v="4"/>
    <x v="208"/>
    <x v="114"/>
  </r>
  <r>
    <s v="35"/>
    <s v="CHRIS ASHLEY (I)"/>
    <s v="6517"/>
    <s v="ASSOCIATED PKG/TN GALLATIN"/>
    <s v="742532"/>
    <s v="LUGNUT4X4"/>
    <x v="16"/>
    <s v="101377"/>
    <s v="GS 521 CLR-48mm x 55m-24 rls/cs-H"/>
    <m/>
    <n v="3712.26"/>
    <m/>
    <n v="1818.72"/>
    <x v="4"/>
    <x v="209"/>
    <x v="121"/>
  </r>
  <r>
    <s v="35"/>
    <s v="CHRIS ASHLEY (I)"/>
    <s v="6517"/>
    <s v="ASSOCIATED PKG/TN GALLATIN"/>
    <s v="742532"/>
    <s v="LUGNUT4X4"/>
    <x v="19"/>
    <s v="207831"/>
    <s v="HP 500 CLR-48mm x 50m-36 rls/cs-H/A"/>
    <m/>
    <n v="4305.3100000000004"/>
    <m/>
    <n v="4133.2"/>
    <x v="4"/>
    <x v="209"/>
    <x v="54"/>
  </r>
  <r>
    <s v="35"/>
    <s v="CHRIS ASHLEY (I)"/>
    <s v="6517"/>
    <s v="ASSOCIATED PKG/TN GALLATIN"/>
    <s v="742895"/>
    <s v="SUNKOTE PLASTIC COATINGS"/>
    <x v="0"/>
    <s v="231044"/>
    <s v="AP 180 CLR-48mm x 100m-36 rls/cs-H/A"/>
    <m/>
    <n v="329.31"/>
    <m/>
    <n v="1239.8399999999999"/>
    <x v="4"/>
    <x v="210"/>
    <x v="1"/>
  </r>
  <r>
    <s v="35"/>
    <s v="CHRIS ASHLEY (I)"/>
    <s v="6517"/>
    <s v="ASSOCIATED PKG/TN GALLATIN"/>
    <s v="743226"/>
    <s v="RELIANCE WORLDWIDE CORPORATION"/>
    <x v="8"/>
    <s v="101219"/>
    <s v="GS 490 CLR-24mm x 55m-36 rls/cs-H/A"/>
    <m/>
    <n v="119.04"/>
    <m/>
    <n v="113.66"/>
    <x v="4"/>
    <x v="211"/>
    <x v="122"/>
  </r>
  <r>
    <s v="35"/>
    <s v="CHRIS ASHLEY (I)"/>
    <s v="6517"/>
    <s v="ASSOCIATED PKG/TN GALLATIN"/>
    <s v="745053"/>
    <s v="PROAMPAC"/>
    <x v="30"/>
    <s v="101688"/>
    <s v="WP 100 NAT-70mm x 153m(500ft)-6 rls/cs-H"/>
    <n v="2687.26"/>
    <m/>
    <n v="4611"/>
    <m/>
    <x v="4"/>
    <x v="212"/>
    <x v="80"/>
  </r>
  <r>
    <s v="35"/>
    <s v="CHRIS ASHLEY (I)"/>
    <s v="6517"/>
    <s v="ASSOCIATED PKG/TN GALLATIN"/>
    <s v="745518"/>
    <s v="ASSOCIATED PKG FOR ICONEX"/>
    <x v="35"/>
    <s v="209420"/>
    <s v="CP 66L NAT-4in x 240yd-3 rls/cs-H"/>
    <m/>
    <n v="11081.66"/>
    <m/>
    <n v="10240"/>
    <x v="4"/>
    <x v="213"/>
    <x v="97"/>
  </r>
  <r>
    <s v="35"/>
    <s v="CHRIS ASHLEY (I)"/>
    <s v="6517"/>
    <s v="ASSOCIATED PKG/TN GALLATIN"/>
    <s v="745518"/>
    <s v="ASSOCIATED PKG FOR ICONEX"/>
    <x v="44"/>
    <s v="104249"/>
    <s v="DP 401 GLA-48mm x 50m-24 rls/cs-H"/>
    <m/>
    <n v="565.49"/>
    <m/>
    <n v="137.76"/>
    <x v="4"/>
    <x v="213"/>
    <x v="119"/>
  </r>
  <r>
    <s v="35"/>
    <s v="CHRIS ASHLEY (I)"/>
    <s v="6517"/>
    <s v="ASSOCIATED PKG/TN GALLATIN"/>
    <s v="745518"/>
    <s v="ASSOCIATED PKG FOR ICONEX"/>
    <x v="17"/>
    <s v="104663"/>
    <s v="FP 115 BRN-72mm x 55m-16 rls/cs-H"/>
    <m/>
    <n v="2521.73"/>
    <m/>
    <n v="1515.52"/>
    <x v="4"/>
    <x v="213"/>
    <x v="52"/>
  </r>
  <r>
    <s v="35"/>
    <s v="CHRIS ASHLEY (I)"/>
    <s v="6517"/>
    <s v="ASSOCIATED PKG/TN GALLATIN"/>
    <s v="745518"/>
    <s v="ASSOCIATED PKG FOR ICONEX"/>
    <x v="45"/>
    <s v="204459"/>
    <s v="GG 200 NAT-48mm x 33m-24 rls/cs-H"/>
    <m/>
    <n v="572.62"/>
    <m/>
    <n v="90.94"/>
    <x v="4"/>
    <x v="213"/>
    <x v="123"/>
  </r>
  <r>
    <s v="35"/>
    <s v="CHRIS ASHLEY (I)"/>
    <s v="6517"/>
    <s v="ASSOCIATED PKG/TN GALLATIN"/>
    <s v="745518"/>
    <s v="ASSOCIATED PKG FOR ICONEX"/>
    <x v="8"/>
    <s v="101230"/>
    <s v="GS 490 CLR-48mm x 55m-24 rls/cs-H/A"/>
    <m/>
    <n v="321.24"/>
    <m/>
    <n v="303.12"/>
    <x v="4"/>
    <x v="213"/>
    <x v="70"/>
  </r>
  <r>
    <s v="35"/>
    <s v="CHRIS ASHLEY (I)"/>
    <s v="6517"/>
    <s v="ASSOCIATED PKG/TN GALLATIN"/>
    <s v="745518"/>
    <s v="ASSOCIATED PKG FOR ICONEX"/>
    <x v="3"/>
    <s v="207142"/>
    <s v="HP 100 CLR-48mm x 100m-36 rls/cs-S"/>
    <m/>
    <n v="5474.29"/>
    <m/>
    <n v="24799.200000000001"/>
    <x v="4"/>
    <x v="213"/>
    <x v="22"/>
  </r>
  <r>
    <s v="35"/>
    <s v="CHRIS ASHLEY (I)"/>
    <s v="6517"/>
    <s v="ASSOCIATED PKG/TN GALLATIN"/>
    <s v="745518"/>
    <s v="ASSOCIATED PKG FOR ICONEX"/>
    <x v="3"/>
    <s v="207194"/>
    <s v="HP 100 CLR-72mm x 100m-24 rls/cs-S"/>
    <n v="2523.31"/>
    <n v="1026.43"/>
    <n v="12399.6"/>
    <n v="4133.2"/>
    <x v="4"/>
    <x v="213"/>
    <x v="50"/>
  </r>
  <r>
    <s v="35"/>
    <s v="CHRIS ASHLEY (I)"/>
    <s v="6517"/>
    <s v="ASSOCIATED PKG/TN GALLATIN"/>
    <s v="745518"/>
    <s v="ASSOCIATED PKG FOR ICONEX"/>
    <x v="3"/>
    <s v="208453"/>
    <s v="HP 100 CLR-48mm x 914m-6 rls/cs-S"/>
    <n v="3378.67"/>
    <n v="1502.82"/>
    <n v="15111.36"/>
    <n v="6296.4"/>
    <x v="4"/>
    <x v="213"/>
    <x v="24"/>
  </r>
  <r>
    <s v="35"/>
    <s v="CHRIS ASHLEY (I)"/>
    <s v="6517"/>
    <s v="ASSOCIATED PKG/TN GALLATIN"/>
    <s v="745518"/>
    <s v="ASSOCIATED PKG FOR ICONEX"/>
    <x v="3"/>
    <s v="208465"/>
    <s v="HP 100 CLR-72mm x 914m-4 rls/cs-S"/>
    <n v="20830.88"/>
    <n v="18357.939999999999"/>
    <n v="90668.160000000003"/>
    <n v="75556.800000000003"/>
    <x v="4"/>
    <x v="213"/>
    <x v="69"/>
  </r>
  <r>
    <s v="35"/>
    <s v="CHRIS ASHLEY (I)"/>
    <s v="6517"/>
    <s v="ASSOCIATED PKG/TN GALLATIN"/>
    <s v="745518"/>
    <s v="ASSOCIATED PKG FOR ICONEX"/>
    <x v="2"/>
    <s v="207149"/>
    <s v="HP 200 CLR-48mm x 100m-36 rls/cs-S"/>
    <m/>
    <n v="675.73"/>
    <m/>
    <n v="2479.92"/>
    <x v="4"/>
    <x v="213"/>
    <x v="3"/>
  </r>
  <r>
    <s v="35"/>
    <s v="CHRIS ASHLEY (I)"/>
    <s v="6517"/>
    <s v="ASSOCIATED PKG/TN GALLATIN"/>
    <s v="745518"/>
    <s v="ASSOCIATED PKG FOR ICONEX"/>
    <x v="2"/>
    <s v="207239"/>
    <s v="HP 200 TAN-72mm x 100m-24 rls/cs-H/A"/>
    <m/>
    <n v="298.19"/>
    <m/>
    <n v="1033.3"/>
    <x v="4"/>
    <x v="213"/>
    <x v="92"/>
  </r>
  <r>
    <s v="35"/>
    <s v="CHRIS ASHLEY (I)"/>
    <s v="6517"/>
    <s v="ASSOCIATED PKG/TN GALLATIN"/>
    <s v="745518"/>
    <s v="ASSOCIATED PKG FOR ICONEX"/>
    <x v="46"/>
    <s v="125419"/>
    <s v="HP 800 CLR-48mm x 50m-36 rls/cs-H"/>
    <m/>
    <n v="201.37"/>
    <m/>
    <n v="103.33"/>
    <x v="4"/>
    <x v="213"/>
    <x v="124"/>
  </r>
  <r>
    <s v="35"/>
    <s v="CHRIS ASHLEY (I)"/>
    <s v="6517"/>
    <s v="ASSOCIATED PKG/TN GALLATIN"/>
    <s v="745651"/>
    <s v="PORTOBELLO AMERICA"/>
    <x v="2"/>
    <s v="207149"/>
    <s v="HP 200 CLR-48mm x 100m-36 rls/cs-S"/>
    <n v="213.84"/>
    <m/>
    <n v="826.64"/>
    <m/>
    <x v="4"/>
    <x v="214"/>
    <x v="3"/>
  </r>
  <r>
    <s v="35"/>
    <s v="CHRIS ASHLEY (I)"/>
    <s v="6517"/>
    <s v="ASSOCIATED PKG/TN GALLATIN"/>
    <s v="745651"/>
    <s v="PORTOBELLO AMERICA"/>
    <x v="5"/>
    <s v="207852"/>
    <s v="HP 400 CLR-72mm x 50m-24 rls/cs-H"/>
    <n v="328.84"/>
    <m/>
    <n v="413.32"/>
    <m/>
    <x v="4"/>
    <x v="214"/>
    <x v="125"/>
  </r>
  <r>
    <s v="35"/>
    <s v="CHRIS ASHLEY (I)"/>
    <s v="6517"/>
    <s v="ASSOCIATED PKG/TN GALLATIN"/>
    <s v="745693"/>
    <s v="ASSOCIATED PKG FOR LPI"/>
    <x v="11"/>
    <s v="120407"/>
    <s v="CP 105 NAT-48mm x 55m-24 rls/cs-S"/>
    <n v="1663.2"/>
    <n v="2851.2"/>
    <n v="3031.2"/>
    <n v="4546.8"/>
    <x v="4"/>
    <x v="215"/>
    <x v="114"/>
  </r>
  <r>
    <s v="35"/>
    <s v="CHRIS ASHLEY (I)"/>
    <s v="6517"/>
    <s v="ASSOCIATED PKG/TN GALLATIN"/>
    <s v="745693"/>
    <s v="ASSOCIATED PKG FOR LPI"/>
    <x v="3"/>
    <s v="207194"/>
    <s v="HP 100 CLR-72mm x 100m-24 rls/cs-S"/>
    <m/>
    <n v="805.46"/>
    <m/>
    <n v="3099.9"/>
    <x v="4"/>
    <x v="215"/>
    <x v="50"/>
  </r>
  <r>
    <s v="35"/>
    <s v="CHRIS ASHLEY (I)"/>
    <s v="6517"/>
    <s v="ASSOCIATED PKG/TN GALLATIN"/>
    <s v="745693"/>
    <s v="ASSOCIATED PKG FOR LPI"/>
    <x v="2"/>
    <s v="207149"/>
    <s v="HP 200 CLR-48mm x 100m-36 rls/cs-S"/>
    <m/>
    <n v="887.44"/>
    <m/>
    <n v="3099.9"/>
    <x v="4"/>
    <x v="215"/>
    <x v="3"/>
  </r>
  <r>
    <s v="35"/>
    <s v="CHRIS ASHLEY (I)"/>
    <s v="6517"/>
    <s v="ASSOCIATED PKG/TN GALLATIN"/>
    <s v="745693"/>
    <s v="ASSOCIATED PKG FOR LPI"/>
    <x v="41"/>
    <s v="105449"/>
    <s v="PC 006 SIL-48mm x 55m-24 rls/cs-H/A"/>
    <m/>
    <n v="1368.58"/>
    <m/>
    <n v="1515.36"/>
    <x v="4"/>
    <x v="215"/>
    <x v="112"/>
  </r>
  <r>
    <s v="35"/>
    <s v="CHRIS ASHLEY (I)"/>
    <s v="6517"/>
    <s v="ASSOCIATED PKG/TN GALLATIN"/>
    <s v="745693"/>
    <s v="ASSOCIATED PKG FOR LPI"/>
    <x v="47"/>
    <s v="152300"/>
    <s v="PC 007 SIL-48mm x 55m-24 rls/cs-S"/>
    <m/>
    <n v="1026.43"/>
    <m/>
    <n v="1136.52"/>
    <x v="4"/>
    <x v="215"/>
    <x v="126"/>
  </r>
  <r>
    <s v="35"/>
    <s v="CHRIS ASHLEY (I)"/>
    <s v="6517"/>
    <s v="ASSOCIATED PKG/TN GALLATIN"/>
    <s v="745806"/>
    <s v="ICONEX LLC"/>
    <x v="10"/>
    <s v="909535"/>
    <s v="SD 935  PISTOL GRIP DISPNSR-3 IN. ROLL-S"/>
    <n v="63.36"/>
    <n v="99.79"/>
    <n v="0"/>
    <n v="0"/>
    <x v="4"/>
    <x v="216"/>
    <x v="33"/>
  </r>
  <r>
    <s v="35"/>
    <s v="CHRIS ASHLEY (I)"/>
    <s v="6517"/>
    <s v="ASSOCIATED PKG/TN GALLATIN"/>
    <s v="746542"/>
    <s v="JCF HOUSEMENTS"/>
    <x v="48"/>
    <s v="232623"/>
    <s v="AF 099 SIL-72mm x 55m-16 rls/cs-H/A"/>
    <n v="1549.94"/>
    <m/>
    <n v="378.89299999999997"/>
    <m/>
    <x v="4"/>
    <x v="217"/>
    <x v="127"/>
  </r>
  <r>
    <s v="35"/>
    <s v="CHRIS ASHLEY (I)"/>
    <s v="6517"/>
    <s v="ASSOCIATED PKG/TN GALLATIN"/>
    <s v="746542"/>
    <s v="JCF HOUSEMENTS"/>
    <x v="49"/>
    <s v="202880"/>
    <s v="CP 027 BLU-48mm x 55m-24 rls/cs-S"/>
    <n v="692.6"/>
    <m/>
    <n v="378.9"/>
    <m/>
    <x v="4"/>
    <x v="217"/>
    <x v="128"/>
  </r>
  <r>
    <s v="35"/>
    <s v="CHRIS ASHLEY (I)"/>
    <s v="6517"/>
    <s v="ASSOCIATED PKG/TN GALLATIN"/>
    <s v="746542"/>
    <s v="JCF HOUSEMENTS"/>
    <x v="50"/>
    <s v="132716"/>
    <s v="CP 066 NAT-48mm x 55m-24 rls/cs-S"/>
    <n v="488.27"/>
    <m/>
    <n v="378.9"/>
    <m/>
    <x v="4"/>
    <x v="217"/>
    <x v="129"/>
  </r>
  <r>
    <s v="35"/>
    <s v="CHRIS ASHLEY (I)"/>
    <s v="6517"/>
    <s v="ASSOCIATED PKG/TN GALLATIN"/>
    <s v="746542"/>
    <s v="JCF HOUSEMENTS"/>
    <x v="11"/>
    <s v="140431"/>
    <s v="CP 105 NAT-24mm x 55m- 36 rls/cs-S"/>
    <n v="183.55"/>
    <m/>
    <n v="284.14999999999998"/>
    <m/>
    <x v="4"/>
    <x v="217"/>
    <x v="49"/>
  </r>
  <r>
    <s v="35"/>
    <s v="CHRIS ASHLEY (I)"/>
    <s v="6517"/>
    <s v="ASSOCIATED PKG/TN GALLATIN"/>
    <s v="746542"/>
    <s v="JCF HOUSEMENTS"/>
    <x v="41"/>
    <s v="120954"/>
    <s v="PC 006 SIL-48mm x 55m-24 rls/cs-X"/>
    <n v="342.14"/>
    <m/>
    <n v="378.9"/>
    <m/>
    <x v="4"/>
    <x v="217"/>
    <x v="115"/>
  </r>
  <r>
    <s v="35"/>
    <s v="CHRIS ASHLEY (I)"/>
    <s v="6517"/>
    <s v="ASSOCIATED PKG/TN GALLATIN"/>
    <s v="746542"/>
    <s v="JCF HOUSEMENTS"/>
    <x v="51"/>
    <s v="111163"/>
    <s v="SF 686 SPT- 3IN X 100FT- 16 RLS/CS-H/A"/>
    <n v="2970"/>
    <m/>
    <n v="222.2"/>
    <m/>
    <x v="4"/>
    <x v="217"/>
    <x v="130"/>
  </r>
  <r>
    <s v="35"/>
    <s v="CHRIS ASHLEY (I)"/>
    <s v="6517"/>
    <s v="ASSOCIATED PKG/TN GALLATIN"/>
    <s v="746542"/>
    <s v="JCF HOUSEMENTS"/>
    <x v="51"/>
    <s v="183431"/>
    <s v="SF 686 SPT- 2IN X 100FT- 24 RLS/CS-H/A"/>
    <n v="2970.01"/>
    <m/>
    <n v="222.2"/>
    <m/>
    <x v="4"/>
    <x v="217"/>
    <x v="131"/>
  </r>
  <r>
    <s v="35"/>
    <s v="CHRIS ASHLEY (I)"/>
    <s v="6517"/>
    <s v="ASSOCIATED PKG/TN GALLATIN"/>
    <s v="746691"/>
    <s v="GREEN VALLEY POULTRY FARM"/>
    <x v="21"/>
    <s v="230960"/>
    <s v="AP 101 CLR-48mm x 914m-6 rls/cs-S"/>
    <m/>
    <n v="3290.28"/>
    <m/>
    <n v="15111.647999999999"/>
    <x v="4"/>
    <x v="218"/>
    <x v="132"/>
  </r>
  <r>
    <s v="35"/>
    <s v="CHRIS ASHLEY (I)"/>
    <s v="6517"/>
    <s v="ASSOCIATED PKG/TN GALLATIN"/>
    <s v="746691"/>
    <s v="GREEN VALLEY POULTRY FARM"/>
    <x v="1"/>
    <s v="105301"/>
    <s v="AP 201 BLU 48mm x 914m-6 rls/cs-H/A"/>
    <m/>
    <n v="11079.76"/>
    <m/>
    <n v="30223.295999999998"/>
    <x v="4"/>
    <x v="218"/>
    <x v="133"/>
  </r>
  <r>
    <s v="35"/>
    <s v="CHRIS ASHLEY (I)"/>
    <s v="6517"/>
    <s v="ASSOCIATED PKG/TN GALLATIN"/>
    <s v="746691"/>
    <s v="GREEN VALLEY POULTRY FARM"/>
    <x v="8"/>
    <s v="101229"/>
    <s v="GS 490 CLR-18mm x 55m-48 rls/cs-H/A"/>
    <m/>
    <n v="764.12"/>
    <m/>
    <n v="681.96"/>
    <x v="4"/>
    <x v="218"/>
    <x v="29"/>
  </r>
  <r>
    <s v="35"/>
    <s v="CHRIS ASHLEY (I)"/>
    <s v="6517"/>
    <s v="ASSOCIATED PKG/TN GALLATIN"/>
    <s v="746695"/>
    <s v="DUTT &amp; WAGNER"/>
    <x v="21"/>
    <s v="230960"/>
    <s v="AP 101 CLR-48mm x 914m-6 rls/cs-S"/>
    <n v="3133.47"/>
    <m/>
    <n v="15111.647999999999"/>
    <m/>
    <x v="4"/>
    <x v="219"/>
    <x v="132"/>
  </r>
  <r>
    <s v="35"/>
    <s v="CHRIS ASHLEY (I)"/>
    <s v="6517"/>
    <s v="ASSOCIATED PKG/TN GALLATIN"/>
    <s v="746695"/>
    <s v="DUTT &amp; WAGNER"/>
    <x v="1"/>
    <s v="105304"/>
    <s v="AP 201 RED 48mm x 914m-6 rls/cs-H/A"/>
    <n v="6409.5"/>
    <m/>
    <n v="15111.647999999999"/>
    <m/>
    <x v="4"/>
    <x v="219"/>
    <x v="134"/>
  </r>
  <r>
    <s v="35"/>
    <s v="CHRIS ASHLEY (I)"/>
    <s v="6517"/>
    <s v="ASSOCIATED PKG/TN GALLATIN"/>
    <s v="746714"/>
    <s v="DUTT &amp; WAGNER OF NC INC"/>
    <x v="21"/>
    <s v="230960"/>
    <s v="AP 101 CLR-48mm x 914m-6 rls/cs-S"/>
    <n v="3133.47"/>
    <m/>
    <n v="15111.647999999999"/>
    <m/>
    <x v="4"/>
    <x v="220"/>
    <x v="132"/>
  </r>
  <r>
    <s v="35"/>
    <s v="CHRIS ASHLEY (I)"/>
    <s v="6517"/>
    <s v="ASSOCIATED PKG/TN GALLATIN"/>
    <s v="746714"/>
    <s v="DUTT &amp; WAGNER OF NC INC"/>
    <x v="1"/>
    <s v="105301"/>
    <s v="AP 201 BLU 48mm x 914m-6 rls/cs-H/A"/>
    <n v="879.12"/>
    <m/>
    <n v="2518.6080000000002"/>
    <m/>
    <x v="4"/>
    <x v="220"/>
    <x v="133"/>
  </r>
  <r>
    <s v="35"/>
    <s v="CHRIS ASHLEY (I)"/>
    <s v="6517"/>
    <s v="ASSOCIATED PKG/TN GALLATIN"/>
    <s v="746719"/>
    <s v="FLEETLINE PRODUCTS"/>
    <x v="5"/>
    <s v="207845"/>
    <s v="HP 400 CLR-72mm x 100m-24 rls/cs-H/A"/>
    <n v="1909.36"/>
    <n v="615.38"/>
    <n v="2686.71"/>
    <n v="826.68"/>
    <x v="4"/>
    <x v="221"/>
    <x v="19"/>
  </r>
  <r>
    <s v="35"/>
    <s v="CHRIS ASHLEY (I)"/>
    <s v="6517"/>
    <s v="ASSOCIATED PKG/TN GALLATIN"/>
    <s v="746719"/>
    <s v="FLEETLINE PRODUCTS"/>
    <x v="5"/>
    <s v="208558"/>
    <s v="HP 400 CLR-72mm x 914m-4 rls/cs-H/A"/>
    <n v="1921.95"/>
    <n v="193.56"/>
    <n v="3148.2"/>
    <n v="314.82499999999999"/>
    <x v="4"/>
    <x v="221"/>
    <x v="20"/>
  </r>
  <r>
    <s v="35"/>
    <s v="CHRIS ASHLEY (I)"/>
    <s v="6517"/>
    <s v="ASSOCIATED PKG/TN GALLATIN"/>
    <s v="747014"/>
    <s v="NASHVILLE RECORD PRESSING"/>
    <x v="2"/>
    <s v="100404"/>
    <s v="HP 200 CLR-48mm x 1828m-6 rls/cs-S"/>
    <n v="5613.3"/>
    <m/>
    <n v="22667.4"/>
    <m/>
    <x v="4"/>
    <x v="222"/>
    <x v="30"/>
  </r>
  <r>
    <s v="35"/>
    <s v="CHRIS ASHLEY (I)"/>
    <s v="6517"/>
    <s v="ASSOCIATED PKG/TN GALLATIN"/>
    <s v="747214"/>
    <s v="HIGHLY MARELLI USA INC"/>
    <x v="28"/>
    <s v="232032"/>
    <s v="AF 975 SIL-48mm x 46m-24 rls/cs-S"/>
    <n v="163.94"/>
    <m/>
    <n v="63.378"/>
    <m/>
    <x v="4"/>
    <x v="223"/>
    <x v="74"/>
  </r>
  <r>
    <s v="35"/>
    <s v="CHRIS ASHLEY (I)"/>
    <s v="6517"/>
    <s v="ASSOCIATED PKG/TN GALLATIN"/>
    <s v="747350"/>
    <s v="ASSOCIATED FOR JOHNS MANVILLE"/>
    <x v="35"/>
    <s v="209420"/>
    <s v="CP 66L NAT-4in x 240yd-3 rls/cs-H"/>
    <n v="10355.56"/>
    <m/>
    <n v="10240"/>
    <m/>
    <x v="4"/>
    <x v="224"/>
    <x v="97"/>
  </r>
  <r>
    <s v="35"/>
    <s v="CHRIS ASHLEY (I)"/>
    <s v="6517"/>
    <s v="ASSOCIATED PKG/TN GALLATIN"/>
    <s v="747350"/>
    <s v="ASSOCIATED FOR JOHNS MANVILLE"/>
    <x v="2"/>
    <s v="207233"/>
    <s v="HP 200 CLR-72mm x 100m-24 rls/cs-S"/>
    <n v="791.68"/>
    <m/>
    <n v="2893.24"/>
    <m/>
    <x v="4"/>
    <x v="224"/>
    <x v="28"/>
  </r>
  <r>
    <s v="35"/>
    <s v="CHRIS ASHLEY (I)"/>
    <s v="6517"/>
    <s v="ASSOCIATED PKG/TN GALLATIN"/>
    <s v="747420"/>
    <s v="ARTAZN"/>
    <x v="5"/>
    <s v="207853"/>
    <s v="HP 400 CLR-48mm x 50m-36 rls/cs-H"/>
    <n v="84.47"/>
    <m/>
    <n v="103.33"/>
    <m/>
    <x v="4"/>
    <x v="225"/>
    <x v="135"/>
  </r>
  <r>
    <s v="35"/>
    <s v="CHRIS ASHLEY (I)"/>
    <s v="6517"/>
    <s v="ASSOCIATED PKG/TN GALLATIN"/>
    <s v="747474"/>
    <s v="SAMUELS METAL PROCESSING"/>
    <x v="11"/>
    <s v="140431"/>
    <s v="CP 105 NAT-24mm x 55m- 36 rls/cs-S"/>
    <n v="39.200000000000003"/>
    <m/>
    <n v="56.83"/>
    <m/>
    <x v="4"/>
    <x v="226"/>
    <x v="49"/>
  </r>
  <r>
    <s v="35"/>
    <s v="CHRIS ASHLEY (I)"/>
    <s v="6517"/>
    <s v="ASSOCIATED PKG/TN GALLATIN"/>
    <s v="747799"/>
    <s v="GENESCO FAYETTEVILLE"/>
    <x v="18"/>
    <s v="900617"/>
    <s v="SD 932  PISTOL GRIP TAPE DISP. ECONOMY-S"/>
    <m/>
    <n v="77.930000000000007"/>
    <m/>
    <n v="0"/>
    <x v="4"/>
    <x v="227"/>
    <x v="47"/>
  </r>
  <r>
    <s v="35"/>
    <s v="CHRIS ASHLEY (I)"/>
    <s v="6517"/>
    <s v="ASSOCIATED PKG/TN GALLATIN"/>
    <s v="749826"/>
    <s v="THE ROBINETTE COMPANY"/>
    <x v="1"/>
    <s v="105302"/>
    <s v="AP 201 RED 48mm x 100m-36 rls/cs-H/A"/>
    <m/>
    <n v="68.069999999999993"/>
    <m/>
    <n v="206.64"/>
    <x v="4"/>
    <x v="228"/>
    <x v="73"/>
  </r>
  <r>
    <s v="35"/>
    <s v="CHRIS ASHLEY (I)"/>
    <s v="6517"/>
    <s v="ASSOCIATED PKG/TN GALLATIN"/>
    <s v="749909"/>
    <s v="CARDINAL CG - ABINGDON"/>
    <x v="10"/>
    <s v="909535"/>
    <s v="SD 935  PISTOL GRIP DISPNSR-3 IN. ROLL-S"/>
    <m/>
    <n v="79.83"/>
    <m/>
    <n v="0"/>
    <x v="4"/>
    <x v="229"/>
    <x v="33"/>
  </r>
  <r>
    <s v="35"/>
    <s v="CHRIS ASHLEY (I)"/>
    <s v="6517"/>
    <s v="ASSOCIATED PKG/TN GALLATIN"/>
    <s v="751561"/>
    <s v="EBM-PAPST INC"/>
    <x v="2"/>
    <s v="207239"/>
    <s v="HP 200 TAN-72mm x 100m-24 rls/cs-H/A"/>
    <m/>
    <n v="298.19"/>
    <m/>
    <n v="1033.3"/>
    <x v="4"/>
    <x v="230"/>
    <x v="92"/>
  </r>
  <r>
    <s v="35"/>
    <s v="CHRIS ASHLEY (I)"/>
    <s v="6517"/>
    <s v="ASSOCIATED PKG/TN GALLATIN"/>
    <s v="751675"/>
    <s v="WHITMAN PUBLISHING"/>
    <x v="39"/>
    <s v="104618"/>
    <s v="HM 016 CLR-72mm x 100m-24 rls/cs-S"/>
    <m/>
    <n v="2566.08"/>
    <m/>
    <n v="12399.84"/>
    <x v="4"/>
    <x v="231"/>
    <x v="107"/>
  </r>
  <r>
    <s v="35"/>
    <s v="CHRIS ASHLEY (I)"/>
    <s v="6517"/>
    <s v="ASSOCIATED PKG/TN GALLATIN"/>
    <s v="751790"/>
    <s v="CORECHEM"/>
    <x v="19"/>
    <s v="208561"/>
    <s v="HP 500 CLR-48mm x 914m-6 rls/cs-H"/>
    <m/>
    <n v="347.61"/>
    <m/>
    <n v="314.82"/>
    <x v="4"/>
    <x v="232"/>
    <x v="48"/>
  </r>
  <r>
    <s v="39"/>
    <s v="MATT HUGHES (I)"/>
    <s v="24667"/>
    <s v="ASSOCIATED PKG/CA SANTA FE SPRINGS"/>
    <s v="24667"/>
    <s v="ASSOCIATED PKG/CA SANTA FE SPRINGS"/>
    <x v="0"/>
    <s v="231044"/>
    <s v="AP 180 CLR-48mm x 100m-36 rls/cs-H/A"/>
    <n v="3496.29"/>
    <n v="1486.18"/>
    <n v="14464.8"/>
    <n v="6199.2"/>
    <x v="5"/>
    <x v="233"/>
    <x v="1"/>
  </r>
  <r>
    <s v="39"/>
    <s v="MATT HUGHES (I)"/>
    <s v="24667"/>
    <s v="ASSOCIATED PKG/CA SANTA FE SPRINGS"/>
    <s v="24667"/>
    <s v="ASSOCIATED PKG/CA SANTA FE SPRINGS"/>
    <x v="15"/>
    <s v="100530"/>
    <s v="CP 083 NAT-24mm x 55m-36 rls/cs-S"/>
    <m/>
    <n v="213.84"/>
    <m/>
    <n v="284.14999999999998"/>
    <x v="5"/>
    <x v="233"/>
    <x v="136"/>
  </r>
  <r>
    <s v="39"/>
    <s v="MATT HUGHES (I)"/>
    <s v="24667"/>
    <s v="ASSOCIATED PKG/CA SANTA FE SPRINGS"/>
    <s v="24667"/>
    <s v="ASSOCIATED PKG/CA SANTA FE SPRINGS"/>
    <x v="52"/>
    <s v="182140"/>
    <s v="CP 450 NAT-24mm x 55m-36 rls/cs-H"/>
    <n v="592.34"/>
    <n v="421.98"/>
    <n v="340.98"/>
    <n v="227.32"/>
    <x v="5"/>
    <x v="233"/>
    <x v="137"/>
  </r>
  <r>
    <s v="39"/>
    <s v="MATT HUGHES (I)"/>
    <s v="24667"/>
    <s v="ASSOCIATED PKG/CA SANTA FE SPRINGS"/>
    <s v="24667"/>
    <s v="ASSOCIATED PKG/CA SANTA FE SPRINGS"/>
    <x v="45"/>
    <s v="204458"/>
    <s v="GG 200 NAT-24mm x 33m-36 rls/cs-H"/>
    <m/>
    <n v="1120.52"/>
    <m/>
    <n v="204.6"/>
    <x v="5"/>
    <x v="233"/>
    <x v="138"/>
  </r>
  <r>
    <s v="39"/>
    <s v="MATT HUGHES (I)"/>
    <s v="24667"/>
    <s v="ASSOCIATED PKG/CA SANTA FE SPRINGS"/>
    <s v="24667"/>
    <s v="ASSOCIATED PKG/CA SANTA FE SPRINGS"/>
    <x v="45"/>
    <s v="204459"/>
    <s v="GG 200 NAT-48mm x 33m-24 rls/cs-H"/>
    <m/>
    <n v="3309.77"/>
    <m/>
    <n v="636.58000000000004"/>
    <x v="5"/>
    <x v="233"/>
    <x v="123"/>
  </r>
  <r>
    <s v="39"/>
    <s v="MATT HUGHES (I)"/>
    <s v="24667"/>
    <s v="ASSOCIATED PKG/CA SANTA FE SPRINGS"/>
    <s v="24667"/>
    <s v="ASSOCIATED PKG/CA SANTA FE SPRINGS"/>
    <x v="2"/>
    <s v="208492"/>
    <s v="HP 200 CLR-48mm x 914m-6 rls/cs-S"/>
    <n v="871.4"/>
    <m/>
    <n v="3148.2"/>
    <m/>
    <x v="5"/>
    <x v="233"/>
    <x v="6"/>
  </r>
  <r>
    <s v="39"/>
    <s v="MATT HUGHES (I)"/>
    <s v="24667"/>
    <s v="ASSOCIATED PKG/CA SANTA FE SPRINGS"/>
    <s v="24667"/>
    <s v="ASSOCIATED PKG/CA SANTA FE SPRINGS"/>
    <x v="34"/>
    <s v="100053"/>
    <s v="HP 232 CLR-72mm x 914m-4 rls/cs-H/A"/>
    <m/>
    <n v="11231.83"/>
    <m/>
    <n v="30222.720000000001"/>
    <x v="5"/>
    <x v="233"/>
    <x v="139"/>
  </r>
  <r>
    <s v="39"/>
    <s v="MATT HUGHES (I)"/>
    <s v="24667"/>
    <s v="ASSOCIATED PKG/CA SANTA FE SPRINGS"/>
    <s v="35302"/>
    <s v="HONEYVILLE GRAIN INC"/>
    <x v="3"/>
    <s v="208453"/>
    <s v="HP 100 CLR-48mm x 914m-6 rls/cs-S"/>
    <n v="3735.07"/>
    <n v="3726.52"/>
    <n v="15111.36"/>
    <n v="15111.36"/>
    <x v="5"/>
    <x v="234"/>
    <x v="24"/>
  </r>
  <r>
    <s v="39"/>
    <s v="MATT HUGHES (I)"/>
    <s v="24667"/>
    <s v="ASSOCIATED PKG/CA SANTA FE SPRINGS"/>
    <s v="45197"/>
    <s v="PHARMAVITE"/>
    <x v="3"/>
    <s v="195553"/>
    <s v="HP 100 CLR-53mm x 1500m-6 rls/cs-S"/>
    <n v="12950.15"/>
    <n v="13600.22"/>
    <n v="54766.656000000003"/>
    <n v="54766.656000000003"/>
    <x v="5"/>
    <x v="235"/>
    <x v="18"/>
  </r>
  <r>
    <s v="39"/>
    <s v="MATT HUGHES (I)"/>
    <s v="24667"/>
    <s v="ASSOCIATED PKG/CA SANTA FE SPRINGS"/>
    <s v="704928"/>
    <s v="FRESH LEAF FARMS LLC"/>
    <x v="0"/>
    <s v="231046"/>
    <s v="AP 180 CLR-48mm x 914m-6 rls/cs-H/A"/>
    <n v="10914.39"/>
    <n v="11461.82"/>
    <n v="30221.867999999999"/>
    <n v="30221.867999999999"/>
    <x v="5"/>
    <x v="236"/>
    <x v="140"/>
  </r>
  <r>
    <s v="39"/>
    <s v="MATT HUGHES (I)"/>
    <s v="24667"/>
    <s v="ASSOCIATED PKG/CA SANTA FE SPRINGS"/>
    <s v="708617"/>
    <s v="ASSOCIATED PACKAGING - CA SANTA FE"/>
    <x v="15"/>
    <s v="101536"/>
    <s v="CP 083 NAT-48mm x 55m-24 rls/cs-S"/>
    <n v="997.92"/>
    <m/>
    <n v="1515.6"/>
    <m/>
    <x v="5"/>
    <x v="237"/>
    <x v="43"/>
  </r>
  <r>
    <s v="39"/>
    <s v="MATT HUGHES (I)"/>
    <s v="24667"/>
    <s v="ASSOCIATED PKG/CA SANTA FE SPRINGS"/>
    <s v="708617"/>
    <s v="ASSOCIATED PACKAGING - CA SANTA FE"/>
    <x v="52"/>
    <s v="182140"/>
    <s v="CP 450 NAT-24mm x 55m-36 rls/cs-H"/>
    <n v="296.17"/>
    <m/>
    <n v="170.49"/>
    <m/>
    <x v="5"/>
    <x v="237"/>
    <x v="137"/>
  </r>
  <r>
    <s v="39"/>
    <s v="MATT HUGHES (I)"/>
    <s v="24667"/>
    <s v="ASSOCIATED PKG/CA SANTA FE SPRINGS"/>
    <s v="708617"/>
    <s v="ASSOCIATED PACKAGING - CA SANTA FE"/>
    <x v="45"/>
    <s v="204458"/>
    <s v="GG 200 NAT-24mm x 33m-36 rls/cs-H"/>
    <n v="746.66"/>
    <m/>
    <n v="170.5"/>
    <m/>
    <x v="5"/>
    <x v="237"/>
    <x v="138"/>
  </r>
  <r>
    <s v="39"/>
    <s v="MATT HUGHES (I)"/>
    <s v="24667"/>
    <s v="ASSOCIATED PKG/CA SANTA FE SPRINGS"/>
    <s v="708617"/>
    <s v="ASSOCIATED PACKAGING - CA SANTA FE"/>
    <x v="45"/>
    <s v="204459"/>
    <s v="GG 200 NAT-48mm x 33m-24 rls/cs-H"/>
    <n v="1513.04"/>
    <m/>
    <n v="363.76"/>
    <m/>
    <x v="5"/>
    <x v="237"/>
    <x v="123"/>
  </r>
  <r>
    <s v="39"/>
    <s v="MATT HUGHES (I)"/>
    <s v="24667"/>
    <s v="ASSOCIATED PKG/CA SANTA FE SPRINGS"/>
    <s v="708617"/>
    <s v="ASSOCIATED PACKAGING - CA SANTA FE"/>
    <x v="2"/>
    <s v="207149"/>
    <s v="HP 200 CLR-48mm x 100m-36 rls/cs-S"/>
    <n v="2534"/>
    <m/>
    <n v="9299.7000000000007"/>
    <m/>
    <x v="5"/>
    <x v="237"/>
    <x v="3"/>
  </r>
  <r>
    <s v="39"/>
    <s v="MATT HUGHES (I)"/>
    <s v="24667"/>
    <s v="ASSOCIATED PKG/CA SANTA FE SPRINGS"/>
    <s v="708617"/>
    <s v="ASSOCIATED PACKAGING - CA SANTA FE"/>
    <x v="34"/>
    <s v="100962"/>
    <s v="HP 232 CLR-48mm x 914m-6 rls/cs-H/A"/>
    <n v="1140.48"/>
    <m/>
    <n v="3148.2"/>
    <m/>
    <x v="5"/>
    <x v="237"/>
    <x v="94"/>
  </r>
  <r>
    <s v="39"/>
    <s v="MATT HUGHES (I)"/>
    <s v="24667"/>
    <s v="ASSOCIATED PKG/CA SANTA FE SPRINGS"/>
    <s v="708643"/>
    <s v="GMP LABORATORIES OF AMERICA INC"/>
    <x v="6"/>
    <s v="182564"/>
    <s v="HP 300 CLR-53mm x 914m-6 rls/cs-H"/>
    <n v="1592.21"/>
    <m/>
    <n v="3476.4"/>
    <m/>
    <x v="5"/>
    <x v="238"/>
    <x v="141"/>
  </r>
  <r>
    <s v="39"/>
    <s v="MATT HUGHES (I)"/>
    <s v="24667"/>
    <s v="ASSOCIATED PKG/CA SANTA FE SPRINGS"/>
    <s v="718340"/>
    <s v="AMERICAN WOODMARK"/>
    <x v="40"/>
    <s v="132981"/>
    <s v="CP 631 GRN-18mm x 55m-48 rls/cs-H"/>
    <n v="182.48"/>
    <n v="416.28"/>
    <n v="113.664"/>
    <n v="227.328"/>
    <x v="5"/>
    <x v="239"/>
    <x v="142"/>
  </r>
  <r>
    <s v="39"/>
    <s v="MATT HUGHES (I)"/>
    <s v="24667"/>
    <s v="ASSOCIATED PKG/CA SANTA FE SPRINGS"/>
    <s v="718340"/>
    <s v="AMERICAN WOODMARK"/>
    <x v="40"/>
    <s v="178949"/>
    <s v="CP 631 RED-18mm x 55m-48 rls/cs-H"/>
    <n v="182.48"/>
    <n v="624.41999999999996"/>
    <n v="113.664"/>
    <n v="340.99200000000002"/>
    <x v="5"/>
    <x v="239"/>
    <x v="143"/>
  </r>
  <r>
    <s v="39"/>
    <s v="MATT HUGHES (I)"/>
    <s v="24667"/>
    <s v="ASSOCIATED PKG/CA SANTA FE SPRINGS"/>
    <s v="723310"/>
    <s v="ESSENTIALS"/>
    <x v="1"/>
    <s v="230964"/>
    <s v="AP 201 CLR-48mm x 914m-6 rls/cs-H/A"/>
    <m/>
    <n v="3560.44"/>
    <m/>
    <n v="9444.7800000000007"/>
    <x v="5"/>
    <x v="240"/>
    <x v="27"/>
  </r>
  <r>
    <s v="39"/>
    <s v="MATT HUGHES (I)"/>
    <s v="24667"/>
    <s v="ASSOCIATED PKG/CA SANTA FE SPRINGS"/>
    <s v="732142"/>
    <s v="ONEILL RBW LOGISTICS"/>
    <x v="0"/>
    <s v="231044"/>
    <s v="AP 180 CLR-48mm x 100m-36 rls/cs-H/A"/>
    <n v="2972.38"/>
    <n v="1486.19"/>
    <n v="12398.4"/>
    <n v="6199.2"/>
    <x v="5"/>
    <x v="241"/>
    <x v="1"/>
  </r>
  <r>
    <s v="39"/>
    <s v="MATT HUGHES (I)"/>
    <s v="24667"/>
    <s v="ASSOCIATED PKG/CA SANTA FE SPRINGS"/>
    <s v="733192"/>
    <s v="MS INTERNATIONAL"/>
    <x v="2"/>
    <s v="207233"/>
    <s v="HP 200 CLR-72mm x 100m-24 rls/cs-S"/>
    <n v="10634.97"/>
    <n v="5730.91"/>
    <n v="49598.400000000001"/>
    <n v="24799.200000000001"/>
    <x v="5"/>
    <x v="242"/>
    <x v="28"/>
  </r>
  <r>
    <s v="39"/>
    <s v="MATT HUGHES (I)"/>
    <s v="24667"/>
    <s v="ASSOCIATED PKG/CA SANTA FE SPRINGS"/>
    <s v="733377"/>
    <s v="ESSENDANT"/>
    <x v="3"/>
    <s v="208761"/>
    <s v="HP 100 CLR-72mm x 1371m-4 rls/cs-H/T"/>
    <n v="4358.0600000000004"/>
    <n v="4805.7"/>
    <n v="17000.28"/>
    <n v="17000.28"/>
    <x v="5"/>
    <x v="243"/>
    <x v="144"/>
  </r>
  <r>
    <s v="39"/>
    <s v="MATT HUGHES (I)"/>
    <s v="24667"/>
    <s v="ASSOCIATED PKG/CA SANTA FE SPRINGS"/>
    <s v="734762"/>
    <s v="THE COMPLETE LOGISTICS CO"/>
    <x v="0"/>
    <s v="231044"/>
    <s v="AP 180 CLR-48mm x 100m-36 rls/cs-H/A"/>
    <n v="1057.08"/>
    <n v="681.44"/>
    <n v="4339.4399999999996"/>
    <n v="2686.32"/>
    <x v="5"/>
    <x v="244"/>
    <x v="1"/>
  </r>
  <r>
    <s v="39"/>
    <s v="MATT HUGHES (I)"/>
    <s v="24667"/>
    <s v="ASSOCIATED PKG/CA SANTA FE SPRINGS"/>
    <s v="734762"/>
    <s v="THE COMPLETE LOGISTICS CO"/>
    <x v="0"/>
    <s v="231045"/>
    <s v="AP 180 CLR-72mm x 100m-24 rls/cs-H/A"/>
    <n v="315.06"/>
    <m/>
    <n v="1240.0129999999999"/>
    <m/>
    <x v="5"/>
    <x v="244"/>
    <x v="58"/>
  </r>
  <r>
    <s v="39"/>
    <s v="MATT HUGHES (I)"/>
    <s v="24667"/>
    <s v="ASSOCIATED PKG/CA SANTA FE SPRINGS"/>
    <s v="734762"/>
    <s v="THE COMPLETE LOGISTICS CO"/>
    <x v="1"/>
    <s v="230963"/>
    <s v="AP 201 CLR-72mm x 100m-24 rls/cs-H/A"/>
    <m/>
    <n v="392.51"/>
    <m/>
    <n v="1033.3440000000001"/>
    <x v="5"/>
    <x v="244"/>
    <x v="37"/>
  </r>
  <r>
    <s v="39"/>
    <s v="MATT HUGHES (I)"/>
    <s v="24667"/>
    <s v="ASSOCIATED PKG/CA SANTA FE SPRINGS"/>
    <s v="737603"/>
    <s v="PASSION GROWERS WEST LLC"/>
    <x v="34"/>
    <s v="100053"/>
    <s v="HP 232 CLR-72mm x 914m-4 rls/cs-H/A"/>
    <m/>
    <n v="5759.43"/>
    <m/>
    <n v="15111.36"/>
    <x v="5"/>
    <x v="245"/>
    <x v="139"/>
  </r>
  <r>
    <s v="39"/>
    <s v="MATT HUGHES (I)"/>
    <s v="24667"/>
    <s v="ASSOCIATED PKG/CA SANTA FE SPRINGS"/>
    <s v="737603"/>
    <s v="PASSION GROWERS WEST LLC"/>
    <x v="34"/>
    <s v="100962"/>
    <s v="HP 232 CLR-48mm x 914m-6 rls/cs-H/A"/>
    <m/>
    <n v="4311.01"/>
    <m/>
    <n v="11333.52"/>
    <x v="5"/>
    <x v="245"/>
    <x v="94"/>
  </r>
  <r>
    <s v="39"/>
    <s v="MATT HUGHES (I)"/>
    <s v="24667"/>
    <s v="ASSOCIATED PKG/CA SANTA FE SPRINGS"/>
    <s v="740541"/>
    <s v="GOODWIN CO"/>
    <x v="3"/>
    <s v="208470"/>
    <s v="HP 100 CLR-48mm x 1371m-6 rls/cs- S"/>
    <n v="15242.52"/>
    <n v="31819.39"/>
    <n v="69890.039999999994"/>
    <n v="136002.23999999999"/>
    <x v="5"/>
    <x v="246"/>
    <x v="8"/>
  </r>
  <r>
    <s v="39"/>
    <s v="MATT HUGHES (I)"/>
    <s v="24667"/>
    <s v="ASSOCIATED PKG/CA SANTA FE SPRINGS"/>
    <s v="740848"/>
    <s v="MPIO/DONGBU C/O STARKIST"/>
    <x v="2"/>
    <s v="208492"/>
    <s v="HP 200 CLR-48mm x 914m-6 rls/cs-S"/>
    <m/>
    <n v="4573.8"/>
    <m/>
    <n v="15741"/>
    <x v="5"/>
    <x v="247"/>
    <x v="6"/>
  </r>
  <r>
    <s v="39"/>
    <s v="MATT HUGHES (I)"/>
    <s v="24667"/>
    <s v="ASSOCIATED PKG/CA SANTA FE SPRINGS"/>
    <s v="740967"/>
    <s v="WILL CALL AT SHURTAPE PHOENIX DC"/>
    <x v="0"/>
    <s v="231044"/>
    <s v="AP 180 CLR-48mm x 100m-36 rls/cs-H/A"/>
    <m/>
    <n v="495.4"/>
    <m/>
    <n v="2066.4"/>
    <x v="5"/>
    <x v="248"/>
    <x v="1"/>
  </r>
  <r>
    <s v="39"/>
    <s v="MATT HUGHES (I)"/>
    <s v="24667"/>
    <s v="ASSOCIATED PKG/CA SANTA FE SPRINGS"/>
    <s v="740967"/>
    <s v="WILL CALL AT SHURTAPE PHOENIX DC"/>
    <x v="2"/>
    <s v="208492"/>
    <s v="HP 200 CLR-48mm x 914m-6 rls/cs-S"/>
    <n v="1659.64"/>
    <m/>
    <n v="6296.4"/>
    <m/>
    <x v="5"/>
    <x v="248"/>
    <x v="6"/>
  </r>
  <r>
    <s v="39"/>
    <s v="MATT HUGHES (I)"/>
    <s v="24667"/>
    <s v="ASSOCIATED PKG/CA SANTA FE SPRINGS"/>
    <s v="741114"/>
    <s v="MS INTERNATIONAL"/>
    <x v="2"/>
    <s v="207233"/>
    <s v="HP 200 CLR-72mm x 100m-24 rls/cs-S"/>
    <n v="13614.48"/>
    <m/>
    <n v="61998"/>
    <m/>
    <x v="5"/>
    <x v="249"/>
    <x v="28"/>
  </r>
  <r>
    <s v="39"/>
    <s v="MATT HUGHES (I)"/>
    <s v="24667"/>
    <s v="ASSOCIATED PKG/CA SANTA FE SPRINGS"/>
    <s v="741251"/>
    <s v="MS INTERNATIONAL INC"/>
    <x v="2"/>
    <s v="207233"/>
    <s v="HP 200 CLR-72mm x 100m-24 rls/cs-S"/>
    <n v="2722.9"/>
    <m/>
    <n v="12399.6"/>
    <m/>
    <x v="5"/>
    <x v="250"/>
    <x v="28"/>
  </r>
  <r>
    <s v="39"/>
    <s v="MATT HUGHES (I)"/>
    <s v="24667"/>
    <s v="ASSOCIATED PKG/CA SANTA FE SPRINGS"/>
    <s v="741406"/>
    <s v="MS INTERNATIONAL"/>
    <x v="2"/>
    <s v="207149"/>
    <s v="HP 200 CLR-48mm x 100m-36 rls/cs-S"/>
    <n v="5431.54"/>
    <n v="11423.69"/>
    <n v="24799.200000000001"/>
    <n v="49805.06"/>
    <x v="5"/>
    <x v="251"/>
    <x v="3"/>
  </r>
  <r>
    <s v="39"/>
    <s v="MATT HUGHES (I)"/>
    <s v="24667"/>
    <s v="ASSOCIATED PKG/CA SANTA FE SPRINGS"/>
    <s v="743010"/>
    <s v="MS INTERNATIONAL INC"/>
    <x v="2"/>
    <s v="207233"/>
    <s v="HP 200 CLR-72mm x 100m-24 rls/cs-S"/>
    <n v="2722.9"/>
    <m/>
    <n v="12399.6"/>
    <m/>
    <x v="5"/>
    <x v="252"/>
    <x v="28"/>
  </r>
  <r>
    <s v="39"/>
    <s v="MATT HUGHES (I)"/>
    <s v="24667"/>
    <s v="ASSOCIATED PKG/CA SANTA FE SPRINGS"/>
    <s v="743062"/>
    <s v="NELLSON LLC- ONTARIO PLANT"/>
    <x v="3"/>
    <s v="195553"/>
    <s v="HP 100 CLR-53mm x 1500m-6 rls/cs-S"/>
    <n v="5643.24"/>
    <m/>
    <n v="20537.495999999999"/>
    <m/>
    <x v="5"/>
    <x v="253"/>
    <x v="18"/>
  </r>
  <r>
    <s v="39"/>
    <s v="MATT HUGHES (I)"/>
    <s v="24667"/>
    <s v="ASSOCIATED PKG/CA SANTA FE SPRINGS"/>
    <s v="743062"/>
    <s v="NELLSON LLC- ONTARIO PLANT"/>
    <x v="3"/>
    <s v="207142"/>
    <s v="HP 100 CLR-48mm x 100m-36 rls/cs-S"/>
    <n v="2801.3"/>
    <m/>
    <n v="12399.6"/>
    <m/>
    <x v="5"/>
    <x v="253"/>
    <x v="22"/>
  </r>
  <r>
    <s v="39"/>
    <s v="MATT HUGHES (I)"/>
    <s v="24667"/>
    <s v="ASSOCIATED PKG/CA SANTA FE SPRINGS"/>
    <s v="746941"/>
    <s v="GAP INC"/>
    <x v="21"/>
    <s v="230982"/>
    <s v="AP 101 CLR-48mm x 100m-36 rls/cs-S"/>
    <m/>
    <n v="2523.31"/>
    <m/>
    <n v="12398.4"/>
    <x v="5"/>
    <x v="254"/>
    <x v="55"/>
  </r>
  <r>
    <s v="39"/>
    <s v="MATT HUGHES (I)"/>
    <s v="24667"/>
    <s v="ASSOCIATED PKG/CA SANTA FE SPRINGS"/>
    <s v="746941"/>
    <s v="GAP INC"/>
    <x v="3"/>
    <s v="207194"/>
    <s v="HP 100 CLR-72mm x 100m-24 rls/cs-S"/>
    <n v="2794.18"/>
    <n v="4383.72"/>
    <n v="12399.6"/>
    <n v="18599.400000000001"/>
    <x v="5"/>
    <x v="254"/>
    <x v="50"/>
  </r>
  <r>
    <s v="39"/>
    <s v="MATT HUGHES (I)"/>
    <s v="24667"/>
    <s v="ASSOCIATED PKG/CA SANTA FE SPRINGS"/>
    <s v="747078"/>
    <s v="MS INTERNATIONAL"/>
    <x v="6"/>
    <s v="207870"/>
    <s v="HP 300 CLR-72mm x 100m-24 RLS/CS-H"/>
    <n v="2722.9"/>
    <m/>
    <n v="12400.2"/>
    <m/>
    <x v="5"/>
    <x v="255"/>
    <x v="79"/>
  </r>
  <r>
    <s v="39"/>
    <s v="MATT HUGHES (I)"/>
    <s v="24667"/>
    <s v="ASSOCIATED PKG/CA SANTA FE SPRINGS"/>
    <s v="747829"/>
    <s v="ST MARY'S FOOD BANK ALLIANCE"/>
    <x v="2"/>
    <s v="208492"/>
    <s v="HP 200 CLR-48mm x 914m-6 rls/cs-S"/>
    <m/>
    <n v="4171.3100000000004"/>
    <m/>
    <n v="15111.36"/>
    <x v="5"/>
    <x v="256"/>
    <x v="6"/>
  </r>
  <r>
    <s v="39"/>
    <s v="MATT HUGHES (I)"/>
    <s v="24667"/>
    <s v="ASSOCIATED PKG/CA SANTA FE SPRINGS"/>
    <s v="747895"/>
    <s v="NSL 00047 @LVO LONGVIEW OMNI"/>
    <x v="3"/>
    <s v="207194"/>
    <s v="HP 100 CLR-72mm x 100m-24 rls/cs-S"/>
    <m/>
    <n v="8767.44"/>
    <m/>
    <n v="37198.800000000003"/>
    <x v="5"/>
    <x v="257"/>
    <x v="50"/>
  </r>
  <r>
    <s v="39"/>
    <s v="MATT HUGHES (I)"/>
    <s v="24667"/>
    <s v="ASSOCIATED PKG/CA SANTA FE SPRINGS"/>
    <s v="749831"/>
    <s v="PASSION GROWERS CALEXICO"/>
    <x v="34"/>
    <s v="100053"/>
    <s v="HP 232 CLR-72mm x 914m-4 rls/cs-H/A"/>
    <m/>
    <n v="5759.42"/>
    <m/>
    <n v="15111.36"/>
    <x v="5"/>
    <x v="258"/>
    <x v="139"/>
  </r>
  <r>
    <s v="39"/>
    <s v="MATT HUGHES (I)"/>
    <s v="24667"/>
    <s v="ASSOCIATED PKG/CA SANTA FE SPRINGS"/>
    <s v="750665"/>
    <s v="MS INTERNATIONAL"/>
    <x v="2"/>
    <s v="207233"/>
    <s v="HP 200 CLR-72mm x 100m-24 rls/cs-S"/>
    <m/>
    <n v="5730.92"/>
    <m/>
    <n v="24799.200000000001"/>
    <x v="5"/>
    <x v="259"/>
    <x v="28"/>
  </r>
  <r>
    <s v="39"/>
    <s v="MATT HUGHES (I)"/>
    <s v="24667"/>
    <s v="ASSOCIATED PKG/CA SANTA FE SPRINGS"/>
    <s v="751402"/>
    <s v="C D CONTAINER"/>
    <x v="15"/>
    <s v="100530"/>
    <s v="CP 083 NAT-24mm x 55m-36 rls/cs-S"/>
    <m/>
    <n v="42.77"/>
    <m/>
    <n v="56.83"/>
    <x v="5"/>
    <x v="260"/>
    <x v="136"/>
  </r>
  <r>
    <s v="100"/>
    <s v="BARRY KAPLE (I)"/>
    <s v="7834"/>
    <s v="ASSOCIATED PKG/FL TAMPA"/>
    <s v="7834"/>
    <s v="ASSOCIATED PKG/FL TAMPA"/>
    <x v="3"/>
    <s v="207142"/>
    <s v="HP 100 CLR-48mm x 100m-36 rls/cs-S"/>
    <n v="5901.98"/>
    <m/>
    <n v="24799.200000000001"/>
    <m/>
    <x v="6"/>
    <x v="261"/>
    <x v="22"/>
  </r>
  <r>
    <s v="100"/>
    <s v="BARRY KAPLE (I)"/>
    <s v="7834"/>
    <s v="ASSOCIATED PKG/FL TAMPA"/>
    <s v="7834"/>
    <s v="ASSOCIATED PKG/FL TAMPA"/>
    <x v="3"/>
    <s v="208453"/>
    <s v="HP 100 CLR-48mm x 914m-6 rls/cs-S"/>
    <n v="11028.44"/>
    <m/>
    <n v="45334.080000000002"/>
    <m/>
    <x v="6"/>
    <x v="261"/>
    <x v="24"/>
  </r>
  <r>
    <s v="100"/>
    <s v="BARRY KAPLE (I)"/>
    <s v="7834"/>
    <s v="ASSOCIATED PKG/FL TAMPA"/>
    <s v="7834"/>
    <s v="ASSOCIATED PKG/FL TAMPA"/>
    <x v="2"/>
    <s v="207149"/>
    <s v="HP 200 CLR-48mm x 100m-36 rls/cs-S"/>
    <n v="6265.51"/>
    <n v="9964.94"/>
    <n v="24799.200000000001"/>
    <n v="37198.800000000003"/>
    <x v="6"/>
    <x v="261"/>
    <x v="3"/>
  </r>
  <r>
    <s v="100"/>
    <s v="BARRY KAPLE (I)"/>
    <s v="7834"/>
    <s v="ASSOCIATED PKG/FL TAMPA"/>
    <s v="7834"/>
    <s v="ASSOCIATED PKG/FL TAMPA"/>
    <x v="2"/>
    <s v="207239"/>
    <s v="HP 200 TAN-72mm x 100m-24 rls/cs-H/A"/>
    <n v="1760.62"/>
    <n v="940.9"/>
    <n v="6199.8"/>
    <n v="3099.9"/>
    <x v="6"/>
    <x v="261"/>
    <x v="92"/>
  </r>
  <r>
    <s v="100"/>
    <s v="BARRY KAPLE (I)"/>
    <s v="7834"/>
    <s v="ASSOCIATED PKG/FL TAMPA"/>
    <s v="7834"/>
    <s v="ASSOCIATED PKG/FL TAMPA"/>
    <x v="2"/>
    <s v="208492"/>
    <s v="HP 200 CLR-48mm x 914m-6 rls/cs-S"/>
    <n v="35403"/>
    <n v="33942.17"/>
    <n v="129076.2"/>
    <n v="121835.34"/>
    <x v="6"/>
    <x v="261"/>
    <x v="6"/>
  </r>
  <r>
    <s v="100"/>
    <s v="BARRY KAPLE (I)"/>
    <s v="7834"/>
    <s v="ASSOCIATED PKG/FL TAMPA"/>
    <s v="7834"/>
    <s v="ASSOCIATED PKG/FL TAMPA"/>
    <x v="2"/>
    <s v="208496"/>
    <s v="HP 200 CLR-72mm x 914m-4 rls/cs-S"/>
    <n v="13461.04"/>
    <n v="8837.5300000000007"/>
    <n v="50371.199999999997"/>
    <n v="31167.18"/>
    <x v="6"/>
    <x v="261"/>
    <x v="5"/>
  </r>
  <r>
    <s v="100"/>
    <s v="BARRY KAPLE (I)"/>
    <s v="7834"/>
    <s v="ASSOCIATED PKG/FL TAMPA"/>
    <s v="7834"/>
    <s v="ASSOCIATED PKG/FL TAMPA"/>
    <x v="6"/>
    <s v="207871"/>
    <s v="HP 300 CLR-48mm x 100m-36 rls/cs-H/A"/>
    <n v="1108.4000000000001"/>
    <n v="2330.86"/>
    <n v="2066.6999999999998"/>
    <n v="4133.3999999999996"/>
    <x v="6"/>
    <x v="261"/>
    <x v="108"/>
  </r>
  <r>
    <s v="100"/>
    <s v="BARRY KAPLE (I)"/>
    <s v="7834"/>
    <s v="ASSOCIATED PKG/FL TAMPA"/>
    <s v="7834"/>
    <s v="ASSOCIATED PKG/FL TAMPA"/>
    <x v="6"/>
    <s v="208532"/>
    <s v="HP 300 CLR-48mm x 914m-6 rls/cs-H"/>
    <n v="1624.59"/>
    <n v="1705.97"/>
    <n v="3148.2"/>
    <n v="3148.2"/>
    <x v="6"/>
    <x v="261"/>
    <x v="145"/>
  </r>
  <r>
    <s v="100"/>
    <s v="BARRY KAPLE (I)"/>
    <s v="7834"/>
    <s v="ASSOCIATED PKG/FL TAMPA"/>
    <s v="7834"/>
    <s v="ASSOCIATED PKG/FL TAMPA"/>
    <x v="30"/>
    <s v="101688"/>
    <s v="WP 100 NAT-70mm x 153m(500ft)-6 rls/cs-H"/>
    <m/>
    <n v="211.7"/>
    <m/>
    <n v="307.39999999999998"/>
    <x v="6"/>
    <x v="261"/>
    <x v="80"/>
  </r>
  <r>
    <s v="100"/>
    <s v="BARRY KAPLE (I)"/>
    <s v="7834"/>
    <s v="ASSOCIATED PKG/FL TAMPA"/>
    <s v="15492"/>
    <s v="M &amp; B PRODUCTS INC"/>
    <x v="3"/>
    <s v="208470"/>
    <s v="HP 100 CLR-48mm x 1371m-6 rls/cs- S"/>
    <n v="44234.94"/>
    <n v="43341.09"/>
    <n v="221003.64"/>
    <n v="204003.36"/>
    <x v="6"/>
    <x v="262"/>
    <x v="8"/>
  </r>
  <r>
    <s v="100"/>
    <s v="BARRY KAPLE (I)"/>
    <s v="7834"/>
    <s v="ASSOCIATED PKG/FL TAMPA"/>
    <s v="25338"/>
    <s v="VENTURA FOODS"/>
    <x v="3"/>
    <s v="195553"/>
    <s v="HP 100 CLR-53mm x 1500m-6 rls/cs-S"/>
    <n v="5795.06"/>
    <n v="6085.53"/>
    <n v="17114.580000000002"/>
    <n v="17114.580000000002"/>
    <x v="6"/>
    <x v="263"/>
    <x v="18"/>
  </r>
  <r>
    <s v="100"/>
    <s v="BARRY KAPLE (I)"/>
    <s v="7834"/>
    <s v="ASSOCIATED PKG/FL TAMPA"/>
    <s v="33670"/>
    <s v="HILEX POLY COMPANY/DNU"/>
    <x v="3"/>
    <s v="208453"/>
    <s v="HP 100 CLR-48mm x 914m-6 rls/cs-S"/>
    <n v="7116.6"/>
    <m/>
    <n v="30222.720000000001"/>
    <m/>
    <x v="6"/>
    <x v="264"/>
    <x v="24"/>
  </r>
  <r>
    <s v="100"/>
    <s v="BARRY KAPLE (I)"/>
    <s v="7834"/>
    <s v="ASSOCIATED PKG/FL TAMPA"/>
    <s v="44684"/>
    <s v="GENESIS DIRECT"/>
    <x v="12"/>
    <s v="101007"/>
    <s v="CP 106 NAT-36mm x 55m-24 rls/cs-S"/>
    <n v="41.34"/>
    <m/>
    <n v="56.83"/>
    <m/>
    <x v="6"/>
    <x v="265"/>
    <x v="146"/>
  </r>
  <r>
    <s v="100"/>
    <s v="BARRY KAPLE (I)"/>
    <s v="7834"/>
    <s v="ASSOCIATED PKG/FL TAMPA"/>
    <s v="45817"/>
    <s v="DUPUY STORAGE"/>
    <x v="2"/>
    <s v="208492"/>
    <s v="HP 200 CLR-48mm x 914m-6 rls/cs-S"/>
    <n v="4790.0200000000004"/>
    <n v="5029.5200000000004"/>
    <n v="15111.36"/>
    <n v="15111.36"/>
    <x v="6"/>
    <x v="266"/>
    <x v="6"/>
  </r>
  <r>
    <s v="100"/>
    <s v="BARRY KAPLE (I)"/>
    <s v="7834"/>
    <s v="ASSOCIATED PKG/FL TAMPA"/>
    <s v="708553"/>
    <s v="LANTMANNEN BAKERY"/>
    <x v="2"/>
    <s v="208492"/>
    <s v="HP 200 CLR-48mm x 914m-6 rls/cs-S"/>
    <m/>
    <n v="17124.310000000001"/>
    <m/>
    <n v="60445.440000000002"/>
    <x v="6"/>
    <x v="267"/>
    <x v="6"/>
  </r>
  <r>
    <s v="100"/>
    <s v="BARRY KAPLE (I)"/>
    <s v="7834"/>
    <s v="ASSOCIATED PKG/FL TAMPA"/>
    <s v="711125"/>
    <s v="COH EPROC"/>
    <x v="38"/>
    <s v="101853"/>
    <s v="HP 240 TK SECURITY-72mmx100m-24rls/cs-H"/>
    <n v="1812.89"/>
    <m/>
    <n v="2066.6999999999998"/>
    <m/>
    <x v="6"/>
    <x v="268"/>
    <x v="147"/>
  </r>
  <r>
    <s v="100"/>
    <s v="BARRY KAPLE (I)"/>
    <s v="7834"/>
    <s v="ASSOCIATED PKG/FL TAMPA"/>
    <s v="711402"/>
    <s v="KENNESAW FRUIT &amp; JUICE"/>
    <x v="2"/>
    <s v="136221"/>
    <s v="HP 200 ORG-48mm x 914m-6 rls/cs-H"/>
    <n v="3616.87"/>
    <n v="1847.93"/>
    <n v="6296.4"/>
    <n v="3148.2"/>
    <x v="6"/>
    <x v="269"/>
    <x v="13"/>
  </r>
  <r>
    <s v="100"/>
    <s v="BARRY KAPLE (I)"/>
    <s v="7834"/>
    <s v="ASSOCIATED PKG/FL TAMPA"/>
    <s v="711402"/>
    <s v="KENNESAW FRUIT &amp; JUICE"/>
    <x v="2"/>
    <s v="162592"/>
    <s v="HP 200 BLU-48mm x 914m-6 rls/cs-H"/>
    <m/>
    <n v="583.6"/>
    <m/>
    <n v="944.46"/>
    <x v="6"/>
    <x v="269"/>
    <x v="14"/>
  </r>
  <r>
    <s v="100"/>
    <s v="BARRY KAPLE (I)"/>
    <s v="7834"/>
    <s v="ASSOCIATED PKG/FL TAMPA"/>
    <s v="711402"/>
    <s v="KENNESAW FRUIT &amp; JUICE"/>
    <x v="2"/>
    <s v="208492"/>
    <s v="HP 200 CLR-48mm x 914m-6 rls/cs-S"/>
    <n v="1659.64"/>
    <m/>
    <n v="6296.4"/>
    <m/>
    <x v="6"/>
    <x v="269"/>
    <x v="6"/>
  </r>
  <r>
    <s v="100"/>
    <s v="BARRY KAPLE (I)"/>
    <s v="7834"/>
    <s v="ASSOCIATED PKG/FL TAMPA"/>
    <s v="711402"/>
    <s v="KENNESAW FRUIT &amp; JUICE"/>
    <x v="2"/>
    <s v="218104"/>
    <s v="HP 200 RED-48mm x 914m-6 rls/cs-H"/>
    <m/>
    <n v="923.97"/>
    <m/>
    <n v="1574.1"/>
    <x v="6"/>
    <x v="269"/>
    <x v="16"/>
  </r>
  <r>
    <s v="100"/>
    <s v="BARRY KAPLE (I)"/>
    <s v="7834"/>
    <s v="ASSOCIATED PKG/FL TAMPA"/>
    <s v="713105"/>
    <s v="PALMETTO CANNING CO"/>
    <x v="3"/>
    <s v="208453"/>
    <s v="HP 100 CLR-48mm x 914m-6 rls/cs-S"/>
    <m/>
    <n v="3726.52"/>
    <m/>
    <n v="15111.36"/>
    <x v="6"/>
    <x v="270"/>
    <x v="24"/>
  </r>
  <r>
    <s v="100"/>
    <s v="BARRY KAPLE (I)"/>
    <s v="7834"/>
    <s v="ASSOCIATED PKG/FL TAMPA"/>
    <s v="716630"/>
    <s v="WINCUP PLASTICS DBA CARDINAL S"/>
    <x v="2"/>
    <s v="207149"/>
    <s v="HP 200 CLR-48mm x 100m-36 rls/cs-S"/>
    <m/>
    <n v="3378.67"/>
    <m/>
    <n v="12399.6"/>
    <x v="6"/>
    <x v="271"/>
    <x v="3"/>
  </r>
  <r>
    <s v="100"/>
    <s v="BARRY KAPLE (I)"/>
    <s v="7834"/>
    <s v="ASSOCIATED PKG/FL TAMPA"/>
    <s v="716630"/>
    <s v="WINCUP PLASTICS DBA CARDINAL S"/>
    <x v="2"/>
    <s v="208492"/>
    <s v="HP 200 CLR-48mm x 914m-6 rls/cs-S"/>
    <n v="3737.92"/>
    <n v="3926.1"/>
    <n v="15111.36"/>
    <n v="15111.36"/>
    <x v="6"/>
    <x v="271"/>
    <x v="6"/>
  </r>
  <r>
    <s v="100"/>
    <s v="BARRY KAPLE (I)"/>
    <s v="7834"/>
    <s v="ASSOCIATED PKG/FL TAMPA"/>
    <s v="716751"/>
    <s v="PASSION GROWERS"/>
    <x v="34"/>
    <s v="100053"/>
    <s v="HP 232 CLR-72mm x 914m-4 rls/cs-H/A"/>
    <m/>
    <n v="16565.46"/>
    <m/>
    <n v="45334.080000000002"/>
    <x v="6"/>
    <x v="272"/>
    <x v="139"/>
  </r>
  <r>
    <s v="100"/>
    <s v="BARRY KAPLE (I)"/>
    <s v="7834"/>
    <s v="ASSOCIATED PKG/FL TAMPA"/>
    <s v="721619"/>
    <s v="IGT GLOBAL SOLUTIONS CORP"/>
    <x v="2"/>
    <s v="207149"/>
    <s v="HP 200 CLR-48mm x 100m-36 rls/cs-S"/>
    <n v="2702.94"/>
    <m/>
    <n v="9919.68"/>
    <m/>
    <x v="6"/>
    <x v="273"/>
    <x v="3"/>
  </r>
  <r>
    <s v="100"/>
    <s v="BARRY KAPLE (I)"/>
    <s v="7834"/>
    <s v="ASSOCIATED PKG/FL TAMPA"/>
    <s v="724391"/>
    <s v="BADIA SPICE"/>
    <x v="3"/>
    <s v="207142"/>
    <s v="HP 100 CLR-48mm x 100m-36 rls/cs-S"/>
    <n v="5046.62"/>
    <m/>
    <n v="24799.200000000001"/>
    <m/>
    <x v="6"/>
    <x v="274"/>
    <x v="22"/>
  </r>
  <r>
    <s v="100"/>
    <s v="BARRY KAPLE (I)"/>
    <s v="7834"/>
    <s v="ASSOCIATED PKG/FL TAMPA"/>
    <s v="724391"/>
    <s v="BADIA SPICE"/>
    <x v="3"/>
    <s v="208453"/>
    <s v="HP 100 CLR-48mm x 914m-6 rls/cs-S"/>
    <n v="11205.22"/>
    <n v="42368.82"/>
    <n v="45334.080000000002"/>
    <n v="166224.95999999999"/>
    <x v="6"/>
    <x v="274"/>
    <x v="24"/>
  </r>
  <r>
    <s v="100"/>
    <s v="BARRY KAPLE (I)"/>
    <s v="7834"/>
    <s v="ASSOCIATED PKG/FL TAMPA"/>
    <s v="728865"/>
    <s v="SIEMENS ENERGY"/>
    <x v="5"/>
    <s v="207852"/>
    <s v="HP 400 CLR-72mm x 50m-24 rls/cs-H"/>
    <n v="1273.54"/>
    <n v="430.06"/>
    <n v="1549.95"/>
    <n v="516.67200000000003"/>
    <x v="6"/>
    <x v="275"/>
    <x v="125"/>
  </r>
  <r>
    <s v="100"/>
    <s v="BARRY KAPLE (I)"/>
    <s v="7834"/>
    <s v="ASSOCIATED PKG/FL TAMPA"/>
    <s v="728865"/>
    <s v="SIEMENS ENERGY"/>
    <x v="5"/>
    <s v="207853"/>
    <s v="HP 400 CLR-48mm x 50m-36 rls/cs-H"/>
    <n v="844.67"/>
    <n v="866.05"/>
    <n v="1033.3"/>
    <n v="1033.3"/>
    <x v="6"/>
    <x v="275"/>
    <x v="135"/>
  </r>
  <r>
    <s v="100"/>
    <s v="BARRY KAPLE (I)"/>
    <s v="7834"/>
    <s v="ASSOCIATED PKG/FL TAMPA"/>
    <s v="730232"/>
    <s v="CLEAR LAKE ENTERPRISES INC"/>
    <x v="1"/>
    <s v="230963"/>
    <s v="AP 201 CLR-72mm x 100m-24 rls/cs-H/A"/>
    <m/>
    <n v="3065.04"/>
    <m/>
    <n v="12400.128000000001"/>
    <x v="6"/>
    <x v="276"/>
    <x v="37"/>
  </r>
  <r>
    <s v="100"/>
    <s v="BARRY KAPLE (I)"/>
    <s v="7834"/>
    <s v="ASSOCIATED PKG/FL TAMPA"/>
    <s v="730862"/>
    <s v="UNCLE JOHNS PRIDE"/>
    <x v="34"/>
    <s v="100962"/>
    <s v="HP 232 CLR-48mm x 914m-6 rls/cs-H/A"/>
    <m/>
    <n v="4333.82"/>
    <m/>
    <n v="15111.36"/>
    <x v="6"/>
    <x v="277"/>
    <x v="94"/>
  </r>
  <r>
    <s v="100"/>
    <s v="BARRY KAPLE (I)"/>
    <s v="7834"/>
    <s v="ASSOCIATED PKG/FL TAMPA"/>
    <s v="732720"/>
    <s v="HONEYCOMB COMPANY OF AMERICA"/>
    <x v="12"/>
    <s v="101006"/>
    <s v="CP 106 NAT-24mm x 55m-36 rls/cs-S"/>
    <n v="116.54"/>
    <m/>
    <n v="170.49"/>
    <m/>
    <x v="6"/>
    <x v="278"/>
    <x v="59"/>
  </r>
  <r>
    <s v="100"/>
    <s v="BARRY KAPLE (I)"/>
    <s v="7834"/>
    <s v="ASSOCIATED PKG/FL TAMPA"/>
    <s v="733173"/>
    <s v="VITAMIN SHOPPE"/>
    <x v="3"/>
    <s v="208761"/>
    <s v="HP 100 CLR-72mm x 1371m-4 rls/cs-H/T"/>
    <n v="3284.58"/>
    <m/>
    <n v="17000.28"/>
    <m/>
    <x v="6"/>
    <x v="279"/>
    <x v="144"/>
  </r>
  <r>
    <s v="100"/>
    <s v="BARRY KAPLE (I)"/>
    <s v="7834"/>
    <s v="ASSOCIATED PKG/FL TAMPA"/>
    <s v="734282"/>
    <s v="COLONIAL PRESS"/>
    <x v="3"/>
    <s v="208453"/>
    <s v="HP 100 CLR-48mm x 914m-6 rls/cs-S"/>
    <n v="1378.08"/>
    <m/>
    <n v="6296.4"/>
    <m/>
    <x v="6"/>
    <x v="280"/>
    <x v="24"/>
  </r>
  <r>
    <s v="100"/>
    <s v="BARRY KAPLE (I)"/>
    <s v="7834"/>
    <s v="ASSOCIATED PKG/FL TAMPA"/>
    <s v="735533"/>
    <s v="TURANO FLORIDA BUN LLC"/>
    <x v="3"/>
    <s v="208465"/>
    <s v="HP 100 CLR-72mm x 914m-4 rls/cs-S"/>
    <n v="4698.26"/>
    <m/>
    <n v="19204.02"/>
    <m/>
    <x v="6"/>
    <x v="281"/>
    <x v="69"/>
  </r>
  <r>
    <s v="100"/>
    <s v="BARRY KAPLE (I)"/>
    <s v="7834"/>
    <s v="ASSOCIATED PKG/FL TAMPA"/>
    <s v="739411"/>
    <s v="BASE CULTURE"/>
    <x v="3"/>
    <s v="208453"/>
    <s v="HP 100 CLR-48mm x 914m-6 rls/cs-S"/>
    <n v="2223.94"/>
    <m/>
    <n v="9444.6"/>
    <m/>
    <x v="6"/>
    <x v="282"/>
    <x v="24"/>
  </r>
  <r>
    <s v="100"/>
    <s v="BARRY KAPLE (I)"/>
    <s v="7834"/>
    <s v="ASSOCIATED PKG/FL TAMPA"/>
    <s v="739633"/>
    <s v="SUPPORT SERVICE OPS SUPPLIES"/>
    <x v="53"/>
    <s v="903250"/>
    <s v="FE-2 Folded-Edge Tape Dispenser - H"/>
    <n v="481.73"/>
    <m/>
    <n v="0"/>
    <m/>
    <x v="6"/>
    <x v="283"/>
    <x v="148"/>
  </r>
  <r>
    <s v="100"/>
    <s v="BARRY KAPLE (I)"/>
    <s v="7834"/>
    <s v="ASSOCIATED PKG/FL TAMPA"/>
    <s v="739633"/>
    <s v="SUPPORT SERVICE OPS SUPPLIES"/>
    <x v="20"/>
    <s v="101072"/>
    <s v="FP 097 KFT-48mm x 55m-24 rls/cs-H/A"/>
    <n v="10543.74"/>
    <m/>
    <n v="13034.16"/>
    <m/>
    <x v="6"/>
    <x v="283"/>
    <x v="61"/>
  </r>
  <r>
    <s v="100"/>
    <s v="BARRY KAPLE (I)"/>
    <s v="7834"/>
    <s v="ASSOCIATED PKG/FL TAMPA"/>
    <s v="739633"/>
    <s v="SUPPORT SERVICE OPS SUPPLIES"/>
    <x v="3"/>
    <s v="208761"/>
    <s v="HP 100 CLR-72mm x 1371m-4 rls/cs-H/T"/>
    <m/>
    <n v="6322.31"/>
    <m/>
    <n v="31167.18"/>
    <x v="6"/>
    <x v="283"/>
    <x v="144"/>
  </r>
  <r>
    <s v="100"/>
    <s v="BARRY KAPLE (I)"/>
    <s v="7834"/>
    <s v="ASSOCIATED PKG/FL TAMPA"/>
    <s v="740447"/>
    <s v="HILEX POLY COMPANY"/>
    <x v="3"/>
    <s v="207142"/>
    <s v="HP 100 CLR-48mm x 100m-36 rls/cs-S"/>
    <n v="7569.94"/>
    <n v="5388.76"/>
    <n v="37198.800000000003"/>
    <n v="24799.200000000001"/>
    <x v="6"/>
    <x v="284"/>
    <x v="22"/>
  </r>
  <r>
    <s v="100"/>
    <s v="BARRY KAPLE (I)"/>
    <s v="7834"/>
    <s v="ASSOCIATED PKG/FL TAMPA"/>
    <s v="740447"/>
    <s v="HILEX POLY COMPANY"/>
    <x v="3"/>
    <s v="208453"/>
    <s v="HP 100 CLR-48mm x 914m-6 rls/cs-S"/>
    <n v="7470.14"/>
    <n v="15299.54"/>
    <n v="30222.720000000001"/>
    <n v="60445.440000000002"/>
    <x v="6"/>
    <x v="284"/>
    <x v="24"/>
  </r>
  <r>
    <s v="100"/>
    <s v="BARRY KAPLE (I)"/>
    <s v="7834"/>
    <s v="ASSOCIATED PKG/FL TAMPA"/>
    <s v="741354"/>
    <s v="MALLARD MANUFACTURING"/>
    <x v="3"/>
    <s v="208465"/>
    <s v="HP 100 CLR-72mm x 914m-4 rls/cs-S"/>
    <m/>
    <n v="3725.57"/>
    <m/>
    <n v="15111.36"/>
    <x v="6"/>
    <x v="285"/>
    <x v="69"/>
  </r>
  <r>
    <s v="100"/>
    <s v="BARRY KAPLE (I)"/>
    <s v="7834"/>
    <s v="ASSOCIATED PKG/FL TAMPA"/>
    <s v="741842"/>
    <s v="SAFARILAND LLC"/>
    <x v="54"/>
    <s v="105030"/>
    <s v="WP 150 RKSAF 70MMx183M(600FT)-10rl/cs-NS"/>
    <m/>
    <n v="3736.26"/>
    <m/>
    <n v="4590"/>
    <x v="6"/>
    <x v="286"/>
    <x v="149"/>
  </r>
  <r>
    <s v="100"/>
    <s v="BARRY KAPLE (I)"/>
    <s v="7834"/>
    <s v="ASSOCIATED PKG/FL TAMPA"/>
    <s v="742271"/>
    <s v="ADVANTUS CORPORATION"/>
    <x v="5"/>
    <s v="208558"/>
    <s v="HP 400 CLR-72mm x 914m-4 rls/cs-H/A"/>
    <n v="4814.25"/>
    <m/>
    <n v="11333.52"/>
    <m/>
    <x v="6"/>
    <x v="287"/>
    <x v="20"/>
  </r>
  <r>
    <s v="100"/>
    <s v="BARRY KAPLE (I)"/>
    <s v="7834"/>
    <s v="ASSOCIATED PKG/FL TAMPA"/>
    <s v="742832"/>
    <s v="24 SEVEN ENTERPRISES INC"/>
    <x v="5"/>
    <s v="208558"/>
    <s v="HP 400 CLR-72mm x 914m-4 rls/cs-H/A"/>
    <n v="4379.4399999999996"/>
    <n v="4828.51"/>
    <n v="11333.52"/>
    <n v="11333.717000000001"/>
    <x v="6"/>
    <x v="288"/>
    <x v="20"/>
  </r>
  <r>
    <s v="100"/>
    <s v="BARRY KAPLE (I)"/>
    <s v="7834"/>
    <s v="ASSOCIATED PKG/FL TAMPA"/>
    <s v="742841"/>
    <s v="PALMETTO CANNING"/>
    <x v="6"/>
    <s v="208532"/>
    <s v="HP 300 CLR-48mm x 914m-6 rls/cs-H"/>
    <m/>
    <n v="6652.8"/>
    <m/>
    <n v="12592.8"/>
    <x v="6"/>
    <x v="289"/>
    <x v="145"/>
  </r>
  <r>
    <s v="100"/>
    <s v="BARRY KAPLE (I)"/>
    <s v="7834"/>
    <s v="ASSOCIATED PKG/FL TAMPA"/>
    <s v="743045"/>
    <s v="MOTHER KOMBUCHA"/>
    <x v="4"/>
    <s v="178027"/>
    <s v="HP 235 CLR-48mm x 914m-6 rls/cs-H"/>
    <n v="1113.8699999999999"/>
    <m/>
    <n v="2518.56"/>
    <m/>
    <x v="6"/>
    <x v="290"/>
    <x v="102"/>
  </r>
  <r>
    <s v="100"/>
    <s v="BARRY KAPLE (I)"/>
    <s v="7834"/>
    <s v="ASSOCIATED PKG/FL TAMPA"/>
    <s v="743172"/>
    <s v="ATLAS EXPORT"/>
    <x v="50"/>
    <s v="120077"/>
    <s v="CP 066 NAT-24mm x 55m-36 rls/cs-H/A"/>
    <m/>
    <n v="5003.8500000000004"/>
    <m/>
    <n v="3409.8"/>
    <x v="6"/>
    <x v="291"/>
    <x v="150"/>
  </r>
  <r>
    <s v="100"/>
    <s v="BARRY KAPLE (I)"/>
    <s v="7834"/>
    <s v="ASSOCIATED PKG/FL TAMPA"/>
    <s v="743172"/>
    <s v="ATLAS EXPORT"/>
    <x v="50"/>
    <s v="172840"/>
    <s v="CP 066 NAT-24mm x 55m-36 rls/cs-X"/>
    <n v="3122.06"/>
    <m/>
    <n v="2273.1999999999998"/>
    <m/>
    <x v="6"/>
    <x v="291"/>
    <x v="151"/>
  </r>
  <r>
    <s v="100"/>
    <s v="BARRY KAPLE (I)"/>
    <s v="7834"/>
    <s v="ASSOCIATED PKG/FL TAMPA"/>
    <s v="743686"/>
    <s v="SOLAR CITY INC DBA THE LEVEREDGE"/>
    <x v="2"/>
    <s v="208496"/>
    <s v="HP 200 CLR-72mm x 914m-4 rls/cs-S"/>
    <m/>
    <n v="521.53"/>
    <m/>
    <n v="1888.92"/>
    <x v="6"/>
    <x v="292"/>
    <x v="5"/>
  </r>
  <r>
    <s v="100"/>
    <s v="BARRY KAPLE (I)"/>
    <s v="7834"/>
    <s v="ASSOCIATED PKG/FL TAMPA"/>
    <s v="743687"/>
    <s v="SOUTHERN WINE AND SPIRITS"/>
    <x v="2"/>
    <s v="208492"/>
    <s v="HP 200 CLR-48mm x 914m-6 rls/cs-S"/>
    <m/>
    <n v="3476.09"/>
    <m/>
    <n v="12592.8"/>
    <x v="6"/>
    <x v="293"/>
    <x v="6"/>
  </r>
  <r>
    <s v="100"/>
    <s v="BARRY KAPLE (I)"/>
    <s v="7834"/>
    <s v="ASSOCIATED PKG/FL TAMPA"/>
    <s v="744456"/>
    <s v="HANCOCK FARM &amp; SEED COMPANY"/>
    <x v="19"/>
    <s v="207775"/>
    <s v="HP 500 CLR-72mm x 50m-24 rls/cs-H/A"/>
    <m/>
    <n v="2157.4"/>
    <m/>
    <n v="2065.9699999999998"/>
    <x v="6"/>
    <x v="294"/>
    <x v="117"/>
  </r>
  <r>
    <s v="100"/>
    <s v="BARRY KAPLE (I)"/>
    <s v="7834"/>
    <s v="ASSOCIATED PKG/FL TAMPA"/>
    <s v="744456"/>
    <s v="HANCOCK FARM &amp; SEED COMPANY"/>
    <x v="19"/>
    <s v="208571"/>
    <s v="HP 500 CLR-72mm x 914m-4 rls/cs-S"/>
    <n v="5527.05"/>
    <m/>
    <n v="11333.630999999999"/>
    <m/>
    <x v="6"/>
    <x v="294"/>
    <x v="62"/>
  </r>
  <r>
    <s v="100"/>
    <s v="BARRY KAPLE (I)"/>
    <s v="7834"/>
    <s v="ASSOCIATED PKG/FL TAMPA"/>
    <s v="744968"/>
    <s v="ASSOCIATED PKG FOR SAFARILAND LLC"/>
    <x v="54"/>
    <s v="105030"/>
    <s v="WP 150 RKSAF 70MMx183M(600FT)-10rl/cs-NS"/>
    <n v="6636.17"/>
    <m/>
    <n v="9639"/>
    <m/>
    <x v="6"/>
    <x v="295"/>
    <x v="149"/>
  </r>
  <r>
    <s v="100"/>
    <s v="BARRY KAPLE (I)"/>
    <s v="7834"/>
    <s v="ASSOCIATED PKG/FL TAMPA"/>
    <s v="745701"/>
    <s v="FORMULATED SOLUTIONS"/>
    <x v="2"/>
    <s v="208492"/>
    <s v="HP 200 CLR-48mm x 914m-6 rls/cs-S"/>
    <n v="4182.71"/>
    <m/>
    <n v="15111.36"/>
    <m/>
    <x v="6"/>
    <x v="296"/>
    <x v="6"/>
  </r>
  <r>
    <s v="100"/>
    <s v="BARRY KAPLE (I)"/>
    <s v="7834"/>
    <s v="ASSOCIATED PKG/FL TAMPA"/>
    <s v="746057"/>
    <s v="COCA-COLA BEVERAGES FLORIDA"/>
    <x v="2"/>
    <s v="208496"/>
    <s v="HP 200 CLR-72mm x 914m-4 rls/cs-S"/>
    <m/>
    <n v="4172.25"/>
    <m/>
    <n v="15111.36"/>
    <x v="6"/>
    <x v="297"/>
    <x v="5"/>
  </r>
  <r>
    <s v="100"/>
    <s v="BARRY KAPLE (I)"/>
    <s v="7834"/>
    <s v="ASSOCIATED PKG/FL TAMPA"/>
    <s v="746140"/>
    <s v="ASSOCIATED FOR BADIA"/>
    <x v="3"/>
    <s v="208453"/>
    <s v="HP 100 CLR-48mm x 914m-6 rls/cs-S"/>
    <n v="3735.07"/>
    <m/>
    <n v="15111.36"/>
    <m/>
    <x v="6"/>
    <x v="298"/>
    <x v="24"/>
  </r>
  <r>
    <s v="100"/>
    <s v="BARRY KAPLE (I)"/>
    <s v="7834"/>
    <s v="ASSOCIATED PKG/FL TAMPA"/>
    <s v="746140"/>
    <s v="ASSOCIATED FOR BADIA"/>
    <x v="2"/>
    <s v="208492"/>
    <s v="HP 200 CLR-48mm x 914m-6 rls/cs-S"/>
    <n v="16730.84"/>
    <m/>
    <n v="60445.440000000002"/>
    <m/>
    <x v="6"/>
    <x v="298"/>
    <x v="6"/>
  </r>
  <r>
    <s v="100"/>
    <s v="BARRY KAPLE (I)"/>
    <s v="7834"/>
    <s v="ASSOCIATED PKG/FL TAMPA"/>
    <s v="746140"/>
    <s v="ASSOCIATED FOR BADIA"/>
    <x v="30"/>
    <s v="101688"/>
    <s v="WP 100 NAT-70mm x 153m(500ft)-6 rls/cs-H"/>
    <n v="147.72999999999999"/>
    <m/>
    <n v="230.55"/>
    <m/>
    <x v="6"/>
    <x v="298"/>
    <x v="80"/>
  </r>
  <r>
    <s v="100"/>
    <s v="BARRY KAPLE (I)"/>
    <s v="7834"/>
    <s v="ASSOCIATED PKG/FL TAMPA"/>
    <s v="747366"/>
    <s v="ROB BLANKENSHIP"/>
    <x v="20"/>
    <s v="101072"/>
    <s v="FP 097 KFT-48mm x 55m-24 rls/cs-H/A"/>
    <n v="95.04"/>
    <m/>
    <n v="151.56"/>
    <m/>
    <x v="6"/>
    <x v="299"/>
    <x v="61"/>
  </r>
  <r>
    <s v="100"/>
    <s v="BARRY KAPLE (I)"/>
    <s v="7834"/>
    <s v="ASSOCIATED PKG/FL TAMPA"/>
    <s v="750236"/>
    <s v="CHEMICAL DYNAMICS"/>
    <x v="4"/>
    <s v="178027"/>
    <s v="HP 235 CLR-48mm x 914m-6 rls/cs-H"/>
    <m/>
    <n v="1461.83"/>
    <m/>
    <n v="3148.2"/>
    <x v="6"/>
    <x v="300"/>
    <x v="102"/>
  </r>
  <r>
    <s v="100"/>
    <s v="BARRY KAPLE (I)"/>
    <s v="7834"/>
    <s v="ASSOCIATED PKG/FL TAMPA"/>
    <s v="751855"/>
    <s v="COMMERCIAL WAREHOUSING"/>
    <x v="2"/>
    <s v="100501"/>
    <s v="HP 200 CLR-36mm x 914m-8 rls/cs-H"/>
    <m/>
    <n v="369.55"/>
    <m/>
    <n v="629.62"/>
    <x v="6"/>
    <x v="301"/>
    <x v="152"/>
  </r>
  <r>
    <s v="100"/>
    <s v="BARRY KAPLE (I)"/>
    <s v="7834"/>
    <s v="ASSOCIATED PKG/FL TAMPA"/>
    <s v="751855"/>
    <s v="COMMERCIAL WAREHOUSING"/>
    <x v="2"/>
    <s v="207149"/>
    <s v="HP 200 CLR-48mm x 100m-36 rls/cs-S"/>
    <m/>
    <n v="844.67"/>
    <m/>
    <n v="3099.9"/>
    <x v="6"/>
    <x v="301"/>
    <x v="3"/>
  </r>
  <r>
    <s v="197"/>
    <s v="STEPHEN COBB (I)"/>
    <s v="7839"/>
    <s v="ASSOCIATED PKG/GA DOUGLASVILLE"/>
    <s v="7839"/>
    <s v="ASSOCIATED PKG/GA DOUGLASVILLE"/>
    <x v="0"/>
    <s v="231044"/>
    <s v="AP 180 CLR-48mm x 100m-36 rls/cs-H/A"/>
    <m/>
    <n v="805.46"/>
    <m/>
    <n v="4132.8"/>
    <x v="7"/>
    <x v="302"/>
    <x v="1"/>
  </r>
  <r>
    <s v="197"/>
    <s v="STEPHEN COBB (I)"/>
    <s v="7839"/>
    <s v="ASSOCIATED PKG/GA DOUGLASVILLE"/>
    <s v="7839"/>
    <s v="ASSOCIATED PKG/GA DOUGLASVILLE"/>
    <x v="0"/>
    <s v="231046"/>
    <s v="AP 180 CLR-48mm x 914m-6 rls/cs-H/A"/>
    <m/>
    <n v="1794.83"/>
    <m/>
    <n v="7555.4669999999996"/>
    <x v="7"/>
    <x v="302"/>
    <x v="140"/>
  </r>
  <r>
    <s v="197"/>
    <s v="STEPHEN COBB (I)"/>
    <s v="7839"/>
    <s v="ASSOCIATED PKG/GA DOUGLASVILLE"/>
    <s v="7839"/>
    <s v="ASSOCIATED PKG/GA DOUGLASVILLE"/>
    <x v="17"/>
    <s v="104675"/>
    <s v="FP 115 BRN-48mm x 55m-24 rls/cs-H"/>
    <m/>
    <n v="2194"/>
    <m/>
    <n v="1439.5920000000001"/>
    <x v="7"/>
    <x v="302"/>
    <x v="46"/>
  </r>
  <r>
    <s v="197"/>
    <s v="STEPHEN COBB (I)"/>
    <s v="7839"/>
    <s v="ASSOCIATED PKG/GA DOUGLASVILLE"/>
    <s v="7839"/>
    <s v="ASSOCIATED PKG/GA DOUGLASVILLE"/>
    <x v="10"/>
    <s v="909535"/>
    <s v="SD 935  PISTOL GRIP DISPNSR-3 IN. ROLL-S"/>
    <m/>
    <n v="66.53"/>
    <m/>
    <n v="0"/>
    <x v="7"/>
    <x v="302"/>
    <x v="33"/>
  </r>
  <r>
    <s v="197"/>
    <s v="STEPHEN COBB (I)"/>
    <s v="7839"/>
    <s v="ASSOCIATED PKG/GA DOUGLASVILLE"/>
    <s v="12662"/>
    <s v="LIFOAM"/>
    <x v="3"/>
    <s v="208761"/>
    <s v="HP 100 CLR-72mm x 1371m-4 rls/cs-H/T"/>
    <n v="14017.92"/>
    <m/>
    <n v="68001.119999999995"/>
    <m/>
    <x v="7"/>
    <x v="303"/>
    <x v="144"/>
  </r>
  <r>
    <s v="197"/>
    <s v="STEPHEN COBB (I)"/>
    <s v="7839"/>
    <s v="ASSOCIATED PKG/GA DOUGLASVILLE"/>
    <s v="23361"/>
    <s v="BRILL CSM BAKERY SOLUTION"/>
    <x v="20"/>
    <s v="101073"/>
    <s v="FP 097 KFT-72mm x 55m-16 rls/cs-H/A"/>
    <m/>
    <n v="2737.15"/>
    <m/>
    <n v="2273.4"/>
    <x v="7"/>
    <x v="304"/>
    <x v="81"/>
  </r>
  <r>
    <s v="197"/>
    <s v="STEPHEN COBB (I)"/>
    <s v="7839"/>
    <s v="ASSOCIATED PKG/GA DOUGLASVILLE"/>
    <s v="23361"/>
    <s v="BRILL CSM BAKERY SOLUTION"/>
    <x v="8"/>
    <s v="101229"/>
    <s v="GS 490 CLR-18mm x 55m-48 rls/cs-H/A"/>
    <n v="3773.08"/>
    <m/>
    <n v="3409.8"/>
    <m/>
    <x v="7"/>
    <x v="304"/>
    <x v="29"/>
  </r>
  <r>
    <s v="197"/>
    <s v="STEPHEN COBB (I)"/>
    <s v="7839"/>
    <s v="ASSOCIATED PKG/GA DOUGLASVILLE"/>
    <s v="25219"/>
    <s v="RAINBOW GOLD PRODUCTS INC."/>
    <x v="2"/>
    <s v="207149"/>
    <s v="HP 200 CLR-48mm x 100m-36 rls/cs-S"/>
    <m/>
    <n v="281.56"/>
    <m/>
    <n v="1033.3"/>
    <x v="7"/>
    <x v="305"/>
    <x v="3"/>
  </r>
  <r>
    <s v="197"/>
    <s v="STEPHEN COBB (I)"/>
    <s v="7839"/>
    <s v="ASSOCIATED PKG/GA DOUGLASVILLE"/>
    <s v="25219"/>
    <s v="RAINBOW GOLD PRODUCTS INC."/>
    <x v="2"/>
    <s v="208492"/>
    <s v="HP 200 CLR-48mm x 914m-6 rls/cs-S"/>
    <m/>
    <n v="869.02"/>
    <m/>
    <n v="3148.2"/>
    <x v="7"/>
    <x v="305"/>
    <x v="6"/>
  </r>
  <r>
    <s v="197"/>
    <s v="STEPHEN COBB (I)"/>
    <s v="7839"/>
    <s v="ASSOCIATED PKG/GA DOUGLASVILLE"/>
    <s v="44691"/>
    <s v="AUTOCHLOR SYSTEM"/>
    <x v="2"/>
    <s v="207149"/>
    <s v="HP 200 CLR-48mm x 100m-36 rls/cs-S"/>
    <n v="219.54"/>
    <n v="112.62"/>
    <n v="826.64"/>
    <n v="413.32"/>
    <x v="7"/>
    <x v="306"/>
    <x v="3"/>
  </r>
  <r>
    <s v="197"/>
    <s v="STEPHEN COBB (I)"/>
    <s v="7839"/>
    <s v="ASSOCIATED PKG/GA DOUGLASVILLE"/>
    <s v="44691"/>
    <s v="AUTOCHLOR SYSTEM"/>
    <x v="2"/>
    <s v="208511"/>
    <s v="HP 200 CLR-48mm x 1371m-6 rls/cs-S"/>
    <m/>
    <n v="1303.83"/>
    <m/>
    <n v="4722.3"/>
    <x v="7"/>
    <x v="306"/>
    <x v="4"/>
  </r>
  <r>
    <s v="197"/>
    <s v="STEPHEN COBB (I)"/>
    <s v="7839"/>
    <s v="ASSOCIATED PKG/GA DOUGLASVILLE"/>
    <s v="76267"/>
    <s v="THOMASTON MILLS"/>
    <x v="11"/>
    <s v="206932"/>
    <s v="CP 105 NAT-18mm x 55m-48 rls/cs-S"/>
    <m/>
    <n v="40.869999999999997"/>
    <m/>
    <n v="56.83"/>
    <x v="7"/>
    <x v="307"/>
    <x v="35"/>
  </r>
  <r>
    <s v="197"/>
    <s v="STEPHEN COBB (I)"/>
    <s v="7839"/>
    <s v="ASSOCIATED PKG/GA DOUGLASVILLE"/>
    <s v="76267"/>
    <s v="THOMASTON MILLS"/>
    <x v="3"/>
    <s v="207194"/>
    <s v="HP 100 CLR-72mm x 100m-24 rls/cs-S"/>
    <n v="4086.72"/>
    <n v="2580.33"/>
    <n v="16532.8"/>
    <n v="10333"/>
    <x v="7"/>
    <x v="307"/>
    <x v="50"/>
  </r>
  <r>
    <s v="197"/>
    <s v="STEPHEN COBB (I)"/>
    <s v="7839"/>
    <s v="ASSOCIATED PKG/GA DOUGLASVILLE"/>
    <s v="76267"/>
    <s v="THOMASTON MILLS"/>
    <x v="10"/>
    <s v="909535"/>
    <s v="SD 935  PISTOL GRIP DISPNSR-3 IN. ROLL-S"/>
    <n v="79.83"/>
    <m/>
    <n v="0"/>
    <m/>
    <x v="7"/>
    <x v="307"/>
    <x v="33"/>
  </r>
  <r>
    <s v="197"/>
    <s v="STEPHEN COBB (I)"/>
    <s v="7839"/>
    <s v="ASSOCIATED PKG/GA DOUGLASVILLE"/>
    <s v="76969"/>
    <s v="PACTIV CORPORATION"/>
    <x v="55"/>
    <s v="111951"/>
    <s v="CT 109 NAT- 12MM X 66M- 144 RLS/CS-H"/>
    <m/>
    <n v="501.81"/>
    <m/>
    <n v="550.16"/>
    <x v="7"/>
    <x v="308"/>
    <x v="153"/>
  </r>
  <r>
    <s v="197"/>
    <s v="STEPHEN COBB (I)"/>
    <s v="7839"/>
    <s v="ASSOCIATED PKG/GA DOUGLASVILLE"/>
    <s v="79379"/>
    <s v="TENAX MFG AL LLC"/>
    <x v="2"/>
    <s v="207149"/>
    <s v="HP 200 CLR-48mm x 100m-36 rls/cs-S"/>
    <n v="6265.51"/>
    <m/>
    <n v="24799.200000000001"/>
    <m/>
    <x v="7"/>
    <x v="309"/>
    <x v="3"/>
  </r>
  <r>
    <s v="197"/>
    <s v="STEPHEN COBB (I)"/>
    <s v="7839"/>
    <s v="ASSOCIATED PKG/GA DOUGLASVILLE"/>
    <s v="89656"/>
    <s v="INTERFACEFLOR LLC"/>
    <x v="2"/>
    <s v="207149"/>
    <s v="HP 200 CLR-48mm x 100m-36 rls/cs-S"/>
    <n v="337.87"/>
    <n v="591.62"/>
    <n v="1239.96"/>
    <n v="2066.6"/>
    <x v="7"/>
    <x v="310"/>
    <x v="3"/>
  </r>
  <r>
    <s v="197"/>
    <s v="STEPHEN COBB (I)"/>
    <s v="7839"/>
    <s v="ASSOCIATED PKG/GA DOUGLASVILLE"/>
    <s v="92229"/>
    <s v="INTERFACEFLOR LLC"/>
    <x v="2"/>
    <s v="207149"/>
    <s v="HP 200 CLR-48mm x 100m-36 rls/cs-S"/>
    <n v="3207.6"/>
    <m/>
    <n v="12399.6"/>
    <m/>
    <x v="7"/>
    <x v="311"/>
    <x v="3"/>
  </r>
  <r>
    <s v="197"/>
    <s v="STEPHEN COBB (I)"/>
    <s v="7839"/>
    <s v="ASSOCIATED PKG/GA DOUGLASVILLE"/>
    <s v="703436"/>
    <s v="INTERNATIONAL PAPER"/>
    <x v="20"/>
    <s v="101073"/>
    <s v="FP 097 KFT-72mm x 55m-16 rls/cs-H/A"/>
    <n v="151.75"/>
    <m/>
    <n v="151.56"/>
    <m/>
    <x v="7"/>
    <x v="312"/>
    <x v="81"/>
  </r>
  <r>
    <s v="197"/>
    <s v="STEPHEN COBB (I)"/>
    <s v="7839"/>
    <s v="ASSOCIATED PKG/GA DOUGLASVILLE"/>
    <s v="708579"/>
    <s v="HUHTAMAKI ANDALUSIA PLANT A7"/>
    <x v="3"/>
    <s v="208453"/>
    <s v="HP 100 CLR-48mm x 914m-6 rls/cs-S"/>
    <n v="8947.07"/>
    <n v="6363.88"/>
    <n v="45334.080000000002"/>
    <n v="30222.720000000001"/>
    <x v="7"/>
    <x v="313"/>
    <x v="24"/>
  </r>
  <r>
    <s v="197"/>
    <s v="STEPHEN COBB (I)"/>
    <s v="7839"/>
    <s v="ASSOCIATED PKG/GA DOUGLASVILLE"/>
    <s v="712280"/>
    <s v="VYTRON CORPORATION"/>
    <x v="8"/>
    <s v="101228"/>
    <s v="GS 490 CLR-12mm x 55m-72 rls/cs-H/A"/>
    <n v="727.06"/>
    <m/>
    <n v="568.29999999999995"/>
    <m/>
    <x v="7"/>
    <x v="179"/>
    <x v="106"/>
  </r>
  <r>
    <s v="197"/>
    <s v="STEPHEN COBB (I)"/>
    <s v="7839"/>
    <s v="ASSOCIATED PKG/GA DOUGLASVILLE"/>
    <s v="713244"/>
    <s v="ASSOCIATED PKG FOR GOLDEN STATE"/>
    <x v="4"/>
    <s v="104338"/>
    <s v="HP 235 CLR-72mm x 1371m-4 rls/cs-H"/>
    <n v="176950.85"/>
    <n v="32118.77"/>
    <n v="602578.24"/>
    <n v="102003.84"/>
    <x v="7"/>
    <x v="314"/>
    <x v="154"/>
  </r>
  <r>
    <s v="197"/>
    <s v="STEPHEN COBB (I)"/>
    <s v="7839"/>
    <s v="ASSOCIATED PKG/GA DOUGLASVILLE"/>
    <s v="717868"/>
    <s v="ALMA PAK INC"/>
    <x v="29"/>
    <s v="176748"/>
    <s v="HP 132 CLR-48mm x 914m-6 rls/cs-S"/>
    <n v="12950.15"/>
    <m/>
    <n v="45334.080000000002"/>
    <m/>
    <x v="7"/>
    <x v="315"/>
    <x v="88"/>
  </r>
  <r>
    <s v="197"/>
    <s v="STEPHEN COBB (I)"/>
    <s v="7839"/>
    <s v="ASSOCIATED PKG/GA DOUGLASVILLE"/>
    <s v="723353"/>
    <s v="EMMAUS FOODS"/>
    <x v="8"/>
    <s v="101229"/>
    <s v="GS 490 CLR-18mm x 55m-48 rls/cs-H/A"/>
    <n v="2010.09"/>
    <m/>
    <n v="1704.9"/>
    <m/>
    <x v="7"/>
    <x v="316"/>
    <x v="29"/>
  </r>
  <r>
    <s v="197"/>
    <s v="STEPHEN COBB (I)"/>
    <s v="7839"/>
    <s v="ASSOCIATED PKG/GA DOUGLASVILLE"/>
    <s v="723353"/>
    <s v="EMMAUS FOODS"/>
    <x v="3"/>
    <s v="195553"/>
    <s v="HP 100 CLR-53mm x 1500m-6 rls/cs-S"/>
    <n v="14350.8"/>
    <n v="15069.3"/>
    <n v="61612.487999999998"/>
    <n v="61612.487999999998"/>
    <x v="7"/>
    <x v="316"/>
    <x v="18"/>
  </r>
  <r>
    <s v="197"/>
    <s v="STEPHEN COBB (I)"/>
    <s v="7839"/>
    <s v="ASSOCIATED PKG/GA DOUGLASVILLE"/>
    <s v="730395"/>
    <s v="MAGNUM PRODUCTS"/>
    <x v="2"/>
    <s v="208492"/>
    <s v="HP 200 CLR-48mm x 914m-6 rls/cs-S"/>
    <n v="4043"/>
    <n v="4456.43"/>
    <n v="15111.36"/>
    <n v="15111.36"/>
    <x v="7"/>
    <x v="317"/>
    <x v="6"/>
  </r>
  <r>
    <s v="197"/>
    <s v="STEPHEN COBB (I)"/>
    <s v="7839"/>
    <s v="ASSOCIATED PKG/GA DOUGLASVILLE"/>
    <s v="733431"/>
    <s v="GENERIC ONE TIME SHIP-TO B2B DIST P"/>
    <x v="26"/>
    <s v="901623"/>
    <s v="50663 KNIFE GUARD ASSY RH"/>
    <m/>
    <n v="148.5"/>
    <m/>
    <n v="0"/>
    <x v="7"/>
    <x v="34"/>
    <x v="155"/>
  </r>
  <r>
    <s v="197"/>
    <s v="STEPHEN COBB (I)"/>
    <s v="7839"/>
    <s v="ASSOCIATED PKG/GA DOUGLASVILLE"/>
    <s v="733431"/>
    <s v="GENERIC ONE TIME SHIP-TO B2B DIST P"/>
    <x v="26"/>
    <s v="901624"/>
    <s v="50664 KNIFE GUARD ASSY LH"/>
    <m/>
    <n v="29.7"/>
    <m/>
    <n v="0"/>
    <x v="7"/>
    <x v="34"/>
    <x v="156"/>
  </r>
  <r>
    <s v="197"/>
    <s v="STEPHEN COBB (I)"/>
    <s v="7839"/>
    <s v="ASSOCIATED PKG/GA DOUGLASVILLE"/>
    <s v="733431"/>
    <s v="GENERIC ONE TIME SHIP-TO B2B DIST P"/>
    <x v="26"/>
    <s v="901801"/>
    <s v="50385 2&quot; RH/LH Hub"/>
    <m/>
    <n v="84.15"/>
    <m/>
    <n v="0"/>
    <x v="7"/>
    <x v="34"/>
    <x v="68"/>
  </r>
  <r>
    <s v="197"/>
    <s v="STEPHEN COBB (I)"/>
    <s v="7839"/>
    <s v="ASSOCIATED PKG/GA DOUGLASVILLE"/>
    <s v="733431"/>
    <s v="GENERIC ONE TIME SHIP-TO B2B DIST P"/>
    <x v="26"/>
    <s v="901884"/>
    <s v="50560 3&quot; RH CLUTCH ROLLER"/>
    <m/>
    <n v="259.87"/>
    <m/>
    <n v="0"/>
    <x v="7"/>
    <x v="34"/>
    <x v="157"/>
  </r>
  <r>
    <s v="197"/>
    <s v="STEPHEN COBB (I)"/>
    <s v="7839"/>
    <s v="ASSOCIATED PKG/GA DOUGLASVILLE"/>
    <s v="733431"/>
    <s v="GENERIC ONE TIME SHIP-TO B2B DIST P"/>
    <x v="26"/>
    <s v="901890"/>
    <s v="50386 3&quot; RH/LH HUB"/>
    <m/>
    <n v="623.70000000000005"/>
    <m/>
    <n v="0"/>
    <x v="7"/>
    <x v="34"/>
    <x v="158"/>
  </r>
  <r>
    <s v="197"/>
    <s v="STEPHEN COBB (I)"/>
    <s v="7839"/>
    <s v="ASSOCIATED PKG/GA DOUGLASVILLE"/>
    <s v="733431"/>
    <s v="GENERIC ONE TIME SHIP-TO B2B DIST P"/>
    <x v="26"/>
    <s v="901948"/>
    <s v="51194 51005 CUTTING CAM ASSY. 2&quot; RH"/>
    <m/>
    <n v="801.91"/>
    <m/>
    <n v="0"/>
    <x v="7"/>
    <x v="34"/>
    <x v="159"/>
  </r>
  <r>
    <s v="197"/>
    <s v="STEPHEN COBB (I)"/>
    <s v="7839"/>
    <s v="ASSOCIATED PKG/GA DOUGLASVILLE"/>
    <s v="733431"/>
    <s v="GENERIC ONE TIME SHIP-TO B2B DIST P"/>
    <x v="26"/>
    <s v="902377"/>
    <s v="50410 2&quot; HUB SHAFT"/>
    <m/>
    <n v="45.89"/>
    <m/>
    <n v="0"/>
    <x v="7"/>
    <x v="34"/>
    <x v="160"/>
  </r>
  <r>
    <s v="197"/>
    <s v="STEPHEN COBB (I)"/>
    <s v="7839"/>
    <s v="ASSOCIATED PKG/GA DOUGLASVILLE"/>
    <s v="733431"/>
    <s v="GENERIC ONE TIME SHIP-TO B2B DIST P"/>
    <x v="26"/>
    <s v="902378"/>
    <s v="50411 3&quot; HUB SHAFT"/>
    <m/>
    <n v="401.54"/>
    <m/>
    <n v="0"/>
    <x v="7"/>
    <x v="34"/>
    <x v="161"/>
  </r>
  <r>
    <s v="197"/>
    <s v="STEPHEN COBB (I)"/>
    <s v="7839"/>
    <s v="ASSOCIATED PKG/GA DOUGLASVILLE"/>
    <s v="734068"/>
    <s v="PHARMAVITE"/>
    <x v="3"/>
    <s v="195553"/>
    <s v="HP 100 CLR-53mm x 1500m-6 rls/cs-S"/>
    <n v="18531.25"/>
    <n v="19733.16"/>
    <n v="81009.012000000002"/>
    <n v="82149.983999999997"/>
    <x v="7"/>
    <x v="318"/>
    <x v="18"/>
  </r>
  <r>
    <s v="197"/>
    <s v="STEPHEN COBB (I)"/>
    <s v="7839"/>
    <s v="ASSOCIATED PKG/GA DOUGLASVILLE"/>
    <s v="736069"/>
    <s v="SUWANEE SPORTS ACADEMY"/>
    <x v="9"/>
    <s v="202810"/>
    <s v="VP 410 BLK- 50MM X 33M- 24 RLS/CS-H/T"/>
    <n v="738.94"/>
    <m/>
    <n v="473.6"/>
    <m/>
    <x v="7"/>
    <x v="319"/>
    <x v="32"/>
  </r>
  <r>
    <s v="197"/>
    <s v="STEPHEN COBB (I)"/>
    <s v="7839"/>
    <s v="ASSOCIATED PKG/GA DOUGLASVILLE"/>
    <s v="736673"/>
    <s v="CHEMSTAR CORP"/>
    <x v="4"/>
    <s v="101162"/>
    <s v="HP 235 CLR-72mm x 100m-24 rls/cs-H"/>
    <n v="1763"/>
    <n v="926.64"/>
    <n v="4128"/>
    <n v="2064"/>
    <x v="7"/>
    <x v="320"/>
    <x v="162"/>
  </r>
  <r>
    <s v="197"/>
    <s v="STEPHEN COBB (I)"/>
    <s v="7839"/>
    <s v="ASSOCIATED PKG/GA DOUGLASVILLE"/>
    <s v="737086"/>
    <s v="WALMART PHARMACY DISTRIBUTION"/>
    <x v="2"/>
    <s v="208498"/>
    <s v="HP 200 TAN-72mm x 914m-4 rls/cs-H"/>
    <n v="4233.08"/>
    <m/>
    <n v="15111.36"/>
    <m/>
    <x v="7"/>
    <x v="321"/>
    <x v="86"/>
  </r>
  <r>
    <s v="197"/>
    <s v="STEPHEN COBB (I)"/>
    <s v="7839"/>
    <s v="ASSOCIATED PKG/GA DOUGLASVILLE"/>
    <s v="740305"/>
    <s v="TOP FLIGHT"/>
    <x v="3"/>
    <s v="195553"/>
    <s v="HP 100 CLR-53mm x 1500m-6 rls/cs-S"/>
    <n v="4839.2"/>
    <n v="5080.84"/>
    <n v="20537.495999999999"/>
    <n v="20537.495999999999"/>
    <x v="7"/>
    <x v="322"/>
    <x v="18"/>
  </r>
  <r>
    <s v="197"/>
    <s v="STEPHEN COBB (I)"/>
    <s v="7839"/>
    <s v="ASSOCIATED PKG/GA DOUGLASVILLE"/>
    <s v="740889"/>
    <s v="FEEDING THE VALLEY FOOD BANK"/>
    <x v="3"/>
    <s v="207142"/>
    <s v="HP 100 CLR-48mm x 100m-36 rls/cs-S"/>
    <m/>
    <n v="320.76"/>
    <m/>
    <n v="1239.96"/>
    <x v="7"/>
    <x v="323"/>
    <x v="22"/>
  </r>
  <r>
    <s v="197"/>
    <s v="STEPHEN COBB (I)"/>
    <s v="7839"/>
    <s v="ASSOCIATED PKG/GA DOUGLASVILLE"/>
    <s v="741086"/>
    <s v="RAINBOW GOLD PRODUCTS"/>
    <x v="2"/>
    <s v="207149"/>
    <s v="HP 200 CLR-48mm x 100m-36 rls/cs-S"/>
    <m/>
    <n v="563.11"/>
    <m/>
    <n v="2066.6"/>
    <x v="7"/>
    <x v="324"/>
    <x v="3"/>
  </r>
  <r>
    <s v="197"/>
    <s v="STEPHEN COBB (I)"/>
    <s v="7839"/>
    <s v="ASSOCIATED PKG/GA DOUGLASVILLE"/>
    <s v="741086"/>
    <s v="RAINBOW GOLD PRODUCTS"/>
    <x v="2"/>
    <s v="208492"/>
    <s v="HP 200 CLR-48mm x 914m-6 rls/cs-S"/>
    <m/>
    <n v="869.02"/>
    <m/>
    <n v="3148.2"/>
    <x v="7"/>
    <x v="324"/>
    <x v="6"/>
  </r>
  <r>
    <s v="197"/>
    <s v="STEPHEN COBB (I)"/>
    <s v="7839"/>
    <s v="ASSOCIATED PKG/GA DOUGLASVILLE"/>
    <s v="742571"/>
    <s v="CARLEX GLASS COMPANY"/>
    <x v="17"/>
    <s v="104675"/>
    <s v="FP 115 BRN-48mm x 55m-24 rls/cs-H"/>
    <n v="841.58"/>
    <m/>
    <n v="606.14400000000001"/>
    <m/>
    <x v="7"/>
    <x v="325"/>
    <x v="46"/>
  </r>
  <r>
    <s v="197"/>
    <s v="STEPHEN COBB (I)"/>
    <s v="7839"/>
    <s v="ASSOCIATED PKG/GA DOUGLASVILLE"/>
    <s v="743554"/>
    <s v="DHM RIVER STREET WHSE 1"/>
    <x v="2"/>
    <s v="208492"/>
    <s v="HP 200 CLR-48mm x 914m-6 rls/cs-S"/>
    <n v="1020.73"/>
    <m/>
    <n v="3777.84"/>
    <m/>
    <x v="7"/>
    <x v="326"/>
    <x v="6"/>
  </r>
  <r>
    <s v="197"/>
    <s v="STEPHEN COBB (I)"/>
    <s v="7839"/>
    <s v="ASSOCIATED PKG/GA DOUGLASVILLE"/>
    <s v="746862"/>
    <s v="FILTERBUY"/>
    <x v="21"/>
    <s v="230959"/>
    <s v="AP 101 CLR-72mm x 100m-24 rls/cs-H/A"/>
    <n v="4561.92"/>
    <m/>
    <n v="24800.256000000001"/>
    <m/>
    <x v="7"/>
    <x v="327"/>
    <x v="163"/>
  </r>
  <r>
    <s v="197"/>
    <s v="STEPHEN COBB (I)"/>
    <s v="7839"/>
    <s v="ASSOCIATED PKG/GA DOUGLASVILLE"/>
    <s v="746903"/>
    <s v="ASSOCIATED PKG FOR FILTER BUY"/>
    <x v="21"/>
    <s v="230959"/>
    <s v="AP 101 CLR-72mm x 100m-24 rls/cs-H/A"/>
    <n v="9123.84"/>
    <m/>
    <n v="49600.512000000002"/>
    <m/>
    <x v="7"/>
    <x v="328"/>
    <x v="163"/>
  </r>
  <r>
    <s v="197"/>
    <s v="STEPHEN COBB (I)"/>
    <s v="7839"/>
    <s v="ASSOCIATED PKG/GA DOUGLASVILLE"/>
    <s v="747444"/>
    <s v="PFLUG PACKAGING"/>
    <x v="4"/>
    <s v="164654"/>
    <s v="HP 235 CLR-48mm x 1371m-6 rls/cs-S"/>
    <m/>
    <n v="24890.98"/>
    <m/>
    <n v="68005.440000000002"/>
    <x v="7"/>
    <x v="22"/>
    <x v="164"/>
  </r>
  <r>
    <s v="197"/>
    <s v="STEPHEN COBB (I)"/>
    <s v="7839"/>
    <s v="ASSOCIATED PKG/GA DOUGLASVILLE"/>
    <s v="747621"/>
    <s v="FILTERBUY ORLANDO"/>
    <x v="21"/>
    <s v="230959"/>
    <s v="AP 101 CLR-72mm x 100m-24 rls/cs-H/A"/>
    <n v="4419.3599999999997"/>
    <m/>
    <n v="24800.256000000001"/>
    <m/>
    <x v="7"/>
    <x v="329"/>
    <x v="163"/>
  </r>
  <r>
    <s v="197"/>
    <s v="STEPHEN COBB (I)"/>
    <s v="7839"/>
    <s v="ASSOCIATED PKG/GA DOUGLASVILLE"/>
    <s v="748147"/>
    <s v="LIFOAM"/>
    <x v="3"/>
    <s v="208761"/>
    <s v="HP 100 CLR-72mm x 1371m-4 rls/cs-H/T"/>
    <m/>
    <n v="7629.82"/>
    <m/>
    <n v="34000.559999999998"/>
    <x v="7"/>
    <x v="330"/>
    <x v="144"/>
  </r>
  <r>
    <s v="197"/>
    <s v="STEPHEN COBB (I)"/>
    <s v="7839"/>
    <s v="ASSOCIATED PKG/GA DOUGLASVILLE"/>
    <s v="750684"/>
    <s v="FILTERBUY PITTSBURG"/>
    <x v="21"/>
    <s v="230959"/>
    <s v="AP 101 CLR-72mm x 100m-24 rls/cs-H/A"/>
    <m/>
    <n v="7698.24"/>
    <m/>
    <n v="49600.512000000002"/>
    <x v="7"/>
    <x v="331"/>
    <x v="163"/>
  </r>
  <r>
    <s v="1069"/>
    <s v="THOMAS VAZQUEZ (I)"/>
    <s v="16650"/>
    <s v="ASSOCIATED PKG/TX MESQUITE"/>
    <s v="14140"/>
    <s v="ALLSTATES WAREHOUSE AND DIST (WFC)"/>
    <x v="19"/>
    <s v="207775"/>
    <s v="HP 500 CLR-72mm x 50m-24 rls/cs-H/A"/>
    <n v="15991.44"/>
    <n v="5616.86"/>
    <n v="36980.864999999998"/>
    <n v="12395.821"/>
    <x v="8"/>
    <x v="332"/>
    <x v="117"/>
  </r>
  <r>
    <s v="1069"/>
    <s v="THOMAS VAZQUEZ (I)"/>
    <s v="16650"/>
    <s v="ASSOCIATED PKG/TX MESQUITE"/>
    <s v="14140"/>
    <s v="ALLSTATES WAREHOUSE AND DIST (WFC)"/>
    <x v="19"/>
    <s v="208571"/>
    <s v="HP 500 CLR-72mm x 914m-4 rls/cs-S"/>
    <n v="140746.64000000001"/>
    <n v="261241.2"/>
    <n v="317341.66200000001"/>
    <n v="566681.54"/>
    <x v="8"/>
    <x v="332"/>
    <x v="62"/>
  </r>
  <r>
    <s v="1069"/>
    <s v="THOMAS VAZQUEZ (I)"/>
    <s v="16650"/>
    <s v="ASSOCIATED PKG/TX MESQUITE"/>
    <s v="16650"/>
    <s v="ASSOCIATED PKG/TX MESQUITE"/>
    <x v="0"/>
    <s v="231047"/>
    <s v="AP 180 CLR-48mm x 1371m-6 rls/cs-H"/>
    <n v="13381.87"/>
    <n v="5479.05"/>
    <n v="44862.42"/>
    <n v="18889.439999999999"/>
    <x v="8"/>
    <x v="333"/>
    <x v="165"/>
  </r>
  <r>
    <s v="1069"/>
    <s v="THOMAS VAZQUEZ (I)"/>
    <s v="16650"/>
    <s v="ASSOCIATED PKG/TX MESQUITE"/>
    <s v="16650"/>
    <s v="ASSOCIATED PKG/TX MESQUITE"/>
    <x v="3"/>
    <s v="195553"/>
    <s v="HP 100 CLR-53mm x 1500m-6 rls/cs-S"/>
    <n v="16067.35"/>
    <m/>
    <n v="79297.554000000004"/>
    <m/>
    <x v="8"/>
    <x v="333"/>
    <x v="18"/>
  </r>
  <r>
    <s v="1069"/>
    <s v="THOMAS VAZQUEZ (I)"/>
    <s v="16650"/>
    <s v="ASSOCIATED PKG/TX MESQUITE"/>
    <s v="16650"/>
    <s v="ASSOCIATED PKG/TX MESQUITE"/>
    <x v="3"/>
    <s v="207142"/>
    <s v="HP 100 CLR-48mm x 100m-36 rls/cs-S"/>
    <n v="8703.2800000000007"/>
    <n v="2951"/>
    <n v="37198.800000000003"/>
    <n v="12399.6"/>
    <x v="8"/>
    <x v="333"/>
    <x v="22"/>
  </r>
  <r>
    <s v="1069"/>
    <s v="THOMAS VAZQUEZ (I)"/>
    <s v="16650"/>
    <s v="ASSOCIATED PKG/TX MESQUITE"/>
    <s v="16650"/>
    <s v="ASSOCIATED PKG/TX MESQUITE"/>
    <x v="3"/>
    <s v="208453"/>
    <s v="HP 100 CLR-48mm x 914m-6 rls/cs-S"/>
    <n v="4201.96"/>
    <m/>
    <n v="17000.28"/>
    <m/>
    <x v="8"/>
    <x v="333"/>
    <x v="24"/>
  </r>
  <r>
    <s v="1069"/>
    <s v="THOMAS VAZQUEZ (I)"/>
    <s v="16650"/>
    <s v="ASSOCIATED PKG/TX MESQUITE"/>
    <s v="16650"/>
    <s v="ASSOCIATED PKG/TX MESQUITE"/>
    <x v="2"/>
    <s v="207149"/>
    <s v="HP 200 CLR-48mm x 100m-36 rls/cs-S"/>
    <n v="3639.56"/>
    <n v="3076.44"/>
    <n v="13639.56"/>
    <n v="10746.32"/>
    <x v="8"/>
    <x v="333"/>
    <x v="3"/>
  </r>
  <r>
    <s v="1069"/>
    <s v="THOMAS VAZQUEZ (I)"/>
    <s v="16650"/>
    <s v="ASSOCIATED PKG/TX MESQUITE"/>
    <s v="16650"/>
    <s v="ASSOCIATED PKG/TX MESQUITE"/>
    <x v="2"/>
    <s v="208492"/>
    <s v="HP 200 CLR-48mm x 914m-6 rls/cs-S"/>
    <n v="20452.55"/>
    <m/>
    <n v="74612.34"/>
    <m/>
    <x v="8"/>
    <x v="333"/>
    <x v="6"/>
  </r>
  <r>
    <s v="1069"/>
    <s v="THOMAS VAZQUEZ (I)"/>
    <s v="16650"/>
    <s v="ASSOCIATED PKG/TX MESQUITE"/>
    <s v="16650"/>
    <s v="ASSOCIATED PKG/TX MESQUITE"/>
    <x v="2"/>
    <s v="208511"/>
    <s v="HP 200 CLR-48mm x 1371m-6 rls/cs-S"/>
    <n v="1568.16"/>
    <n v="1564.6"/>
    <n v="5666.76"/>
    <n v="5666.76"/>
    <x v="8"/>
    <x v="333"/>
    <x v="4"/>
  </r>
  <r>
    <s v="1069"/>
    <s v="THOMAS VAZQUEZ (I)"/>
    <s v="16650"/>
    <s v="ASSOCIATED PKG/TX MESQUITE"/>
    <s v="16650"/>
    <s v="ASSOCIATED PKG/TX MESQUITE"/>
    <x v="2"/>
    <s v="208529"/>
    <s v="HP 200 CLR-72mm x 1371m-4 rls/cs-S"/>
    <n v="15927.51"/>
    <n v="7437.36"/>
    <n v="59500.98"/>
    <n v="25500.42"/>
    <x v="8"/>
    <x v="333"/>
    <x v="72"/>
  </r>
  <r>
    <s v="1069"/>
    <s v="THOMAS VAZQUEZ (I)"/>
    <s v="16650"/>
    <s v="ASSOCIATED PKG/TX MESQUITE"/>
    <s v="16650"/>
    <s v="ASSOCIATED PKG/TX MESQUITE"/>
    <x v="34"/>
    <s v="100053"/>
    <s v="HP 232 CLR-72mm x 914m-4 rls/cs-H/A"/>
    <n v="26907.72"/>
    <n v="10944.82"/>
    <n v="76186.44"/>
    <n v="30222.720000000001"/>
    <x v="8"/>
    <x v="333"/>
    <x v="139"/>
  </r>
  <r>
    <s v="1069"/>
    <s v="THOMAS VAZQUEZ (I)"/>
    <s v="16650"/>
    <s v="ASSOCIATED PKG/TX MESQUITE"/>
    <s v="16650"/>
    <s v="ASSOCIATED PKG/TX MESQUITE"/>
    <x v="34"/>
    <s v="100962"/>
    <s v="HP 232 CLR-48mm x 914m-6 rls/cs-H/A"/>
    <n v="1575.05"/>
    <n v="1137.5"/>
    <n v="4407.4799999999996"/>
    <n v="3148.2"/>
    <x v="8"/>
    <x v="333"/>
    <x v="94"/>
  </r>
  <r>
    <s v="1069"/>
    <s v="THOMAS VAZQUEZ (I)"/>
    <s v="16650"/>
    <s v="ASSOCIATED PKG/TX MESQUITE"/>
    <s v="16650"/>
    <s v="ASSOCIATED PKG/TX MESQUITE"/>
    <x v="6"/>
    <s v="208532"/>
    <s v="HP 300 CLR-48mm x 914m-6 rls/cs-H"/>
    <n v="2258.9899999999998"/>
    <n v="1296.3399999999999"/>
    <n v="4407.4799999999996"/>
    <n v="2518.56"/>
    <x v="8"/>
    <x v="333"/>
    <x v="145"/>
  </r>
  <r>
    <s v="1069"/>
    <s v="THOMAS VAZQUEZ (I)"/>
    <s v="16650"/>
    <s v="ASSOCIATED PKG/TX MESQUITE"/>
    <s v="16650"/>
    <s v="ASSOCIATED PKG/TX MESQUITE"/>
    <x v="10"/>
    <s v="909535"/>
    <s v="SD 935  PISTOL GRIP DISPNSR-3 IN. ROLL-S"/>
    <n v="93.14"/>
    <m/>
    <n v="0"/>
    <m/>
    <x v="8"/>
    <x v="333"/>
    <x v="33"/>
  </r>
  <r>
    <s v="1069"/>
    <s v="THOMAS VAZQUEZ (I)"/>
    <s v="16650"/>
    <s v="ASSOCIATED PKG/TX MESQUITE"/>
    <s v="16650"/>
    <s v="ASSOCIATED PKG/TX MESQUITE"/>
    <x v="30"/>
    <s v="101686"/>
    <s v="WP 100 NAT-72mmx138m(450ft)-10rls/cs-H/A"/>
    <n v="668.25"/>
    <n v="718.74"/>
    <n v="1188.3"/>
    <n v="1188.3"/>
    <x v="8"/>
    <x v="333"/>
    <x v="166"/>
  </r>
  <r>
    <s v="1069"/>
    <s v="THOMAS VAZQUEZ (I)"/>
    <s v="16650"/>
    <s v="ASSOCIATED PKG/TX MESQUITE"/>
    <s v="17302"/>
    <s v="ATKINSON CANDY"/>
    <x v="2"/>
    <s v="208511"/>
    <s v="HP 200 CLR-48mm x 1371m-6 rls/cs-S"/>
    <n v="2986.63"/>
    <m/>
    <n v="11333.52"/>
    <m/>
    <x v="8"/>
    <x v="334"/>
    <x v="4"/>
  </r>
  <r>
    <s v="1069"/>
    <s v="THOMAS VAZQUEZ (I)"/>
    <s v="16650"/>
    <s v="ASSOCIATED PKG/TX MESQUITE"/>
    <s v="17302"/>
    <s v="ATKINSON CANDY"/>
    <x v="38"/>
    <s v="124152"/>
    <s v="HP 240 WR STOP-48mm x 100m-36 rls/cs-H"/>
    <n v="550.28"/>
    <m/>
    <n v="826.68"/>
    <m/>
    <x v="8"/>
    <x v="334"/>
    <x v="167"/>
  </r>
  <r>
    <s v="1069"/>
    <s v="THOMAS VAZQUEZ (I)"/>
    <s v="16650"/>
    <s v="ASSOCIATED PKG/TX MESQUITE"/>
    <s v="33511"/>
    <s v="EBAA IRON"/>
    <x v="2"/>
    <s v="207149"/>
    <s v="HP 200 CLR-48mm x 100m-36 rls/cs-S"/>
    <n v="2252.4499999999998"/>
    <n v="2252.4499999999998"/>
    <n v="8266.4"/>
    <n v="8266.4"/>
    <x v="8"/>
    <x v="335"/>
    <x v="3"/>
  </r>
  <r>
    <s v="1069"/>
    <s v="THOMAS VAZQUEZ (I)"/>
    <s v="16650"/>
    <s v="ASSOCIATED PKG/TX MESQUITE"/>
    <s v="34135"/>
    <s v="CTI FOODS-BEAN PLANT"/>
    <x v="26"/>
    <s v="901788"/>
    <s v="10469 KNIFE-T"/>
    <n v="115.51"/>
    <m/>
    <n v="0"/>
    <m/>
    <x v="8"/>
    <x v="336"/>
    <x v="168"/>
  </r>
  <r>
    <s v="1069"/>
    <s v="THOMAS VAZQUEZ (I)"/>
    <s v="16650"/>
    <s v="ASSOCIATED PKG/TX MESQUITE"/>
    <s v="78143"/>
    <s v="CTI FOODS/ SOUP"/>
    <x v="2"/>
    <s v="136221"/>
    <s v="HP 200 ORG-48mm x 914m-6 rls/cs-H"/>
    <n v="7601.3"/>
    <m/>
    <n v="15111.36"/>
    <m/>
    <x v="8"/>
    <x v="337"/>
    <x v="13"/>
  </r>
  <r>
    <s v="1069"/>
    <s v="THOMAS VAZQUEZ (I)"/>
    <s v="16650"/>
    <s v="ASSOCIATED PKG/TX MESQUITE"/>
    <s v="78143"/>
    <s v="CTI FOODS/ SOUP"/>
    <x v="38"/>
    <s v="183220"/>
    <s v="HP 240 WR STOP-48mm x 914m-6 rls/cs-H"/>
    <m/>
    <n v="5110.78"/>
    <m/>
    <n v="7555.68"/>
    <x v="8"/>
    <x v="337"/>
    <x v="104"/>
  </r>
  <r>
    <s v="1069"/>
    <s v="THOMAS VAZQUEZ (I)"/>
    <s v="16650"/>
    <s v="ASSOCIATED PKG/TX MESQUITE"/>
    <s v="704147"/>
    <s v="BERRY GLOBAL FILMS"/>
    <x v="2"/>
    <s v="208496"/>
    <s v="HP 200 CLR-72mm x 914m-4 rls/cs-S"/>
    <n v="15903.98"/>
    <n v="16901.919999999998"/>
    <n v="60445.440000000002"/>
    <n v="60445.440000000002"/>
    <x v="8"/>
    <x v="338"/>
    <x v="5"/>
  </r>
  <r>
    <s v="1069"/>
    <s v="THOMAS VAZQUEZ (I)"/>
    <s v="16650"/>
    <s v="ASSOCIATED PKG/TX MESQUITE"/>
    <s v="706088"/>
    <s v="CARLISLE COATINGS"/>
    <x v="2"/>
    <s v="208496"/>
    <s v="HP 200 CLR-72mm x 914m-4 rls/cs-S"/>
    <n v="4181.76"/>
    <m/>
    <n v="15111.36"/>
    <m/>
    <x v="8"/>
    <x v="339"/>
    <x v="5"/>
  </r>
  <r>
    <s v="1069"/>
    <s v="THOMAS VAZQUEZ (I)"/>
    <s v="16650"/>
    <s v="ASSOCIATED PKG/TX MESQUITE"/>
    <s v="707406"/>
    <s v="ASSOCIATED PACKAGING - OK OKC"/>
    <x v="56"/>
    <s v="230970"/>
    <s v="AP 015 CLR-96mm x 66m-18 rls/cs-H"/>
    <n v="422.69"/>
    <n v="460.46"/>
    <n v="1091.232"/>
    <n v="1091.232"/>
    <x v="8"/>
    <x v="340"/>
    <x v="169"/>
  </r>
  <r>
    <s v="1069"/>
    <s v="THOMAS VAZQUEZ (I)"/>
    <s v="16650"/>
    <s v="ASSOCIATED PKG/TX MESQUITE"/>
    <s v="707406"/>
    <s v="ASSOCIATED PACKAGING - OK OKC"/>
    <x v="11"/>
    <s v="113699"/>
    <s v="CP 105 NAT-72mm x 55m-16 rls/cs-H"/>
    <m/>
    <n v="149.69"/>
    <m/>
    <n v="227.34"/>
    <x v="8"/>
    <x v="340"/>
    <x v="56"/>
  </r>
  <r>
    <s v="1069"/>
    <s v="THOMAS VAZQUEZ (I)"/>
    <s v="16650"/>
    <s v="ASSOCIATED PKG/TX MESQUITE"/>
    <s v="707406"/>
    <s v="ASSOCIATED PACKAGING - OK OKC"/>
    <x v="11"/>
    <s v="117481"/>
    <s v="CP 105 NAT-12mm x 55m-72 rls/cs-H"/>
    <n v="222.39"/>
    <n v="387.76"/>
    <n v="397.81"/>
    <n v="454.64"/>
    <x v="8"/>
    <x v="340"/>
    <x v="170"/>
  </r>
  <r>
    <s v="1069"/>
    <s v="THOMAS VAZQUEZ (I)"/>
    <s v="16650"/>
    <s v="ASSOCIATED PKG/TX MESQUITE"/>
    <s v="707406"/>
    <s v="ASSOCIATED PACKAGING - OK OKC"/>
    <x v="11"/>
    <s v="140431"/>
    <s v="CP 105 NAT-24mm x 55m- 36 rls/cs-S"/>
    <n v="249.48"/>
    <n v="77.7"/>
    <n v="511.47"/>
    <n v="113.66"/>
    <x v="8"/>
    <x v="340"/>
    <x v="49"/>
  </r>
  <r>
    <s v="1069"/>
    <s v="THOMAS VAZQUEZ (I)"/>
    <s v="16650"/>
    <s v="ASSOCIATED PKG/TX MESQUITE"/>
    <s v="707406"/>
    <s v="ASSOCIATED PACKAGING - OK OKC"/>
    <x v="20"/>
    <s v="100055"/>
    <s v="FP 097 KFT-48mm x 50m-24 rls/cs-H"/>
    <m/>
    <n v="100.5"/>
    <m/>
    <n v="68.89"/>
    <x v="8"/>
    <x v="340"/>
    <x v="53"/>
  </r>
  <r>
    <s v="1069"/>
    <s v="THOMAS VAZQUEZ (I)"/>
    <s v="16650"/>
    <s v="ASSOCIATED PKG/TX MESQUITE"/>
    <s v="707406"/>
    <s v="ASSOCIATED PACKAGING - OK OKC"/>
    <x v="8"/>
    <s v="101219"/>
    <s v="GS 490 CLR-24mm x 55m-36 rls/cs-H/A"/>
    <n v="255.18"/>
    <n v="786.93"/>
    <n v="227.32"/>
    <n v="681.96"/>
    <x v="8"/>
    <x v="340"/>
    <x v="122"/>
  </r>
  <r>
    <s v="1069"/>
    <s v="THOMAS VAZQUEZ (I)"/>
    <s v="16650"/>
    <s v="ASSOCIATED PKG/TX MESQUITE"/>
    <s v="707406"/>
    <s v="ASSOCIATED PACKAGING - OK OKC"/>
    <x v="8"/>
    <s v="101229"/>
    <s v="GS 490 CLR-18mm x 55m-48 rls/cs-H/A"/>
    <n v="67"/>
    <m/>
    <n v="56.83"/>
    <m/>
    <x v="8"/>
    <x v="340"/>
    <x v="29"/>
  </r>
  <r>
    <s v="1069"/>
    <s v="THOMAS VAZQUEZ (I)"/>
    <s v="16650"/>
    <s v="ASSOCIATED PKG/TX MESQUITE"/>
    <s v="707406"/>
    <s v="ASSOCIATED PACKAGING - OK OKC"/>
    <x v="8"/>
    <s v="101230"/>
    <s v="GS 490 CLR-48mm x 55m-24 rls/cs-H/A"/>
    <n v="3262.49"/>
    <n v="1094.8599999999999"/>
    <n v="2955.42"/>
    <n v="909.36"/>
    <x v="8"/>
    <x v="340"/>
    <x v="70"/>
  </r>
  <r>
    <s v="1069"/>
    <s v="THOMAS VAZQUEZ (I)"/>
    <s v="16650"/>
    <s v="ASSOCIATED PKG/TX MESQUITE"/>
    <s v="707406"/>
    <s v="ASSOCIATED PACKAGING - OK OKC"/>
    <x v="3"/>
    <s v="207142"/>
    <s v="HP 100 CLR-48mm x 100m-36 rls/cs-S"/>
    <n v="3301.33"/>
    <n v="3100.68"/>
    <n v="13639.56"/>
    <n v="12399.6"/>
    <x v="8"/>
    <x v="340"/>
    <x v="22"/>
  </r>
  <r>
    <s v="1069"/>
    <s v="THOMAS VAZQUEZ (I)"/>
    <s v="16650"/>
    <s v="ASSOCIATED PKG/TX MESQUITE"/>
    <s v="707406"/>
    <s v="ASSOCIATED PACKAGING - OK OKC"/>
    <x v="3"/>
    <s v="207194"/>
    <s v="HP 100 CLR-72mm x 100m-24 rls/cs-S"/>
    <n v="4137.8"/>
    <n v="4394.41"/>
    <n v="16739.46"/>
    <n v="17566.099999999999"/>
    <x v="8"/>
    <x v="340"/>
    <x v="50"/>
  </r>
  <r>
    <s v="1069"/>
    <s v="THOMAS VAZQUEZ (I)"/>
    <s v="16650"/>
    <s v="ASSOCIATED PKG/TX MESQUITE"/>
    <s v="707406"/>
    <s v="ASSOCIATED PACKAGING - OK OKC"/>
    <x v="2"/>
    <s v="207149"/>
    <s v="HP 200 CLR-48mm x 100m-36 rls/cs-S"/>
    <n v="3772.85"/>
    <n v="6701.03"/>
    <n v="13846.22"/>
    <n v="24592.54"/>
    <x v="8"/>
    <x v="340"/>
    <x v="3"/>
  </r>
  <r>
    <s v="1069"/>
    <s v="THOMAS VAZQUEZ (I)"/>
    <s v="16650"/>
    <s v="ASSOCIATED PKG/TX MESQUITE"/>
    <s v="707406"/>
    <s v="ASSOCIATED PACKAGING - OK OKC"/>
    <x v="2"/>
    <s v="207233"/>
    <s v="HP 200 CLR-72mm x 100m-24 rls/cs-S"/>
    <n v="17191.78"/>
    <n v="6438.97"/>
    <n v="67371.16"/>
    <n v="24592.54"/>
    <x v="8"/>
    <x v="340"/>
    <x v="28"/>
  </r>
  <r>
    <s v="1069"/>
    <s v="THOMAS VAZQUEZ (I)"/>
    <s v="16650"/>
    <s v="ASSOCIATED PKG/TX MESQUITE"/>
    <s v="707406"/>
    <s v="ASSOCIATED PACKAGING - OK OKC"/>
    <x v="2"/>
    <s v="208429"/>
    <s v="HP 200 CLR-48mm x 200m-36 rls/cs-H"/>
    <n v="377.43"/>
    <n v="1162.93"/>
    <n v="1239.99"/>
    <n v="3719.97"/>
    <x v="8"/>
    <x v="340"/>
    <x v="171"/>
  </r>
  <r>
    <s v="1069"/>
    <s v="THOMAS VAZQUEZ (I)"/>
    <s v="16650"/>
    <s v="ASSOCIATED PKG/TX MESQUITE"/>
    <s v="707406"/>
    <s v="ASSOCIATED PACKAGING - OK OKC"/>
    <x v="2"/>
    <s v="208496"/>
    <s v="HP 200 CLR-72mm x 914m-4 rls/cs-S"/>
    <n v="1045.44"/>
    <m/>
    <n v="3777.84"/>
    <m/>
    <x v="8"/>
    <x v="340"/>
    <x v="5"/>
  </r>
  <r>
    <s v="1069"/>
    <s v="THOMAS VAZQUEZ (I)"/>
    <s v="16650"/>
    <s v="ASSOCIATED PKG/TX MESQUITE"/>
    <s v="707406"/>
    <s v="ASSOCIATED PACKAGING - OK OKC"/>
    <x v="2"/>
    <s v="208511"/>
    <s v="HP 200 CLR-48mm x 1371m-6 rls/cs-S"/>
    <n v="6141.96"/>
    <n v="4254.24"/>
    <n v="22194.81"/>
    <n v="15111.36"/>
    <x v="8"/>
    <x v="340"/>
    <x v="4"/>
  </r>
  <r>
    <s v="1069"/>
    <s v="THOMAS VAZQUEZ (I)"/>
    <s v="16650"/>
    <s v="ASSOCIATED PKG/TX MESQUITE"/>
    <s v="707406"/>
    <s v="ASSOCIATED PACKAGING - OK OKC"/>
    <x v="6"/>
    <s v="208532"/>
    <s v="HP 300 CLR-48mm x 914m-6 rls/cs-H"/>
    <n v="3690.24"/>
    <n v="2302.83"/>
    <n v="7240.86"/>
    <n v="4407.4799999999996"/>
    <x v="8"/>
    <x v="340"/>
    <x v="145"/>
  </r>
  <r>
    <s v="1069"/>
    <s v="THOMAS VAZQUEZ (I)"/>
    <s v="16650"/>
    <s v="ASSOCIATED PKG/TX MESQUITE"/>
    <s v="707406"/>
    <s v="ASSOCIATED PACKAGING - OK OKC"/>
    <x v="19"/>
    <s v="200667"/>
    <s v="HP 500 CLR-48mm x 100m-36 rls/cs-H"/>
    <m/>
    <n v="2741.43"/>
    <m/>
    <n v="2480.04"/>
    <x v="8"/>
    <x v="340"/>
    <x v="172"/>
  </r>
  <r>
    <s v="1069"/>
    <s v="THOMAS VAZQUEZ (I)"/>
    <s v="16650"/>
    <s v="ASSOCIATED PKG/TX MESQUITE"/>
    <s v="708669"/>
    <s v="ASSOCIATED PACKAGING - TX MESQUITE"/>
    <x v="57"/>
    <s v="202420"/>
    <s v="PP 808 RED- 9MM X 165M- 96 RLS/CS-H/A"/>
    <n v="210.04"/>
    <m/>
    <n v="170.5"/>
    <m/>
    <x v="8"/>
    <x v="341"/>
    <x v="173"/>
  </r>
  <r>
    <s v="1069"/>
    <s v="THOMAS VAZQUEZ (I)"/>
    <s v="16650"/>
    <s v="ASSOCIATED PKG/TX MESQUITE"/>
    <s v="711257"/>
    <s v="REGIONAL FOOD BANK"/>
    <x v="2"/>
    <s v="207149"/>
    <s v="HP 200 CLR-48mm x 100m-36 rls/cs-S"/>
    <n v="3057.91"/>
    <n v="3207.6"/>
    <n v="12399.6"/>
    <n v="12399.6"/>
    <x v="8"/>
    <x v="342"/>
    <x v="3"/>
  </r>
  <r>
    <s v="1069"/>
    <s v="THOMAS VAZQUEZ (I)"/>
    <s v="16650"/>
    <s v="ASSOCIATED PKG/TX MESQUITE"/>
    <s v="712872"/>
    <s v="CENTURY  FITNESS"/>
    <x v="11"/>
    <s v="113699"/>
    <s v="CP 105 NAT-72mm x 55m-16 rls/cs-H"/>
    <n v="139.71"/>
    <m/>
    <n v="227.34"/>
    <m/>
    <x v="8"/>
    <x v="343"/>
    <x v="56"/>
  </r>
  <r>
    <s v="1069"/>
    <s v="THOMAS VAZQUEZ (I)"/>
    <s v="16650"/>
    <s v="ASSOCIATED PKG/TX MESQUITE"/>
    <s v="714327"/>
    <s v="ASSOCIATED PKG FOR STANDARD MEAT"/>
    <x v="0"/>
    <s v="231047"/>
    <s v="AP 180 CLR-48mm x 1371m-6 rls/cs-H"/>
    <n v="5136.91"/>
    <m/>
    <n v="18889.439999999999"/>
    <m/>
    <x v="8"/>
    <x v="344"/>
    <x v="165"/>
  </r>
  <r>
    <s v="1069"/>
    <s v="THOMAS VAZQUEZ (I)"/>
    <s v="16650"/>
    <s v="ASSOCIATED PKG/TX MESQUITE"/>
    <s v="719128"/>
    <s v="DANCO"/>
    <x v="2"/>
    <s v="208496"/>
    <s v="HP 200 CLR-72mm x 914m-4 rls/cs-S"/>
    <n v="5073.24"/>
    <m/>
    <n v="15111.36"/>
    <m/>
    <x v="8"/>
    <x v="345"/>
    <x v="5"/>
  </r>
  <r>
    <s v="1069"/>
    <s v="THOMAS VAZQUEZ (I)"/>
    <s v="16650"/>
    <s v="ASSOCIATED PKG/TX MESQUITE"/>
    <s v="721955"/>
    <s v="MARCO INDUSTRIES"/>
    <x v="0"/>
    <s v="231044"/>
    <s v="AP 180 CLR-48mm x 100m-36 rls/cs-H/A"/>
    <m/>
    <n v="5132.16"/>
    <m/>
    <n v="24796.799999999999"/>
    <x v="8"/>
    <x v="346"/>
    <x v="1"/>
  </r>
  <r>
    <s v="1069"/>
    <s v="THOMAS VAZQUEZ (I)"/>
    <s v="16650"/>
    <s v="ASSOCIATED PKG/TX MESQUITE"/>
    <s v="721955"/>
    <s v="MARCO INDUSTRIES"/>
    <x v="0"/>
    <s v="231045"/>
    <s v="AP 180 CLR-72mm x 100m-24 rls/cs-H/A"/>
    <n v="9451.73"/>
    <m/>
    <n v="37200.383999999998"/>
    <m/>
    <x v="8"/>
    <x v="346"/>
    <x v="58"/>
  </r>
  <r>
    <s v="1069"/>
    <s v="THOMAS VAZQUEZ (I)"/>
    <s v="16650"/>
    <s v="ASSOCIATED PKG/TX MESQUITE"/>
    <s v="724897"/>
    <s v="DAISY BRAND"/>
    <x v="3"/>
    <s v="207142"/>
    <s v="HP 100 CLR-48mm x 100m-36 rls/cs-S"/>
    <n v="96.94"/>
    <m/>
    <n v="413.32"/>
    <m/>
    <x v="8"/>
    <x v="347"/>
    <x v="22"/>
  </r>
  <r>
    <s v="1069"/>
    <s v="THOMAS VAZQUEZ (I)"/>
    <s v="16650"/>
    <s v="ASSOCIATED PKG/TX MESQUITE"/>
    <s v="724897"/>
    <s v="DAISY BRAND"/>
    <x v="3"/>
    <s v="208453"/>
    <s v="HP 100 CLR-48mm x 914m-6 rls/cs-S"/>
    <n v="3034.74"/>
    <m/>
    <n v="12277.98"/>
    <m/>
    <x v="8"/>
    <x v="347"/>
    <x v="24"/>
  </r>
  <r>
    <s v="1069"/>
    <s v="THOMAS VAZQUEZ (I)"/>
    <s v="16650"/>
    <s v="ASSOCIATED PKG/TX MESQUITE"/>
    <s v="728225"/>
    <s v="REDBARN PET PRODUCTS"/>
    <x v="2"/>
    <s v="207149"/>
    <s v="HP 200 CLR-48mm x 100m-36 rls/cs-S"/>
    <n v="3271.75"/>
    <n v="3186.22"/>
    <n v="14052.88"/>
    <n v="12399.6"/>
    <x v="8"/>
    <x v="348"/>
    <x v="3"/>
  </r>
  <r>
    <s v="1069"/>
    <s v="THOMAS VAZQUEZ (I)"/>
    <s v="16650"/>
    <s v="ASSOCIATED PKG/TX MESQUITE"/>
    <s v="728225"/>
    <s v="REDBARN PET PRODUCTS"/>
    <x v="2"/>
    <s v="207233"/>
    <s v="HP 200 CLR-72mm x 100m-24 rls/cs-S"/>
    <n v="3279.83"/>
    <n v="3193.34"/>
    <n v="14052.88"/>
    <n v="12399.6"/>
    <x v="8"/>
    <x v="348"/>
    <x v="28"/>
  </r>
  <r>
    <s v="1069"/>
    <s v="THOMAS VAZQUEZ (I)"/>
    <s v="16650"/>
    <s v="ASSOCIATED PKG/TX MESQUITE"/>
    <s v="728225"/>
    <s v="REDBARN PET PRODUCTS"/>
    <x v="2"/>
    <s v="208492"/>
    <s v="HP 200 CLR-48mm x 914m-6 rls/cs-S"/>
    <n v="4470.2"/>
    <m/>
    <n v="17629.919999999998"/>
    <m/>
    <x v="8"/>
    <x v="348"/>
    <x v="6"/>
  </r>
  <r>
    <s v="1069"/>
    <s v="THOMAS VAZQUEZ (I)"/>
    <s v="16650"/>
    <s v="ASSOCIATED PKG/TX MESQUITE"/>
    <s v="728225"/>
    <s v="REDBARN PET PRODUCTS"/>
    <x v="2"/>
    <s v="208496"/>
    <s v="HP 200 CLR-72mm x 914m-4 rls/cs-S"/>
    <n v="3624.83"/>
    <m/>
    <n v="15111.36"/>
    <m/>
    <x v="8"/>
    <x v="348"/>
    <x v="5"/>
  </r>
  <r>
    <s v="1069"/>
    <s v="THOMAS VAZQUEZ (I)"/>
    <s v="16650"/>
    <s v="ASSOCIATED PKG/TX MESQUITE"/>
    <s v="729126"/>
    <s v="CARGILL MEAT"/>
    <x v="34"/>
    <s v="100962"/>
    <s v="HP 232 CLR-48mm x 914m-6 rls/cs-H/A"/>
    <m/>
    <n v="4095.04"/>
    <m/>
    <n v="11333.52"/>
    <x v="8"/>
    <x v="349"/>
    <x v="94"/>
  </r>
  <r>
    <s v="1069"/>
    <s v="THOMAS VAZQUEZ (I)"/>
    <s v="16650"/>
    <s v="ASSOCIATED PKG/TX MESQUITE"/>
    <s v="732217"/>
    <s v="ASSOCIATED PKG FOR CARGILL MEAT"/>
    <x v="3"/>
    <s v="195553"/>
    <s v="HP 100 CLR-53mm x 1500m-6 rls/cs-S"/>
    <m/>
    <n v="18347.48"/>
    <m/>
    <n v="82149.983999999997"/>
    <x v="8"/>
    <x v="350"/>
    <x v="18"/>
  </r>
  <r>
    <s v="1069"/>
    <s v="THOMAS VAZQUEZ (I)"/>
    <s v="16650"/>
    <s v="ASSOCIATED PKG/TX MESQUITE"/>
    <s v="732217"/>
    <s v="ASSOCIATED PKG FOR CARGILL MEAT"/>
    <x v="3"/>
    <s v="207142"/>
    <s v="HP 100 CLR-48mm x 100m-36 rls/cs-S"/>
    <n v="5901.97"/>
    <n v="5901.98"/>
    <n v="24799.200000000001"/>
    <n v="24799.200000000001"/>
    <x v="8"/>
    <x v="350"/>
    <x v="22"/>
  </r>
  <r>
    <s v="1069"/>
    <s v="THOMAS VAZQUEZ (I)"/>
    <s v="16650"/>
    <s v="ASSOCIATED PKG/TX MESQUITE"/>
    <s v="732217"/>
    <s v="ASSOCIATED PKG FOR CARGILL MEAT"/>
    <x v="2"/>
    <s v="207149"/>
    <s v="HP 200 CLR-48mm x 100m-36 rls/cs-S"/>
    <n v="337.87"/>
    <m/>
    <n v="1239.96"/>
    <m/>
    <x v="8"/>
    <x v="350"/>
    <x v="3"/>
  </r>
  <r>
    <s v="1069"/>
    <s v="THOMAS VAZQUEZ (I)"/>
    <s v="16650"/>
    <s v="ASSOCIATED PKG/TX MESQUITE"/>
    <s v="732217"/>
    <s v="ASSOCIATED PKG FOR CARGILL MEAT"/>
    <x v="2"/>
    <s v="208492"/>
    <s v="HP 200 CLR-48mm x 914m-6 rls/cs-S"/>
    <n v="2091.36"/>
    <m/>
    <n v="7555.68"/>
    <m/>
    <x v="8"/>
    <x v="350"/>
    <x v="6"/>
  </r>
  <r>
    <s v="1069"/>
    <s v="THOMAS VAZQUEZ (I)"/>
    <s v="16650"/>
    <s v="ASSOCIATED PKG/TX MESQUITE"/>
    <s v="732217"/>
    <s v="ASSOCIATED PKG FOR CARGILL MEAT"/>
    <x v="34"/>
    <s v="100053"/>
    <s v="HP 232 CLR-72mm x 914m-4 rls/cs-H/A"/>
    <m/>
    <n v="5472.4"/>
    <m/>
    <n v="15111.36"/>
    <x v="8"/>
    <x v="350"/>
    <x v="139"/>
  </r>
  <r>
    <s v="1069"/>
    <s v="THOMAS VAZQUEZ (I)"/>
    <s v="16650"/>
    <s v="ASSOCIATED PKG/TX MESQUITE"/>
    <s v="732217"/>
    <s v="ASSOCIATED PKG FOR CARGILL MEAT"/>
    <x v="34"/>
    <s v="100962"/>
    <s v="HP 232 CLR-48mm x 914m-6 rls/cs-H/A"/>
    <n v="114.05"/>
    <m/>
    <n v="314.82"/>
    <m/>
    <x v="8"/>
    <x v="350"/>
    <x v="94"/>
  </r>
  <r>
    <s v="1069"/>
    <s v="THOMAS VAZQUEZ (I)"/>
    <s v="16650"/>
    <s v="ASSOCIATED PKG/TX MESQUITE"/>
    <s v="733431"/>
    <s v="GENERIC ONE TIME SHIP-TO B2B DIST P"/>
    <x v="13"/>
    <s v="201793"/>
    <s v="FP 096 KFT-72mm x 55m-16 rls/cs-H"/>
    <m/>
    <n v="-700.44"/>
    <m/>
    <n v="-454.68"/>
    <x v="8"/>
    <x v="34"/>
    <x v="38"/>
  </r>
  <r>
    <s v="1069"/>
    <s v="THOMAS VAZQUEZ (I)"/>
    <s v="16650"/>
    <s v="ASSOCIATED PKG/TX MESQUITE"/>
    <s v="733431"/>
    <s v="GENERIC ONE TIME SHIP-TO B2B DIST P"/>
    <x v="8"/>
    <s v="101229"/>
    <s v="GS 490 CLR-18mm x 55m-48 rls/cs-H/A"/>
    <n v="67"/>
    <m/>
    <n v="56.83"/>
    <m/>
    <x v="8"/>
    <x v="34"/>
    <x v="29"/>
  </r>
  <r>
    <s v="1069"/>
    <s v="THOMAS VAZQUEZ (I)"/>
    <s v="16650"/>
    <s v="ASSOCIATED PKG/TX MESQUITE"/>
    <s v="733431"/>
    <s v="GENERIC ONE TIME SHIP-TO B2B DIST P"/>
    <x v="26"/>
    <s v="901764"/>
    <s v="50558 2&quot; RH CLUTCH ROLLER"/>
    <m/>
    <n v="86.62"/>
    <m/>
    <n v="0"/>
    <x v="8"/>
    <x v="34"/>
    <x v="174"/>
  </r>
  <r>
    <s v="1069"/>
    <s v="THOMAS VAZQUEZ (I)"/>
    <s v="16650"/>
    <s v="ASSOCIATED PKG/TX MESQUITE"/>
    <s v="733431"/>
    <s v="GENERIC ONE TIME SHIP-TO B2B DIST P"/>
    <x v="26"/>
    <s v="901879"/>
    <s v="50371 50208 ROLLER ASSY. 77MM"/>
    <m/>
    <n v="168.94"/>
    <m/>
    <n v="0"/>
    <x v="8"/>
    <x v="34"/>
    <x v="175"/>
  </r>
  <r>
    <s v="1069"/>
    <s v="THOMAS VAZQUEZ (I)"/>
    <s v="16650"/>
    <s v="ASSOCIATED PKG/TX MESQUITE"/>
    <s v="733431"/>
    <s v="GENERIC ONE TIME SHIP-TO B2B DIST P"/>
    <x v="26"/>
    <s v="901930"/>
    <s v="50412 2&quot; CLUTCH ROLLER SHAFT"/>
    <m/>
    <n v="103.95"/>
    <m/>
    <n v="0"/>
    <x v="8"/>
    <x v="34"/>
    <x v="176"/>
  </r>
  <r>
    <s v="1069"/>
    <s v="THOMAS VAZQUEZ (I)"/>
    <s v="16650"/>
    <s v="ASSOCIATED PKG/TX MESQUITE"/>
    <s v="733431"/>
    <s v="GENERIC ONE TIME SHIP-TO B2B DIST P"/>
    <x v="26"/>
    <s v="902264"/>
    <s v="50694 KNIFE GAURD ASSY FULL BLADE 2' LH"/>
    <m/>
    <n v="94.05"/>
    <m/>
    <n v="0"/>
    <x v="8"/>
    <x v="34"/>
    <x v="177"/>
  </r>
  <r>
    <s v="1069"/>
    <s v="THOMAS VAZQUEZ (I)"/>
    <s v="16650"/>
    <s v="ASSOCIATED PKG/TX MESQUITE"/>
    <s v="733431"/>
    <s v="GENERIC ONE TIME SHIP-TO B2B DIST P"/>
    <x v="26"/>
    <s v="902333"/>
    <s v="51081 UA CYLINDER ASSY. RH LH"/>
    <m/>
    <n v="544.94000000000005"/>
    <m/>
    <n v="0"/>
    <x v="8"/>
    <x v="34"/>
    <x v="178"/>
  </r>
  <r>
    <s v="1069"/>
    <s v="THOMAS VAZQUEZ (I)"/>
    <s v="16650"/>
    <s v="ASSOCIATED PKG/TX MESQUITE"/>
    <s v="733904"/>
    <s v="CHEWY.COM (DFW)"/>
    <x v="1"/>
    <s v="105303"/>
    <s v="AP 201 RED 72mm x 100m-24 rls/cs-H/A"/>
    <n v="667.66"/>
    <m/>
    <n v="2066.6880000000001"/>
    <m/>
    <x v="8"/>
    <x v="351"/>
    <x v="179"/>
  </r>
  <r>
    <s v="1069"/>
    <s v="THOMAS VAZQUEZ (I)"/>
    <s v="16650"/>
    <s v="ASSOCIATED PKG/TX MESQUITE"/>
    <s v="733910"/>
    <s v="CHEWY.COM (MCO)"/>
    <x v="10"/>
    <s v="909535"/>
    <s v="SD 935  PISTOL GRIP DISPNSR-3 IN. ROLL-S"/>
    <n v="0"/>
    <n v="665.28"/>
    <n v="1E-3"/>
    <n v="1E-3"/>
    <x v="8"/>
    <x v="352"/>
    <x v="33"/>
  </r>
  <r>
    <s v="1069"/>
    <s v="THOMAS VAZQUEZ (I)"/>
    <s v="16650"/>
    <s v="ASSOCIATED PKG/TX MESQUITE"/>
    <s v="733912"/>
    <s v="CHEWY.COM (PHX)"/>
    <x v="19"/>
    <s v="207775"/>
    <s v="HP 500 CLR-72mm x 50m-24 rls/cs-H/A"/>
    <n v="16080.76"/>
    <n v="11233.72"/>
    <n v="37187.462"/>
    <n v="24791.642"/>
    <x v="8"/>
    <x v="353"/>
    <x v="117"/>
  </r>
  <r>
    <s v="1069"/>
    <s v="THOMAS VAZQUEZ (I)"/>
    <s v="16650"/>
    <s v="ASSOCIATED PKG/TX MESQUITE"/>
    <s v="733912"/>
    <s v="CHEWY.COM (PHX)"/>
    <x v="19"/>
    <s v="208571"/>
    <s v="HP 500 CLR-72mm x 914m-4 rls/cs-S"/>
    <n v="241279.93"/>
    <n v="203768.11"/>
    <n v="544014.27599999995"/>
    <n v="442011.59600000002"/>
    <x v="8"/>
    <x v="353"/>
    <x v="62"/>
  </r>
  <r>
    <s v="1069"/>
    <s v="THOMAS VAZQUEZ (I)"/>
    <s v="16650"/>
    <s v="ASSOCIATED PKG/TX MESQUITE"/>
    <s v="733912"/>
    <s v="CHEWY.COM (PHX)"/>
    <x v="54"/>
    <s v="105100"/>
    <s v="WP 150 WB NXG 70mmx138m(450FT)-10rl/cs"/>
    <n v="6454.8"/>
    <m/>
    <n v="9242.4"/>
    <m/>
    <x v="8"/>
    <x v="353"/>
    <x v="180"/>
  </r>
  <r>
    <s v="1069"/>
    <s v="THOMAS VAZQUEZ (I)"/>
    <s v="16650"/>
    <s v="ASSOCIATED PKG/TX MESQUITE"/>
    <s v="733912"/>
    <s v="CHEWY.COM (PHX)"/>
    <x v="54"/>
    <s v="105173"/>
    <s v="WP 150 WB TR 70mmx138m(450FT)-10rl/cs-NS"/>
    <n v="3872.88"/>
    <m/>
    <n v="5545.44"/>
    <m/>
    <x v="8"/>
    <x v="353"/>
    <x v="181"/>
  </r>
  <r>
    <s v="1069"/>
    <s v="THOMAS VAZQUEZ (I)"/>
    <s v="16650"/>
    <s v="ASSOCIATED PKG/TX MESQUITE"/>
    <s v="733912"/>
    <s v="CHEWY.COM (PHX)"/>
    <x v="54"/>
    <s v="105389"/>
    <s v="WP 150 RED SIMP-72mmx138m(450FT)-10rl/cs"/>
    <n v="6454.8"/>
    <m/>
    <n v="9506.4"/>
    <m/>
    <x v="8"/>
    <x v="353"/>
    <x v="182"/>
  </r>
  <r>
    <s v="1069"/>
    <s v="THOMAS VAZQUEZ (I)"/>
    <s v="16650"/>
    <s v="ASSOCIATED PKG/TX MESQUITE"/>
    <s v="733912"/>
    <s v="CHEWY.COM (PHX)"/>
    <x v="54"/>
    <s v="105424"/>
    <s v="WP 150 BLU NEXHART 72mm x 138M - NS"/>
    <n v="7584.39"/>
    <m/>
    <n v="11170.02"/>
    <m/>
    <x v="8"/>
    <x v="353"/>
    <x v="183"/>
  </r>
  <r>
    <s v="1069"/>
    <s v="THOMAS VAZQUEZ (I)"/>
    <s v="16650"/>
    <s v="ASSOCIATED PKG/TX MESQUITE"/>
    <s v="733913"/>
    <s v="CHEWY.COM (CFC)"/>
    <x v="10"/>
    <s v="909535"/>
    <s v="SD 935  PISTOL GRIP DISPNSR-3 IN. ROLL-S"/>
    <n v="0"/>
    <n v="665.28"/>
    <n v="1E-3"/>
    <n v="2E-3"/>
    <x v="8"/>
    <x v="354"/>
    <x v="33"/>
  </r>
  <r>
    <s v="1069"/>
    <s v="THOMAS VAZQUEZ (I)"/>
    <s v="16650"/>
    <s v="ASSOCIATED PKG/TX MESQUITE"/>
    <s v="733913"/>
    <s v="CHEWY.COM (CFC)"/>
    <x v="26"/>
    <s v="901598"/>
    <s v="5651 PA-1C TAPE MONIT RECE C/W TOW LIGHT"/>
    <m/>
    <n v="429.2"/>
    <m/>
    <n v="0"/>
    <x v="8"/>
    <x v="354"/>
    <x v="184"/>
  </r>
  <r>
    <s v="1069"/>
    <s v="THOMAS VAZQUEZ (I)"/>
    <s v="16650"/>
    <s v="ASSOCIATED PKG/TX MESQUITE"/>
    <s v="733914"/>
    <s v="CHEWY.COM (AVP)"/>
    <x v="10"/>
    <s v="909535"/>
    <s v="SD 935  PISTOL GRIP DISPNSR-3 IN. ROLL-S"/>
    <n v="0"/>
    <m/>
    <n v="1E-3"/>
    <m/>
    <x v="8"/>
    <x v="355"/>
    <x v="33"/>
  </r>
  <r>
    <s v="1069"/>
    <s v="THOMAS VAZQUEZ (I)"/>
    <s v="16650"/>
    <s v="ASSOCIATED PKG/TX MESQUITE"/>
    <s v="733914"/>
    <s v="CHEWY.COM (AVP)"/>
    <x v="26"/>
    <s v="901598"/>
    <s v="5651 PA-1C TAPE MONIT RECE C/W TOW LIGHT"/>
    <m/>
    <n v="2956.63"/>
    <m/>
    <n v="0"/>
    <x v="8"/>
    <x v="355"/>
    <x v="184"/>
  </r>
  <r>
    <s v="1069"/>
    <s v="THOMAS VAZQUEZ (I)"/>
    <s v="16650"/>
    <s v="ASSOCIATED PKG/TX MESQUITE"/>
    <s v="734029"/>
    <s v="ASSOCIATED PKG FOR CHEWY.COM (DFW)"/>
    <x v="19"/>
    <s v="207775"/>
    <s v="HP 500 CLR-72mm x 50m-24 rls/cs-H/A"/>
    <n v="31938.2"/>
    <m/>
    <n v="73858.433999999994"/>
    <m/>
    <x v="8"/>
    <x v="356"/>
    <x v="117"/>
  </r>
  <r>
    <s v="1069"/>
    <s v="THOMAS VAZQUEZ (I)"/>
    <s v="16650"/>
    <s v="ASSOCIATED PKG/TX MESQUITE"/>
    <s v="734029"/>
    <s v="ASSOCIATED PKG FOR CHEWY.COM (DFW)"/>
    <x v="19"/>
    <s v="208571"/>
    <s v="HP 500 CLR-72mm x 914m-4 rls/cs-S"/>
    <n v="241279.94"/>
    <n v="224667.43"/>
    <n v="544014.277"/>
    <n v="487346.12400000001"/>
    <x v="8"/>
    <x v="356"/>
    <x v="62"/>
  </r>
  <r>
    <s v="1069"/>
    <s v="THOMAS VAZQUEZ (I)"/>
    <s v="16650"/>
    <s v="ASSOCIATED PKG/TX MESQUITE"/>
    <s v="734030"/>
    <s v="ASSOCIATED PKG FOR CHEWY.COM (CFC)"/>
    <x v="3"/>
    <s v="208453"/>
    <s v="HP 100 CLR-48mm x 914m-6 rls/cs-S"/>
    <m/>
    <n v="3726.52"/>
    <m/>
    <n v="15111.36"/>
    <x v="8"/>
    <x v="357"/>
    <x v="24"/>
  </r>
  <r>
    <s v="1069"/>
    <s v="THOMAS VAZQUEZ (I)"/>
    <s v="16650"/>
    <s v="ASSOCIATED PKG/TX MESQUITE"/>
    <s v="734030"/>
    <s v="ASSOCIATED PKG FOR CHEWY.COM (CFC)"/>
    <x v="19"/>
    <s v="207775"/>
    <s v="HP 500 CLR-72mm x 50m-24 rls/cs-H/A"/>
    <n v="83083.960000000006"/>
    <n v="44934.92"/>
    <n v="192135.22399999999"/>
    <n v="99166.566999999995"/>
    <x v="8"/>
    <x v="357"/>
    <x v="117"/>
  </r>
  <r>
    <s v="1069"/>
    <s v="THOMAS VAZQUEZ (I)"/>
    <s v="16650"/>
    <s v="ASSOCIATED PKG/TX MESQUITE"/>
    <s v="734030"/>
    <s v="ASSOCIATED PKG FOR CHEWY.COM (CFC)"/>
    <x v="19"/>
    <s v="208571"/>
    <s v="HP 500 CLR-72mm x 914m-4 rls/cs-S"/>
    <n v="447373.24"/>
    <n v="397086.62"/>
    <n v="1008693.139"/>
    <n v="861355.94099999999"/>
    <x v="8"/>
    <x v="357"/>
    <x v="62"/>
  </r>
  <r>
    <s v="1069"/>
    <s v="THOMAS VAZQUEZ (I)"/>
    <s v="16650"/>
    <s v="ASSOCIATED PKG/TX MESQUITE"/>
    <s v="734030"/>
    <s v="ASSOCIATED PKG FOR CHEWY.COM (CFC)"/>
    <x v="54"/>
    <s v="105100"/>
    <s v="WP 150 WB NXG 70mmx138m(450FT)-10rl/cs"/>
    <n v="11537.95"/>
    <m/>
    <n v="16520.79"/>
    <m/>
    <x v="8"/>
    <x v="357"/>
    <x v="180"/>
  </r>
  <r>
    <s v="1069"/>
    <s v="THOMAS VAZQUEZ (I)"/>
    <s v="16650"/>
    <s v="ASSOCIATED PKG/TX MESQUITE"/>
    <s v="734030"/>
    <s v="ASSOCIATED PKG FOR CHEWY.COM (CFC)"/>
    <x v="54"/>
    <s v="105173"/>
    <s v="WP 150 WB TR 70mmx138m(450FT)-10rl/cs-NS"/>
    <n v="12425.49"/>
    <m/>
    <n v="17791.62"/>
    <m/>
    <x v="8"/>
    <x v="357"/>
    <x v="181"/>
  </r>
  <r>
    <s v="1069"/>
    <s v="THOMAS VAZQUEZ (I)"/>
    <s v="16650"/>
    <s v="ASSOCIATED PKG/TX MESQUITE"/>
    <s v="734030"/>
    <s v="ASSOCIATED PKG FOR CHEWY.COM (CFC)"/>
    <x v="54"/>
    <s v="105389"/>
    <s v="WP 150 RED SIMP-72mmx138m(450FT)-10rl/cs"/>
    <n v="19364.400000000001"/>
    <m/>
    <n v="28519.200000000001"/>
    <m/>
    <x v="8"/>
    <x v="357"/>
    <x v="182"/>
  </r>
  <r>
    <s v="1069"/>
    <s v="THOMAS VAZQUEZ (I)"/>
    <s v="16650"/>
    <s v="ASSOCIATED PKG/TX MESQUITE"/>
    <s v="734030"/>
    <s v="ASSOCIATED PKG FOR CHEWY.COM (CFC)"/>
    <x v="54"/>
    <s v="105424"/>
    <s v="WP 150 BLU NEXHART 72mm x 138M - NS"/>
    <n v="18486.47"/>
    <m/>
    <n v="29945.16"/>
    <m/>
    <x v="8"/>
    <x v="357"/>
    <x v="183"/>
  </r>
  <r>
    <s v="1069"/>
    <s v="THOMAS VAZQUEZ (I)"/>
    <s v="16650"/>
    <s v="ASSOCIATED PKG/TX MESQUITE"/>
    <s v="734030"/>
    <s v="ASSOCIATED PKG FOR CHEWY.COM (CFC)"/>
    <x v="54"/>
    <s v="105437"/>
    <s v="WP 150 BLU WISDOM 72mm x 138M - NS"/>
    <n v="4068.9"/>
    <m/>
    <n v="7129.8"/>
    <m/>
    <x v="8"/>
    <x v="357"/>
    <x v="185"/>
  </r>
  <r>
    <s v="1069"/>
    <s v="THOMAS VAZQUEZ (I)"/>
    <s v="16650"/>
    <s v="ASSOCIATED PKG/TX MESQUITE"/>
    <s v="734030"/>
    <s v="ASSOCIATED PKG FOR CHEWY.COM (CFC)"/>
    <x v="54"/>
    <s v="105679"/>
    <s v="WP 150 GRN GREENIES-72mmx138m-10rl/cs-NS"/>
    <m/>
    <n v="21854.45"/>
    <m/>
    <n v="29945.16"/>
    <x v="8"/>
    <x v="357"/>
    <x v="186"/>
  </r>
  <r>
    <s v="1069"/>
    <s v="THOMAS VAZQUEZ (I)"/>
    <s v="16650"/>
    <s v="ASSOCIATED PKG/TX MESQUITE"/>
    <s v="734031"/>
    <s v="ASSOCIATED PKG FOR CHEWY.COM (MCO)"/>
    <x v="19"/>
    <s v="207775"/>
    <s v="HP 500 CLR-72mm x 50m-24 rls/cs-H/A"/>
    <n v="32161.54"/>
    <n v="14042.15"/>
    <n v="74374.925000000003"/>
    <n v="30989.552"/>
    <x v="8"/>
    <x v="358"/>
    <x v="117"/>
  </r>
  <r>
    <s v="1069"/>
    <s v="THOMAS VAZQUEZ (I)"/>
    <s v="16650"/>
    <s v="ASSOCIATED PKG/TX MESQUITE"/>
    <s v="734031"/>
    <s v="ASSOCIATED PKG FOR CHEWY.COM (MCO)"/>
    <x v="19"/>
    <s v="208571"/>
    <s v="HP 500 CLR-72mm x 914m-4 rls/cs-S"/>
    <n v="326454"/>
    <n v="208992.97"/>
    <n v="736056.35499999998"/>
    <n v="453345.23100000003"/>
    <x v="8"/>
    <x v="358"/>
    <x v="62"/>
  </r>
  <r>
    <s v="1069"/>
    <s v="THOMAS VAZQUEZ (I)"/>
    <s v="16650"/>
    <s v="ASSOCIATED PKG/TX MESQUITE"/>
    <s v="734044"/>
    <s v="LEHIGH VALLEY LOGISTICS (AVP)"/>
    <x v="19"/>
    <s v="207775"/>
    <s v="HP 500 CLR-72mm x 50m-24 rls/cs-H/A"/>
    <n v="10720.51"/>
    <n v="58977.09"/>
    <n v="24791.642"/>
    <n v="130156.118"/>
    <x v="8"/>
    <x v="359"/>
    <x v="117"/>
  </r>
  <r>
    <s v="1069"/>
    <s v="THOMAS VAZQUEZ (I)"/>
    <s v="16650"/>
    <s v="ASSOCIATED PKG/TX MESQUITE"/>
    <s v="734044"/>
    <s v="LEHIGH VALLEY LOGISTICS (AVP)"/>
    <x v="19"/>
    <s v="208571"/>
    <s v="HP 500 CLR-72mm x 914m-4 rls/cs-S"/>
    <n v="653466.53"/>
    <n v="678066.05"/>
    <n v="1473371.9990000001"/>
    <n v="1470853.415"/>
    <x v="8"/>
    <x v="359"/>
    <x v="62"/>
  </r>
  <r>
    <s v="1069"/>
    <s v="THOMAS VAZQUEZ (I)"/>
    <s v="16650"/>
    <s v="ASSOCIATED PKG/TX MESQUITE"/>
    <s v="736426"/>
    <s v="SADLERS BAR-B-QUE"/>
    <x v="34"/>
    <s v="100053"/>
    <s v="HP 232 CLR-72mm x 914m-4 rls/cs-H/A"/>
    <n v="5225.29"/>
    <n v="5759.42"/>
    <n v="15111.36"/>
    <n v="15111.36"/>
    <x v="8"/>
    <x v="360"/>
    <x v="139"/>
  </r>
  <r>
    <s v="1069"/>
    <s v="THOMAS VAZQUEZ (I)"/>
    <s v="16650"/>
    <s v="ASSOCIATED PKG/TX MESQUITE"/>
    <s v="736563"/>
    <s v="NORTH DALLAS HONEY COMPANY"/>
    <x v="2"/>
    <s v="208492"/>
    <s v="HP 200 CLR-48mm x 914m-6 rls/cs-S"/>
    <n v="3464.21"/>
    <n v="3638.13"/>
    <n v="15111.36"/>
    <n v="15111.36"/>
    <x v="8"/>
    <x v="361"/>
    <x v="6"/>
  </r>
  <r>
    <s v="1069"/>
    <s v="THOMAS VAZQUEZ (I)"/>
    <s v="16650"/>
    <s v="ASSOCIATED PKG/TX MESQUITE"/>
    <s v="736941"/>
    <s v="CHEWY INC (DAY)"/>
    <x v="26"/>
    <s v="901598"/>
    <s v="5651 PA-1C TAPE MONIT RECE C/W TOW LIGHT"/>
    <m/>
    <n v="1971.09"/>
    <m/>
    <n v="0"/>
    <x v="8"/>
    <x v="362"/>
    <x v="184"/>
  </r>
  <r>
    <s v="1069"/>
    <s v="THOMAS VAZQUEZ (I)"/>
    <s v="16650"/>
    <s v="ASSOCIATED PKG/TX MESQUITE"/>
    <s v="737160"/>
    <s v="QUALITY TOOLS &amp; SERVICES"/>
    <x v="8"/>
    <s v="101230"/>
    <s v="GS 490 CLR-48mm x 55m-24 rls/cs-H/A"/>
    <n v="177.25"/>
    <n v="182.48"/>
    <n v="151.56"/>
    <n v="151.56"/>
    <x v="8"/>
    <x v="363"/>
    <x v="70"/>
  </r>
  <r>
    <s v="1069"/>
    <s v="THOMAS VAZQUEZ (I)"/>
    <s v="16650"/>
    <s v="ASSOCIATED PKG/TX MESQUITE"/>
    <s v="737160"/>
    <s v="QUALITY TOOLS &amp; SERVICES"/>
    <x v="3"/>
    <s v="207142"/>
    <s v="HP 100 CLR-48mm x 100m-36 rls/cs-S"/>
    <m/>
    <n v="101.93"/>
    <m/>
    <n v="413.32"/>
    <x v="8"/>
    <x v="363"/>
    <x v="22"/>
  </r>
  <r>
    <s v="1069"/>
    <s v="THOMAS VAZQUEZ (I)"/>
    <s v="16650"/>
    <s v="ASSOCIATED PKG/TX MESQUITE"/>
    <s v="737261"/>
    <s v="ARTE SANO"/>
    <x v="21"/>
    <s v="230960"/>
    <s v="AP 101 CLR-48mm x 914m-6 rls/cs-S"/>
    <n v="6033.14"/>
    <m/>
    <n v="30223.295999999998"/>
    <m/>
    <x v="8"/>
    <x v="364"/>
    <x v="132"/>
  </r>
  <r>
    <s v="1069"/>
    <s v="THOMAS VAZQUEZ (I)"/>
    <s v="16650"/>
    <s v="ASSOCIATED PKG/TX MESQUITE"/>
    <s v="737625"/>
    <s v="BURRIS LOGISTICS"/>
    <x v="34"/>
    <s v="100053"/>
    <s v="HP 232 CLR-72mm x 914m-4 rls/cs-H/A"/>
    <n v="5485.71"/>
    <m/>
    <n v="15111.36"/>
    <m/>
    <x v="8"/>
    <x v="365"/>
    <x v="139"/>
  </r>
  <r>
    <s v="1069"/>
    <s v="THOMAS VAZQUEZ (I)"/>
    <s v="16650"/>
    <s v="ASSOCIATED PKG/TX MESQUITE"/>
    <s v="737753"/>
    <s v="DE DIETRICH PROCESS SYSTEM"/>
    <x v="58"/>
    <s v="105462"/>
    <s v="PC 009 BLK-48mm x 55m-24 rls/cs-S"/>
    <m/>
    <n v="4618.9399999999996"/>
    <m/>
    <n v="2727.6480000000001"/>
    <x v="8"/>
    <x v="366"/>
    <x v="187"/>
  </r>
  <r>
    <s v="1069"/>
    <s v="THOMAS VAZQUEZ (I)"/>
    <s v="16650"/>
    <s v="ASSOCIATED PKG/TX MESQUITE"/>
    <s v="737753"/>
    <s v="DE DIETRICH PROCESS SYSTEM"/>
    <x v="9"/>
    <s v="202810"/>
    <s v="VP 410 BLK- 50MM X 33M- 24 RLS/CS-H/T"/>
    <m/>
    <n v="470.44"/>
    <m/>
    <n v="284.16000000000003"/>
    <x v="8"/>
    <x v="366"/>
    <x v="32"/>
  </r>
  <r>
    <s v="1069"/>
    <s v="THOMAS VAZQUEZ (I)"/>
    <s v="16650"/>
    <s v="ASSOCIATED PKG/TX MESQUITE"/>
    <s v="737987"/>
    <s v="ASSOCIATED PKG FOR SADLERS BAR-B-QU"/>
    <x v="59"/>
    <s v="152654"/>
    <s v="HP 242 WR SECURITY-72mm x 914m-4rl/cs-NS"/>
    <n v="42380"/>
    <m/>
    <n v="78391.176000000007"/>
    <m/>
    <x v="8"/>
    <x v="367"/>
    <x v="188"/>
  </r>
  <r>
    <s v="1069"/>
    <s v="THOMAS VAZQUEZ (I)"/>
    <s v="16650"/>
    <s v="ASSOCIATED PKG/TX MESQUITE"/>
    <s v="741018"/>
    <s v="CHEWY INC (CLT)"/>
    <x v="19"/>
    <s v="207775"/>
    <s v="HP 500 CLR-72mm x 50m-24 rls/cs-H/A"/>
    <m/>
    <n v="14042.16"/>
    <m/>
    <n v="30989.552"/>
    <x v="8"/>
    <x v="368"/>
    <x v="117"/>
  </r>
  <r>
    <s v="1069"/>
    <s v="THOMAS VAZQUEZ (I)"/>
    <s v="16650"/>
    <s v="ASSOCIATED PKG/TX MESQUITE"/>
    <s v="741018"/>
    <s v="CHEWY INC (CLT)"/>
    <x v="19"/>
    <s v="207892"/>
    <s v="HP 500 TAN-72mm x 50m-24 rls/cs-H/A"/>
    <n v="1072.05"/>
    <m/>
    <n v="2479.92"/>
    <m/>
    <x v="8"/>
    <x v="368"/>
    <x v="189"/>
  </r>
  <r>
    <s v="1069"/>
    <s v="THOMAS VAZQUEZ (I)"/>
    <s v="16650"/>
    <s v="ASSOCIATED PKG/TX MESQUITE"/>
    <s v="741018"/>
    <s v="CHEWY INC (CLT)"/>
    <x v="19"/>
    <s v="208571"/>
    <s v="HP 500 CLR-72mm x 914m-4 rls/cs-S"/>
    <n v="251333.26"/>
    <n v="208992.99"/>
    <n v="566681.53799999994"/>
    <n v="453345.23100000003"/>
    <x v="8"/>
    <x v="368"/>
    <x v="62"/>
  </r>
  <r>
    <s v="1069"/>
    <s v="THOMAS VAZQUEZ (I)"/>
    <s v="16650"/>
    <s v="ASSOCIATED PKG/TX MESQUITE"/>
    <s v="741018"/>
    <s v="CHEWY INC (CLT)"/>
    <x v="10"/>
    <s v="909535"/>
    <s v="SD 935  PISTOL GRIP DISPNSR-3 IN. ROLL-S"/>
    <n v="0"/>
    <n v="332.64"/>
    <n v="2E-3"/>
    <n v="0"/>
    <x v="8"/>
    <x v="368"/>
    <x v="33"/>
  </r>
  <r>
    <s v="1069"/>
    <s v="THOMAS VAZQUEZ (I)"/>
    <s v="16650"/>
    <s v="ASSOCIATED PKG/TX MESQUITE"/>
    <s v="741095"/>
    <s v="GOLDEN STATE FOODS"/>
    <x v="3"/>
    <s v="207194"/>
    <s v="HP 100 CLR-72mm x 100m-24 rls/cs-S"/>
    <n v="5873.47"/>
    <n v="11701.8"/>
    <n v="24799.200000000001"/>
    <n v="49598.400000000001"/>
    <x v="8"/>
    <x v="369"/>
    <x v="50"/>
  </r>
  <r>
    <s v="1069"/>
    <s v="THOMAS VAZQUEZ (I)"/>
    <s v="16650"/>
    <s v="ASSOCIATED PKG/TX MESQUITE"/>
    <s v="741095"/>
    <s v="GOLDEN STATE FOODS"/>
    <x v="2"/>
    <s v="208529"/>
    <s v="HP 200 CLR-72mm x 1371m-4 rls/cs-S"/>
    <n v="35536.089999999997"/>
    <n v="24069.84"/>
    <n v="160558.20000000001"/>
    <n v="102001.68"/>
    <x v="8"/>
    <x v="369"/>
    <x v="72"/>
  </r>
  <r>
    <s v="1069"/>
    <s v="THOMAS VAZQUEZ (I)"/>
    <s v="16650"/>
    <s v="ASSOCIATED PKG/TX MESQUITE"/>
    <s v="741095"/>
    <s v="GOLDEN STATE FOODS"/>
    <x v="4"/>
    <s v="104338"/>
    <s v="HP 235 CLR-72mm x 1371m-4 rls/cs-H"/>
    <m/>
    <n v="16059.38"/>
    <m/>
    <n v="51001.919999999998"/>
    <x v="8"/>
    <x v="369"/>
    <x v="154"/>
  </r>
  <r>
    <s v="1069"/>
    <s v="THOMAS VAZQUEZ (I)"/>
    <s v="16650"/>
    <s v="ASSOCIATED PKG/TX MESQUITE"/>
    <s v="741296"/>
    <s v="CADECO INDUSTRIES"/>
    <x v="14"/>
    <s v="232167"/>
    <s v="DT 200 GLA-36mm x 50m-24 rls/cs-H"/>
    <n v="260.88"/>
    <n v="536.98"/>
    <n v="103.334"/>
    <n v="206.66900000000001"/>
    <x v="8"/>
    <x v="370"/>
    <x v="190"/>
  </r>
  <r>
    <s v="1069"/>
    <s v="THOMAS VAZQUEZ (I)"/>
    <s v="16650"/>
    <s v="ASSOCIATED PKG/TX MESQUITE"/>
    <s v="741519"/>
    <s v="ASSOCIATED PKG FOR FARMER BROS COFF"/>
    <x v="0"/>
    <s v="231047"/>
    <s v="AP 180 CLR-48mm x 1371m-6 rls/cs-H"/>
    <m/>
    <n v="6239.5"/>
    <m/>
    <n v="19361.675999999999"/>
    <x v="8"/>
    <x v="371"/>
    <x v="165"/>
  </r>
  <r>
    <s v="1069"/>
    <s v="THOMAS VAZQUEZ (I)"/>
    <s v="16650"/>
    <s v="ASSOCIATED PKG/TX MESQUITE"/>
    <s v="741519"/>
    <s v="ASSOCIATED PKG FOR FARMER BROS COFF"/>
    <x v="3"/>
    <s v="195553"/>
    <s v="HP 100 CLR-53mm x 1500m-6 rls/cs-S"/>
    <n v="11797.56"/>
    <n v="27362.73"/>
    <n v="61612.487999999998"/>
    <n v="120372.546"/>
    <x v="8"/>
    <x v="371"/>
    <x v="18"/>
  </r>
  <r>
    <s v="1069"/>
    <s v="THOMAS VAZQUEZ (I)"/>
    <s v="16650"/>
    <s v="ASSOCIATED PKG/TX MESQUITE"/>
    <s v="741519"/>
    <s v="ASSOCIATED PKG FOR FARMER BROS COFF"/>
    <x v="3"/>
    <s v="207142"/>
    <s v="HP 100 CLR-48mm x 100m-36 rls/cs-S"/>
    <m/>
    <n v="6201.36"/>
    <m/>
    <n v="24799.200000000001"/>
    <x v="8"/>
    <x v="371"/>
    <x v="22"/>
  </r>
  <r>
    <s v="1069"/>
    <s v="THOMAS VAZQUEZ (I)"/>
    <s v="16650"/>
    <s v="ASSOCIATED PKG/TX MESQUITE"/>
    <s v="741519"/>
    <s v="ASSOCIATED PKG FOR FARMER BROS COFF"/>
    <x v="2"/>
    <s v="207149"/>
    <s v="HP 200 CLR-48mm x 100m-36 rls/cs-S"/>
    <m/>
    <n v="1656.55"/>
    <m/>
    <n v="5786.48"/>
    <x v="8"/>
    <x v="371"/>
    <x v="3"/>
  </r>
  <r>
    <s v="1069"/>
    <s v="THOMAS VAZQUEZ (I)"/>
    <s v="16650"/>
    <s v="ASSOCIATED PKG/TX MESQUITE"/>
    <s v="741519"/>
    <s v="ASSOCIATED PKG FOR FARMER BROS COFF"/>
    <x v="34"/>
    <s v="100053"/>
    <s v="HP 232 CLR-72mm x 914m-4 rls/cs-H/A"/>
    <m/>
    <n v="5879.4"/>
    <m/>
    <n v="15426.18"/>
    <x v="8"/>
    <x v="371"/>
    <x v="139"/>
  </r>
  <r>
    <s v="1069"/>
    <s v="THOMAS VAZQUEZ (I)"/>
    <s v="16650"/>
    <s v="ASSOCIATED PKG/TX MESQUITE"/>
    <s v="741519"/>
    <s v="ASSOCIATED PKG FOR FARMER BROS COFF"/>
    <x v="34"/>
    <s v="100962"/>
    <s v="HP 232 CLR-48mm x 914m-6 rls/cs-H/A"/>
    <m/>
    <n v="598.75"/>
    <m/>
    <n v="1574.1"/>
    <x v="8"/>
    <x v="371"/>
    <x v="94"/>
  </r>
  <r>
    <s v="1069"/>
    <s v="THOMAS VAZQUEZ (I)"/>
    <s v="16650"/>
    <s v="ASSOCIATED PKG/TX MESQUITE"/>
    <s v="741519"/>
    <s v="ASSOCIATED PKG FOR FARMER BROS COFF"/>
    <x v="6"/>
    <s v="208532"/>
    <s v="HP 300 CLR-48mm x 914m-6 rls/cs-H"/>
    <m/>
    <n v="341.19"/>
    <m/>
    <n v="629.64"/>
    <x v="8"/>
    <x v="371"/>
    <x v="145"/>
  </r>
  <r>
    <s v="1069"/>
    <s v="THOMAS VAZQUEZ (I)"/>
    <s v="16650"/>
    <s v="ASSOCIATED PKG/TX MESQUITE"/>
    <s v="741519"/>
    <s v="ASSOCIATED PKG FOR FARMER BROS COFF"/>
    <x v="7"/>
    <s v="903000"/>
    <s v="SD 934  PISTOL GRIP TAPE DISPNSR PREM.-S"/>
    <m/>
    <n v="47.92"/>
    <m/>
    <n v="0"/>
    <x v="8"/>
    <x v="371"/>
    <x v="26"/>
  </r>
  <r>
    <s v="1069"/>
    <s v="THOMAS VAZQUEZ (I)"/>
    <s v="16650"/>
    <s v="ASSOCIATED PKG/TX MESQUITE"/>
    <s v="741519"/>
    <s v="ASSOCIATED PKG FOR FARMER BROS COFF"/>
    <x v="30"/>
    <s v="101686"/>
    <s v="WP 100 NAT-72mmx138m(450ft)-10rls/cs-H/A"/>
    <m/>
    <n v="718.74"/>
    <m/>
    <n v="1188.3"/>
    <x v="8"/>
    <x v="371"/>
    <x v="166"/>
  </r>
  <r>
    <s v="1069"/>
    <s v="THOMAS VAZQUEZ (I)"/>
    <s v="16650"/>
    <s v="ASSOCIATED PKG/TX MESQUITE"/>
    <s v="743029"/>
    <s v="GARVEY PUBLIC WAREHOUSE FOR CHEWY M"/>
    <x v="19"/>
    <s v="208571"/>
    <s v="HP 500 CLR-72mm x 914m-4 rls/cs-S"/>
    <m/>
    <n v="161969.54"/>
    <m/>
    <n v="351342.554"/>
    <x v="8"/>
    <x v="372"/>
    <x v="62"/>
  </r>
  <r>
    <s v="1069"/>
    <s v="THOMAS VAZQUEZ (I)"/>
    <s v="16650"/>
    <s v="ASSOCIATED PKG/TX MESQUITE"/>
    <s v="743791"/>
    <s v="POLY-TECH PLASTICS MOLDING INC"/>
    <x v="3"/>
    <s v="208465"/>
    <s v="HP 100 CLR-72mm x 914m-4 rls/cs-S"/>
    <n v="778.14"/>
    <m/>
    <n v="3148.2"/>
    <m/>
    <x v="8"/>
    <x v="373"/>
    <x v="69"/>
  </r>
  <r>
    <s v="1069"/>
    <s v="THOMAS VAZQUEZ (I)"/>
    <s v="16650"/>
    <s v="ASSOCIATED PKG/TX MESQUITE"/>
    <s v="744544"/>
    <s v="CHEWY.COM - MCI1"/>
    <x v="1"/>
    <s v="105303"/>
    <s v="AP 201 RED 72mm x 100m-24 rls/cs-H/A"/>
    <n v="400.59"/>
    <m/>
    <n v="1240.0129999999999"/>
    <m/>
    <x v="8"/>
    <x v="374"/>
    <x v="179"/>
  </r>
  <r>
    <s v="1069"/>
    <s v="THOMAS VAZQUEZ (I)"/>
    <s v="16650"/>
    <s v="ASSOCIATED PKG/TX MESQUITE"/>
    <s v="744544"/>
    <s v="CHEWY.COM - MCI1"/>
    <x v="19"/>
    <s v="208571"/>
    <s v="HP 500 CLR-72mm x 914m-4 rls/cs-S"/>
    <n v="216146.63"/>
    <m/>
    <n v="487346.12400000001"/>
    <m/>
    <x v="8"/>
    <x v="374"/>
    <x v="62"/>
  </r>
  <r>
    <s v="1069"/>
    <s v="THOMAS VAZQUEZ (I)"/>
    <s v="16650"/>
    <s v="ASSOCIATED PKG/TX MESQUITE"/>
    <s v="744544"/>
    <s v="CHEWY.COM - MCI1"/>
    <x v="10"/>
    <s v="909535"/>
    <s v="SD 935  PISTOL GRIP DISPNSR-3 IN. ROLL-S"/>
    <n v="0"/>
    <m/>
    <n v="1E-3"/>
    <m/>
    <x v="8"/>
    <x v="374"/>
    <x v="33"/>
  </r>
  <r>
    <s v="1069"/>
    <s v="THOMAS VAZQUEZ (I)"/>
    <s v="16650"/>
    <s v="ASSOCIATED PKG/TX MESQUITE"/>
    <s v="745030"/>
    <s v="UPS STORE - FOR CHEWY.COM - MCO"/>
    <x v="10"/>
    <s v="909535"/>
    <s v="SD 935  PISTOL GRIP DISPNSR-3 IN. ROLL-S"/>
    <m/>
    <n v="332.64"/>
    <m/>
    <n v="1E-3"/>
    <x v="8"/>
    <x v="375"/>
    <x v="33"/>
  </r>
  <r>
    <s v="1069"/>
    <s v="THOMAS VAZQUEZ (I)"/>
    <s v="16650"/>
    <s v="ASSOCIATED PKG/TX MESQUITE"/>
    <s v="745657"/>
    <s v="CHEWY PHARMACY LLC AVP4"/>
    <x v="54"/>
    <s v="105100"/>
    <s v="WP 150 WB NXG 70mmx138m(450FT)-10rl/cs"/>
    <n v="7180.96"/>
    <m/>
    <n v="10282.17"/>
    <m/>
    <x v="8"/>
    <x v="376"/>
    <x v="180"/>
  </r>
  <r>
    <s v="1069"/>
    <s v="THOMAS VAZQUEZ (I)"/>
    <s v="16650"/>
    <s v="ASSOCIATED PKG/TX MESQUITE"/>
    <s v="745657"/>
    <s v="CHEWY PHARMACY LLC AVP4"/>
    <x v="54"/>
    <s v="105173"/>
    <s v="WP 150 WB TR 70mmx138m(450FT)-10rl/cs-NS"/>
    <n v="8875.35"/>
    <m/>
    <n v="12708.3"/>
    <m/>
    <x v="8"/>
    <x v="376"/>
    <x v="181"/>
  </r>
  <r>
    <s v="1069"/>
    <s v="THOMAS VAZQUEZ (I)"/>
    <s v="16650"/>
    <s v="ASSOCIATED PKG/TX MESQUITE"/>
    <s v="745657"/>
    <s v="CHEWY PHARMACY LLC AVP4"/>
    <x v="54"/>
    <s v="105389"/>
    <s v="WP 150 RED SIMP-72mmx138m(450FT)-10rl/cs"/>
    <n v="9762.8799999999992"/>
    <m/>
    <n v="14378.43"/>
    <m/>
    <x v="8"/>
    <x v="376"/>
    <x v="182"/>
  </r>
  <r>
    <s v="1069"/>
    <s v="THOMAS VAZQUEZ (I)"/>
    <s v="16650"/>
    <s v="ASSOCIATED PKG/TX MESQUITE"/>
    <s v="745657"/>
    <s v="CHEWY PHARMACY LLC AVP4"/>
    <x v="54"/>
    <s v="105391"/>
    <s v="WP 150 BLU HEART-72mmx138m(450FT)-10r/cs"/>
    <n v="4768.34"/>
    <m/>
    <n v="7723.95"/>
    <m/>
    <x v="8"/>
    <x v="376"/>
    <x v="191"/>
  </r>
  <r>
    <s v="1069"/>
    <s v="THOMAS VAZQUEZ (I)"/>
    <s v="16650"/>
    <s v="ASSOCIATED PKG/TX MESQUITE"/>
    <s v="745804"/>
    <s v="AVERITT EXPRESS WHSE"/>
    <x v="3"/>
    <s v="208453"/>
    <s v="HP 100 CLR-48mm x 914m-6 rls/cs-S"/>
    <n v="22056.89"/>
    <n v="26282.36"/>
    <n v="90668.160000000003"/>
    <n v="105779.52"/>
    <x v="8"/>
    <x v="377"/>
    <x v="24"/>
  </r>
  <r>
    <s v="1069"/>
    <s v="THOMAS VAZQUEZ (I)"/>
    <s v="16650"/>
    <s v="ASSOCIATED PKG/TX MESQUITE"/>
    <s v="745804"/>
    <s v="AVERITT EXPRESS WHSE"/>
    <x v="2"/>
    <s v="207149"/>
    <s v="HP 200 CLR-48mm x 100m-36 rls/cs-S"/>
    <n v="3057.91"/>
    <n v="3207.6"/>
    <n v="12399.6"/>
    <n v="12399.6"/>
    <x v="8"/>
    <x v="377"/>
    <x v="3"/>
  </r>
  <r>
    <s v="1069"/>
    <s v="THOMAS VAZQUEZ (I)"/>
    <s v="16650"/>
    <s v="ASSOCIATED PKG/TX MESQUITE"/>
    <s v="746204"/>
    <s v="SATELLITE WAREHOUSE 314US"/>
    <x v="5"/>
    <s v="207852"/>
    <s v="HP 400 CLR-72mm x 50m-24 rls/cs-H"/>
    <n v="1363.82"/>
    <n v="688.09"/>
    <n v="1653.28"/>
    <n v="826.67499999999995"/>
    <x v="8"/>
    <x v="378"/>
    <x v="125"/>
  </r>
  <r>
    <s v="1069"/>
    <s v="THOMAS VAZQUEZ (I)"/>
    <s v="16650"/>
    <s v="ASSOCIATED PKG/TX MESQUITE"/>
    <s v="746277"/>
    <s v="SOUTHERN WAREHOUSING AND DIST"/>
    <x v="3"/>
    <s v="208453"/>
    <s v="HP 100 CLR-48mm x 914m-6 rls/cs-S"/>
    <n v="3558.3"/>
    <m/>
    <n v="15111.36"/>
    <m/>
    <x v="8"/>
    <x v="379"/>
    <x v="24"/>
  </r>
  <r>
    <s v="1069"/>
    <s v="THOMAS VAZQUEZ (I)"/>
    <s v="16650"/>
    <s v="ASSOCIATED PKG/TX MESQUITE"/>
    <s v="746858"/>
    <s v="CRESTONE BAKING CHICAGO"/>
    <x v="2"/>
    <s v="208511"/>
    <s v="HP 200 CLR-48mm x 1371m-6 rls/cs-S"/>
    <n v="746.66"/>
    <m/>
    <n v="2833.38"/>
    <m/>
    <x v="8"/>
    <x v="380"/>
    <x v="4"/>
  </r>
  <r>
    <s v="1069"/>
    <s v="THOMAS VAZQUEZ (I)"/>
    <s v="16650"/>
    <s v="ASSOCIATED PKG/TX MESQUITE"/>
    <s v="747007"/>
    <s v="EAST JORDAN FOUNDRY LLC"/>
    <x v="2"/>
    <s v="207233"/>
    <s v="HP 200 CLR-72mm x 100m-24 rls/cs-S"/>
    <n v="282.74"/>
    <m/>
    <n v="1033.3"/>
    <m/>
    <x v="8"/>
    <x v="381"/>
    <x v="28"/>
  </r>
  <r>
    <s v="1069"/>
    <s v="THOMAS VAZQUEZ (I)"/>
    <s v="16650"/>
    <s v="ASSOCIATED PKG/TX MESQUITE"/>
    <s v="747281"/>
    <s v="THE CONTAINER STORE"/>
    <x v="16"/>
    <s v="101374"/>
    <s v="GS 521 CLR-18mm x 55m-48 rls/cs-H"/>
    <m/>
    <n v="267.06"/>
    <m/>
    <n v="113.66"/>
    <x v="8"/>
    <x v="382"/>
    <x v="45"/>
  </r>
  <r>
    <s v="1069"/>
    <s v="THOMAS VAZQUEZ (I)"/>
    <s v="16650"/>
    <s v="ASSOCIATED PKG/TX MESQUITE"/>
    <s v="747281"/>
    <s v="THE CONTAINER STORE"/>
    <x v="4"/>
    <s v="105660"/>
    <s v="HP 235 BLU CONTAIN-72mmx914m-4 rls/cs-NS"/>
    <m/>
    <n v="18822.22"/>
    <m/>
    <n v="34002.720000000001"/>
    <x v="8"/>
    <x v="382"/>
    <x v="192"/>
  </r>
  <r>
    <s v="1069"/>
    <s v="THOMAS VAZQUEZ (I)"/>
    <s v="16650"/>
    <s v="ASSOCIATED PKG/TX MESQUITE"/>
    <s v="747287"/>
    <s v="TRI C  BUSINESS FORMS INC"/>
    <x v="60"/>
    <s v="202005"/>
    <s v="CP 101 NAT-18mm x 55m-48 rls/cs-H/T"/>
    <m/>
    <n v="49.9"/>
    <m/>
    <n v="56.83"/>
    <x v="8"/>
    <x v="383"/>
    <x v="193"/>
  </r>
  <r>
    <s v="1069"/>
    <s v="THOMAS VAZQUEZ (I)"/>
    <s v="16650"/>
    <s v="ASSOCIATED PKG/TX MESQUITE"/>
    <s v="747287"/>
    <s v="TRI C  BUSINESS FORMS INC"/>
    <x v="14"/>
    <s v="232170"/>
    <s v="DT 200 GLA-12mm x 50m-72 rls/cs-H"/>
    <m/>
    <n v="149.69"/>
    <m/>
    <n v="51.667000000000002"/>
    <x v="8"/>
    <x v="383"/>
    <x v="194"/>
  </r>
  <r>
    <s v="1069"/>
    <s v="THOMAS VAZQUEZ (I)"/>
    <s v="16650"/>
    <s v="ASSOCIATED PKG/TX MESQUITE"/>
    <s v="747449"/>
    <s v="SOUTHERN WAREHOUSING AND DIST"/>
    <x v="21"/>
    <s v="230960"/>
    <s v="AP 101 CLR-48mm x 914m-6 rls/cs-S"/>
    <m/>
    <n v="3167.68"/>
    <m/>
    <n v="15111.647999999999"/>
    <x v="8"/>
    <x v="384"/>
    <x v="132"/>
  </r>
  <r>
    <s v="1069"/>
    <s v="THOMAS VAZQUEZ (I)"/>
    <s v="16650"/>
    <s v="ASSOCIATED PKG/TX MESQUITE"/>
    <s v="747449"/>
    <s v="SOUTHERN WAREHOUSING AND DIST"/>
    <x v="3"/>
    <s v="208453"/>
    <s v="HP 100 CLR-48mm x 914m-6 rls/cs-S"/>
    <n v="3735.07"/>
    <m/>
    <n v="15111.36"/>
    <m/>
    <x v="8"/>
    <x v="384"/>
    <x v="24"/>
  </r>
  <r>
    <s v="1069"/>
    <s v="THOMAS VAZQUEZ (I)"/>
    <s v="16650"/>
    <s v="ASSOCIATED PKG/TX MESQUITE"/>
    <s v="747449"/>
    <s v="SOUTHERN WAREHOUSING AND DIST"/>
    <x v="2"/>
    <s v="208492"/>
    <s v="HP 200 CLR-48mm x 914m-6 rls/cs-S"/>
    <m/>
    <n v="4171.3100000000004"/>
    <m/>
    <n v="15111.36"/>
    <x v="8"/>
    <x v="384"/>
    <x v="6"/>
  </r>
  <r>
    <s v="1069"/>
    <s v="THOMAS VAZQUEZ (I)"/>
    <s v="16650"/>
    <s v="ASSOCIATED PKG/TX MESQUITE"/>
    <s v="747499"/>
    <s v="DEL REAL FOODS"/>
    <x v="0"/>
    <s v="231046"/>
    <s v="AP 180 CLR-48mm x 914m-6 rls/cs-H/A"/>
    <m/>
    <n v="9671.2800000000007"/>
    <m/>
    <n v="30221.867999999999"/>
    <x v="8"/>
    <x v="385"/>
    <x v="140"/>
  </r>
  <r>
    <s v="1069"/>
    <s v="THOMAS VAZQUEZ (I)"/>
    <s v="16650"/>
    <s v="ASSOCIATED PKG/TX MESQUITE"/>
    <s v="747499"/>
    <s v="DEL REAL FOODS"/>
    <x v="26"/>
    <s v="901625"/>
    <s v="BESTPACK STD MOUNTING PLATES - REAR"/>
    <m/>
    <n v="10"/>
    <m/>
    <n v="0"/>
    <x v="8"/>
    <x v="385"/>
    <x v="195"/>
  </r>
  <r>
    <s v="1069"/>
    <s v="THOMAS VAZQUEZ (I)"/>
    <s v="16650"/>
    <s v="ASSOCIATED PKG/TX MESQUITE"/>
    <s v="747499"/>
    <s v="DEL REAL FOODS"/>
    <x v="26"/>
    <s v="902016"/>
    <s v="BEST PACK FRONT MOUNTING PLATE"/>
    <m/>
    <n v="10"/>
    <m/>
    <n v="0"/>
    <x v="8"/>
    <x v="385"/>
    <x v="196"/>
  </r>
  <r>
    <s v="1069"/>
    <s v="THOMAS VAZQUEZ (I)"/>
    <s v="16650"/>
    <s v="ASSOCIATED PKG/TX MESQUITE"/>
    <s v="747568"/>
    <s v="CHEWY.COM (RNO)"/>
    <x v="19"/>
    <s v="207775"/>
    <s v="HP 500 CLR-72mm x 50m-24 rls/cs-H/A"/>
    <n v="2680.13"/>
    <m/>
    <n v="6197.91"/>
    <m/>
    <x v="8"/>
    <x v="386"/>
    <x v="117"/>
  </r>
  <r>
    <s v="1069"/>
    <s v="THOMAS VAZQUEZ (I)"/>
    <s v="16650"/>
    <s v="ASSOCIATED PKG/TX MESQUITE"/>
    <s v="747568"/>
    <s v="CHEWY.COM (RNO)"/>
    <x v="19"/>
    <s v="208571"/>
    <s v="HP 500 CLR-72mm x 914m-4 rls/cs-S"/>
    <n v="10053.33"/>
    <m/>
    <n v="22667.261999999999"/>
    <m/>
    <x v="8"/>
    <x v="386"/>
    <x v="62"/>
  </r>
  <r>
    <s v="1069"/>
    <s v="THOMAS VAZQUEZ (I)"/>
    <s v="16650"/>
    <s v="ASSOCIATED PKG/TX MESQUITE"/>
    <s v="747568"/>
    <s v="CHEWY.COM (RNO)"/>
    <x v="10"/>
    <s v="909535"/>
    <s v="SD 935  PISTOL GRIP DISPNSR-3 IN. ROLL-S"/>
    <n v="0"/>
    <m/>
    <n v="2E-3"/>
    <m/>
    <x v="8"/>
    <x v="386"/>
    <x v="33"/>
  </r>
  <r>
    <s v="1069"/>
    <s v="THOMAS VAZQUEZ (I)"/>
    <s v="16650"/>
    <s v="ASSOCIATED PKG/TX MESQUITE"/>
    <s v="749715"/>
    <s v="FIESTA TORTILLAS"/>
    <x v="2"/>
    <s v="208492"/>
    <s v="HP 200 CLR-48mm x 914m-6 rls/cs-S"/>
    <m/>
    <n v="7042.46"/>
    <m/>
    <n v="30222.720000000001"/>
    <x v="8"/>
    <x v="387"/>
    <x v="6"/>
  </r>
  <r>
    <s v="1069"/>
    <s v="THOMAS VAZQUEZ (I)"/>
    <s v="16650"/>
    <s v="ASSOCIATED PKG/TX MESQUITE"/>
    <s v="750170"/>
    <s v="THE CONTAINER STORE"/>
    <x v="4"/>
    <s v="150721"/>
    <s v="HP 235 CLR-72mm x 914m-4 rls/cs-H"/>
    <m/>
    <n v="697.12"/>
    <m/>
    <n v="1259.3599999999999"/>
    <x v="8"/>
    <x v="388"/>
    <x v="23"/>
  </r>
  <r>
    <s v="1069"/>
    <s v="THOMAS VAZQUEZ (I)"/>
    <s v="16650"/>
    <s v="ASSOCIATED PKG/TX MESQUITE"/>
    <s v="750822"/>
    <s v="CHEWY - BNA"/>
    <x v="19"/>
    <s v="207775"/>
    <s v="HP 500 CLR-72mm x 50m-24 rls/cs-H/A"/>
    <m/>
    <n v="5616.86"/>
    <m/>
    <n v="12395.82"/>
    <x v="8"/>
    <x v="389"/>
    <x v="117"/>
  </r>
  <r>
    <s v="1069"/>
    <s v="THOMAS VAZQUEZ (I)"/>
    <s v="16650"/>
    <s v="ASSOCIATED PKG/TX MESQUITE"/>
    <s v="750822"/>
    <s v="CHEWY - BNA"/>
    <x v="19"/>
    <s v="208571"/>
    <s v="HP 500 CLR-72mm x 914m-4 rls/cs-S"/>
    <m/>
    <n v="36573.78"/>
    <m/>
    <n v="79335.415999999997"/>
    <x v="8"/>
    <x v="389"/>
    <x v="62"/>
  </r>
  <r>
    <s v="1069"/>
    <s v="THOMAS VAZQUEZ (I)"/>
    <s v="16650"/>
    <s v="ASSOCIATED PKG/TX MESQUITE"/>
    <s v="750934"/>
    <s v="CARDINAL HEALTH"/>
    <x v="57"/>
    <s v="202420"/>
    <s v="PP 808 RED- 9MM X 165M- 96 RLS/CS-H/A"/>
    <m/>
    <n v="262.31"/>
    <m/>
    <n v="170.5"/>
    <x v="8"/>
    <x v="390"/>
    <x v="173"/>
  </r>
  <r>
    <s v="1069"/>
    <s v="THOMAS VAZQUEZ (I)"/>
    <s v="16650"/>
    <s v="ASSOCIATED PKG/TX MESQUITE"/>
    <s v="750942"/>
    <s v="SETECH SCS LLC /PATRICK IND"/>
    <x v="11"/>
    <s v="120407"/>
    <s v="CP 105 NAT-48mm x 55m-24 rls/cs-S"/>
    <m/>
    <n v="193.88"/>
    <m/>
    <n v="303.12"/>
    <x v="8"/>
    <x v="391"/>
    <x v="114"/>
  </r>
  <r>
    <s v="1069"/>
    <s v="THOMAS VAZQUEZ (I)"/>
    <s v="16650"/>
    <s v="ASSOCIATED PKG/TX MESQUITE"/>
    <s v="750942"/>
    <s v="SETECH SCS LLC /PATRICK IND"/>
    <x v="11"/>
    <s v="140431"/>
    <s v="CP 105 NAT-24mm x 55m- 36 rls/cs-S"/>
    <m/>
    <n v="77.7"/>
    <m/>
    <n v="113.66"/>
    <x v="8"/>
    <x v="391"/>
    <x v="49"/>
  </r>
  <r>
    <s v="1069"/>
    <s v="THOMAS VAZQUEZ (I)"/>
    <s v="16650"/>
    <s v="ASSOCIATED PKG/TX MESQUITE"/>
    <s v="750942"/>
    <s v="SETECH SCS LLC /PATRICK IND"/>
    <x v="3"/>
    <s v="207142"/>
    <s v="HP 100 CLR-48mm x 100m-36 rls/cs-S"/>
    <m/>
    <n v="106.92"/>
    <m/>
    <n v="413.32"/>
    <x v="8"/>
    <x v="391"/>
    <x v="22"/>
  </r>
  <r>
    <s v="1069"/>
    <s v="THOMAS VAZQUEZ (I)"/>
    <s v="16650"/>
    <s v="ASSOCIATED PKG/TX MESQUITE"/>
    <s v="751666"/>
    <s v="SHAWNEE MILLING"/>
    <x v="2"/>
    <s v="208511"/>
    <s v="HP 200 CLR-48mm x 1371m-6 rls/cs-S"/>
    <m/>
    <n v="4693.79"/>
    <m/>
    <n v="17000.28"/>
    <x v="8"/>
    <x v="392"/>
    <x v="4"/>
  </r>
  <r>
    <s v="1069"/>
    <s v="THOMAS VAZQUEZ (I)"/>
    <s v="16650"/>
    <s v="ASSOCIATED PKG/TX MESQUITE"/>
    <s v="751830"/>
    <s v="CHEWY.COM - HOU"/>
    <x v="19"/>
    <s v="207775"/>
    <s v="HP 500 CLR-72mm x 50m-24 rls/cs-H/A"/>
    <m/>
    <n v="2808.43"/>
    <m/>
    <n v="6197.91"/>
    <x v="8"/>
    <x v="393"/>
    <x v="117"/>
  </r>
  <r>
    <s v="1069"/>
    <s v="THOMAS VAZQUEZ (I)"/>
    <s v="16650"/>
    <s v="ASSOCIATED PKG/TX MESQUITE"/>
    <s v="751830"/>
    <s v="CHEWY.COM - HOU"/>
    <x v="19"/>
    <s v="208571"/>
    <s v="HP 500 CLR-72mm x 914m-4 rls/cs-S"/>
    <m/>
    <n v="5224.83"/>
    <m/>
    <n v="11333.630999999999"/>
    <x v="8"/>
    <x v="393"/>
    <x v="62"/>
  </r>
  <r>
    <s v="1601"/>
    <s v="CAM CLARK (I)"/>
    <s v="7841"/>
    <s v="ASSOCIATED PKG/TN MEMPHIS"/>
    <s v="7841"/>
    <s v="ASSOCIATED PKG/TN MEMPHIS"/>
    <x v="21"/>
    <s v="231059"/>
    <s v="AP 101 CLR-48mm x 1371m-6 rls/cs-H"/>
    <n v="128.41999999999999"/>
    <n v="1698.96"/>
    <n v="472.25299999999999"/>
    <n v="6611.5360000000001"/>
    <x v="9"/>
    <x v="394"/>
    <x v="197"/>
  </r>
  <r>
    <s v="1601"/>
    <s v="CAM CLARK (I)"/>
    <s v="7841"/>
    <s v="ASSOCIATED PKG/TN MEMPHIS"/>
    <s v="7841"/>
    <s v="ASSOCIATED PKG/TN MEMPHIS"/>
    <x v="50"/>
    <s v="172840"/>
    <s v="CP 066 NAT-24mm x 55m-36 rls/cs-X"/>
    <n v="136.86000000000001"/>
    <m/>
    <n v="170.49"/>
    <m/>
    <x v="9"/>
    <x v="394"/>
    <x v="151"/>
  </r>
  <r>
    <s v="1601"/>
    <s v="CAM CLARK (I)"/>
    <s v="7841"/>
    <s v="ASSOCIATED PKG/TN MEMPHIS"/>
    <s v="7841"/>
    <s v="ASSOCIATED PKG/TN MEMPHIS"/>
    <x v="12"/>
    <s v="101007"/>
    <s v="CP 106 NAT-36mm x 55m-24 rls/cs-S"/>
    <n v="439.08"/>
    <n v="470.45"/>
    <n v="681.96"/>
    <n v="681.96"/>
    <x v="9"/>
    <x v="394"/>
    <x v="146"/>
  </r>
  <r>
    <s v="1601"/>
    <s v="CAM CLARK (I)"/>
    <s v="7841"/>
    <s v="ASSOCIATED PKG/TN MEMPHIS"/>
    <s v="7841"/>
    <s v="ASSOCIATED PKG/TN MEMPHIS"/>
    <x v="12"/>
    <s v="101008"/>
    <s v="CP 106 NAT-48mm x 55m-24 rls/cs-S"/>
    <n v="93.61"/>
    <m/>
    <n v="151.56"/>
    <m/>
    <x v="9"/>
    <x v="394"/>
    <x v="60"/>
  </r>
  <r>
    <s v="1601"/>
    <s v="CAM CLARK (I)"/>
    <s v="7841"/>
    <s v="ASSOCIATED PKG/TN MEMPHIS"/>
    <s v="7841"/>
    <s v="ASSOCIATED PKG/TN MEMPHIS"/>
    <x v="12"/>
    <s v="101052"/>
    <s v="CP 106 NAT-18mm x 55m-48 rls/cs-S"/>
    <m/>
    <n v="304.13"/>
    <m/>
    <n v="454.72"/>
    <x v="9"/>
    <x v="394"/>
    <x v="198"/>
  </r>
  <r>
    <s v="1601"/>
    <s v="CAM CLARK (I)"/>
    <s v="7841"/>
    <s v="ASSOCIATED PKG/TN MEMPHIS"/>
    <s v="7841"/>
    <s v="ASSOCIATED PKG/TN MEMPHIS"/>
    <x v="27"/>
    <s v="105319"/>
    <s v="CP 225 GLD-18mm x 55m-64 rls/cs-H/T"/>
    <n v="1121.48"/>
    <m/>
    <n v="757.76"/>
    <m/>
    <x v="9"/>
    <x v="394"/>
    <x v="120"/>
  </r>
  <r>
    <s v="1601"/>
    <s v="CAM CLARK (I)"/>
    <s v="7841"/>
    <s v="ASSOCIATED PKG/TN MEMPHIS"/>
    <s v="7841"/>
    <s v="ASSOCIATED PKG/TN MEMPHIS"/>
    <x v="40"/>
    <s v="158828"/>
    <s v="CP 631 GRN-24mm x 55m-36 rls/cs-H"/>
    <n v="289.75"/>
    <m/>
    <n v="170.53200000000001"/>
    <m/>
    <x v="9"/>
    <x v="394"/>
    <x v="199"/>
  </r>
  <r>
    <s v="1601"/>
    <s v="CAM CLARK (I)"/>
    <s v="7841"/>
    <s v="ASSOCIATED PKG/TN MEMPHIS"/>
    <s v="7841"/>
    <s v="ASSOCIATED PKG/TN MEMPHIS"/>
    <x v="55"/>
    <s v="111951"/>
    <s v="CT 109 NAT- 12MM X 66M- 144 RLS/CS-H"/>
    <n v="684.29"/>
    <n v="752.72"/>
    <n v="825.24"/>
    <n v="825.24"/>
    <x v="9"/>
    <x v="394"/>
    <x v="153"/>
  </r>
  <r>
    <s v="1601"/>
    <s v="CAM CLARK (I)"/>
    <s v="7841"/>
    <s v="ASSOCIATED PKG/TN MEMPHIS"/>
    <s v="7841"/>
    <s v="ASSOCIATED PKG/TN MEMPHIS"/>
    <x v="36"/>
    <s v="203796"/>
    <s v="DP 050 CLR-48mm x 50m-24 rls/cs-H"/>
    <m/>
    <n v="1953.06"/>
    <m/>
    <n v="826.68"/>
    <x v="9"/>
    <x v="394"/>
    <x v="99"/>
  </r>
  <r>
    <s v="1601"/>
    <s v="CAM CLARK (I)"/>
    <s v="7841"/>
    <s v="ASSOCIATED PKG/TN MEMPHIS"/>
    <s v="7841"/>
    <s v="ASSOCIATED PKG/TN MEMPHIS"/>
    <x v="20"/>
    <s v="101073"/>
    <s v="FP 097 KFT-72mm x 55m-16 rls/cs-H/A"/>
    <n v="37225.74"/>
    <n v="30907.01"/>
    <n v="36601.74"/>
    <n v="27280.799999999999"/>
    <x v="9"/>
    <x v="394"/>
    <x v="81"/>
  </r>
  <r>
    <s v="1601"/>
    <s v="CAM CLARK (I)"/>
    <s v="7841"/>
    <s v="ASSOCIATED PKG/TN MEMPHIS"/>
    <s v="7841"/>
    <s v="ASSOCIATED PKG/TN MEMPHIS"/>
    <x v="8"/>
    <s v="101230"/>
    <s v="GS 490 CLR-48mm x 55m-24 rls/cs-H/A"/>
    <n v="323.14"/>
    <m/>
    <n v="303.12"/>
    <m/>
    <x v="9"/>
    <x v="394"/>
    <x v="70"/>
  </r>
  <r>
    <s v="1601"/>
    <s v="CAM CLARK (I)"/>
    <s v="7841"/>
    <s v="ASSOCIATED PKG/TN MEMPHIS"/>
    <s v="7841"/>
    <s v="ASSOCIATED PKG/TN MEMPHIS"/>
    <x v="3"/>
    <s v="207142"/>
    <s v="HP 100 CLR-48mm x 100m-36 rls/cs-S"/>
    <n v="5602.61"/>
    <n v="8852.98"/>
    <n v="24799.200000000001"/>
    <n v="37198.800000000003"/>
    <x v="9"/>
    <x v="394"/>
    <x v="22"/>
  </r>
  <r>
    <s v="1601"/>
    <s v="CAM CLARK (I)"/>
    <s v="7841"/>
    <s v="ASSOCIATED PKG/TN MEMPHIS"/>
    <s v="7841"/>
    <s v="ASSOCIATED PKG/TN MEMPHIS"/>
    <x v="3"/>
    <s v="207194"/>
    <s v="HP 100 CLR-72mm x 100m-24 rls/cs-S"/>
    <n v="24235.200000000001"/>
    <n v="26801.279999999999"/>
    <n v="123996"/>
    <n v="123996"/>
    <x v="9"/>
    <x v="394"/>
    <x v="50"/>
  </r>
  <r>
    <s v="1601"/>
    <s v="CAM CLARK (I)"/>
    <s v="7841"/>
    <s v="ASSOCIATED PKG/TN MEMPHIS"/>
    <s v="7841"/>
    <s v="ASSOCIATED PKG/TN MEMPHIS"/>
    <x v="3"/>
    <s v="208453"/>
    <s v="HP 100 CLR-48mm x 914m-6 rls/cs-S"/>
    <n v="4717.79"/>
    <n v="1144.28"/>
    <n v="20148.48"/>
    <n v="4407.4799999999996"/>
    <x v="9"/>
    <x v="394"/>
    <x v="24"/>
  </r>
  <r>
    <s v="1601"/>
    <s v="CAM CLARK (I)"/>
    <s v="7841"/>
    <s v="ASSOCIATED PKG/TN MEMPHIS"/>
    <s v="7841"/>
    <s v="ASSOCIATED PKG/TN MEMPHIS"/>
    <x v="3"/>
    <s v="208465"/>
    <s v="HP 100 CLR-72mm x 914m-4 rls/cs-S"/>
    <m/>
    <n v="10914.39"/>
    <m/>
    <n v="45334.080000000002"/>
    <x v="9"/>
    <x v="394"/>
    <x v="69"/>
  </r>
  <r>
    <s v="1601"/>
    <s v="CAM CLARK (I)"/>
    <s v="7841"/>
    <s v="ASSOCIATED PKG/TN MEMPHIS"/>
    <s v="7841"/>
    <s v="ASSOCIATED PKG/TN MEMPHIS"/>
    <x v="2"/>
    <s v="207149"/>
    <s v="HP 200 CLR-48mm x 100m-36 rls/cs-S"/>
    <n v="9323.42"/>
    <n v="3378.68"/>
    <n v="37198.800000000003"/>
    <n v="12399.6"/>
    <x v="9"/>
    <x v="394"/>
    <x v="3"/>
  </r>
  <r>
    <s v="1601"/>
    <s v="CAM CLARK (I)"/>
    <s v="7841"/>
    <s v="ASSOCIATED PKG/TN MEMPHIS"/>
    <s v="7841"/>
    <s v="ASSOCIATED PKG/TN MEMPHIS"/>
    <x v="2"/>
    <s v="207233"/>
    <s v="HP 200 CLR-72mm x 100m-24 rls/cs-S"/>
    <m/>
    <n v="30650.400000000001"/>
    <m/>
    <n v="123996"/>
    <x v="9"/>
    <x v="394"/>
    <x v="28"/>
  </r>
  <r>
    <s v="1601"/>
    <s v="CAM CLARK (I)"/>
    <s v="7841"/>
    <s v="ASSOCIATED PKG/TN MEMPHIS"/>
    <s v="7841"/>
    <s v="ASSOCIATED PKG/TN MEMPHIS"/>
    <x v="2"/>
    <s v="208492"/>
    <s v="HP 200 CLR-48mm x 914m-6 rls/cs-S"/>
    <n v="11581.57"/>
    <n v="3914.7"/>
    <n v="45334.080000000002"/>
    <n v="15111.36"/>
    <x v="9"/>
    <x v="394"/>
    <x v="6"/>
  </r>
  <r>
    <s v="1601"/>
    <s v="CAM CLARK (I)"/>
    <s v="7841"/>
    <s v="ASSOCIATED PKG/TN MEMPHIS"/>
    <s v="7841"/>
    <s v="ASSOCIATED PKG/TN MEMPHIS"/>
    <x v="2"/>
    <s v="208496"/>
    <s v="HP 200 CLR-72mm x 914m-4 rls/cs-S"/>
    <m/>
    <n v="8238.07"/>
    <m/>
    <n v="30222.720000000001"/>
    <x v="9"/>
    <x v="394"/>
    <x v="5"/>
  </r>
  <r>
    <s v="1601"/>
    <s v="CAM CLARK (I)"/>
    <s v="7841"/>
    <s v="ASSOCIATED PKG/TN MEMPHIS"/>
    <s v="7841"/>
    <s v="ASSOCIATED PKG/TN MEMPHIS"/>
    <x v="4"/>
    <s v="152664"/>
    <s v="HP 235 CR BISTOP-72mmx914m-4 rls/cs-NS"/>
    <m/>
    <n v="16102.86"/>
    <m/>
    <n v="27391.08"/>
    <x v="9"/>
    <x v="394"/>
    <x v="200"/>
  </r>
  <r>
    <s v="1601"/>
    <s v="CAM CLARK (I)"/>
    <s v="7841"/>
    <s v="ASSOCIATED PKG/TN MEMPHIS"/>
    <s v="7841"/>
    <s v="ASSOCIATED PKG/TN MEMPHIS"/>
    <x v="5"/>
    <s v="207852"/>
    <s v="HP 400 CLR-72mm x 50m-24 rls/cs-H"/>
    <n v="3828.69"/>
    <n v="516.07000000000005"/>
    <n v="4649.8500000000004"/>
    <n v="620.00599999999997"/>
    <x v="9"/>
    <x v="394"/>
    <x v="125"/>
  </r>
  <r>
    <s v="1601"/>
    <s v="CAM CLARK (I)"/>
    <s v="7841"/>
    <s v="ASSOCIATED PKG/TN MEMPHIS"/>
    <s v="7841"/>
    <s v="ASSOCIATED PKG/TN MEMPHIS"/>
    <x v="5"/>
    <s v="208547"/>
    <s v="HP 400 CLR-48mm x 914m-6 rls/cs-H/A"/>
    <n v="2957.76"/>
    <m/>
    <n v="5666.76"/>
    <m/>
    <x v="9"/>
    <x v="394"/>
    <x v="201"/>
  </r>
  <r>
    <s v="1601"/>
    <s v="CAM CLARK (I)"/>
    <s v="7841"/>
    <s v="ASSOCIATED PKG/TN MEMPHIS"/>
    <s v="7841"/>
    <s v="ASSOCIATED PKG/TN MEMPHIS"/>
    <x v="46"/>
    <s v="116925"/>
    <s v="HP 800 CLR-72mm x 50m-24 rls/cs-H"/>
    <n v="203.86"/>
    <m/>
    <n v="103.29900000000001"/>
    <m/>
    <x v="9"/>
    <x v="394"/>
    <x v="202"/>
  </r>
  <r>
    <s v="1601"/>
    <s v="CAM CLARK (I)"/>
    <s v="7841"/>
    <s v="ASSOCIATED PKG/TN MEMPHIS"/>
    <s v="7841"/>
    <s v="ASSOCIATED PKG/TN MEMPHIS"/>
    <x v="41"/>
    <s v="120954"/>
    <s v="PC 006 SIL-48mm x 55m-24 rls/cs-X"/>
    <n v="1171.8399999999999"/>
    <m/>
    <n v="1364.04"/>
    <m/>
    <x v="9"/>
    <x v="394"/>
    <x v="115"/>
  </r>
  <r>
    <s v="1601"/>
    <s v="CAM CLARK (I)"/>
    <s v="7841"/>
    <s v="ASSOCIATED PKG/TN MEMPHIS"/>
    <s v="7841"/>
    <s v="ASSOCIATED PKG/TN MEMPHIS"/>
    <x v="61"/>
    <s v="209438"/>
    <s v="PC 600 SIL-72mm  *DO NOT USE*"/>
    <n v="196.42"/>
    <m/>
    <n v="151.56"/>
    <m/>
    <x v="9"/>
    <x v="394"/>
    <x v="203"/>
  </r>
  <r>
    <s v="1601"/>
    <s v="CAM CLARK (I)"/>
    <s v="7841"/>
    <s v="ASSOCIATED PKG/TN MEMPHIS"/>
    <s v="7841"/>
    <s v="ASSOCIATED PKG/TN MEMPHIS"/>
    <x v="62"/>
    <s v="207423"/>
    <s v="PC 609 SIL-48mm x 55m-24 rls/cs-H/A"/>
    <n v="1998.69"/>
    <m/>
    <n v="909.36"/>
    <m/>
    <x v="9"/>
    <x v="394"/>
    <x v="204"/>
  </r>
  <r>
    <s v="1601"/>
    <s v="CAM CLARK (I)"/>
    <s v="7841"/>
    <s v="ASSOCIATED PKG/TN MEMPHIS"/>
    <s v="7841"/>
    <s v="ASSOCIATED PKG/TN MEMPHIS"/>
    <x v="63"/>
    <s v="198050"/>
    <s v="PE 444 RED- 48mm X 55m- 24 rls/cs-H/A"/>
    <n v="1340.06"/>
    <m/>
    <n v="757.8"/>
    <m/>
    <x v="9"/>
    <x v="394"/>
    <x v="205"/>
  </r>
  <r>
    <s v="1601"/>
    <s v="CAM CLARK (I)"/>
    <s v="7841"/>
    <s v="ASSOCIATED PKG/TN MEMPHIS"/>
    <s v="7841"/>
    <s v="ASSOCIATED PKG/TN MEMPHIS"/>
    <x v="64"/>
    <s v="101707"/>
    <s v="WP 200 NAT-72mmx138m(450ft)-10rls/cs-H/A"/>
    <m/>
    <n v="665.87"/>
    <m/>
    <n v="712.98"/>
    <x v="9"/>
    <x v="394"/>
    <x v="206"/>
  </r>
  <r>
    <s v="1601"/>
    <s v="CAM CLARK (I)"/>
    <s v="7841"/>
    <s v="ASSOCIATED PKG/TN MEMPHIS"/>
    <s v="27654"/>
    <s v="UNITED SOLUTIONS"/>
    <x v="10"/>
    <s v="909535"/>
    <s v="SD 935  PISTOL GRIP DISPNSR-3 IN. ROLL-S"/>
    <m/>
    <n v="133.06"/>
    <m/>
    <n v="0"/>
    <x v="9"/>
    <x v="395"/>
    <x v="33"/>
  </r>
  <r>
    <s v="1601"/>
    <s v="CAM CLARK (I)"/>
    <s v="7841"/>
    <s v="ASSOCIATED PKG/TN MEMPHIS"/>
    <s v="45277"/>
    <s v="CARLISLE SYNTEC"/>
    <x v="9"/>
    <s v="202851"/>
    <s v="VP 410 GRN- 50mm X 33m- 24 rls/cs-H"/>
    <m/>
    <n v="74.37"/>
    <m/>
    <n v="47.36"/>
    <x v="9"/>
    <x v="396"/>
    <x v="207"/>
  </r>
  <r>
    <s v="1601"/>
    <s v="CAM CLARK (I)"/>
    <s v="7841"/>
    <s v="ASSOCIATED PKG/TN MEMPHIS"/>
    <s v="46249"/>
    <s v="NORTHDOWN INDUSTRIES (MTI)"/>
    <x v="4"/>
    <s v="150721"/>
    <s v="HP 235 CLR-72mm x 914m-4 rls/cs-H"/>
    <n v="2507.63"/>
    <m/>
    <n v="5667.12"/>
    <m/>
    <x v="9"/>
    <x v="397"/>
    <x v="23"/>
  </r>
  <r>
    <s v="1601"/>
    <s v="CAM CLARK (I)"/>
    <s v="7841"/>
    <s v="ASSOCIATED PKG/TN MEMPHIS"/>
    <s v="76432"/>
    <s v="ELMER CANDY CORP"/>
    <x v="3"/>
    <s v="195553"/>
    <s v="HP 100 CLR-53mm x 1500m-6 rls/cs-S"/>
    <n v="8947.07"/>
    <n v="19125.84"/>
    <n v="41074.991999999998"/>
    <n v="82149.983999999997"/>
    <x v="9"/>
    <x v="398"/>
    <x v="18"/>
  </r>
  <r>
    <s v="1601"/>
    <s v="CAM CLARK (I)"/>
    <s v="7841"/>
    <s v="ASSOCIATED PKG/TN MEMPHIS"/>
    <s v="79333"/>
    <s v="NEEDLE SPECIALTY PRODUCTS"/>
    <x v="50"/>
    <s v="104640"/>
    <s v="CP 066 NAT-12mm x 55m-72 rls/cs- H"/>
    <m/>
    <n v="102.64"/>
    <m/>
    <n v="56.83"/>
    <x v="9"/>
    <x v="399"/>
    <x v="208"/>
  </r>
  <r>
    <s v="1601"/>
    <s v="CAM CLARK (I)"/>
    <s v="7841"/>
    <s v="ASSOCIATED PKG/TN MEMPHIS"/>
    <s v="90392"/>
    <s v="PRINTPACK INC"/>
    <x v="61"/>
    <s v="209438"/>
    <s v="PC 600 SIL-72mm  *DO NOT USE*"/>
    <n v="98.21"/>
    <m/>
    <n v="75.78"/>
    <m/>
    <x v="9"/>
    <x v="400"/>
    <x v="203"/>
  </r>
  <r>
    <s v="1601"/>
    <s v="CAM CLARK (I)"/>
    <s v="7841"/>
    <s v="ASSOCIATED PKG/TN MEMPHIS"/>
    <s v="700140"/>
    <s v="PLATTE CHEMICAL"/>
    <x v="5"/>
    <s v="208547"/>
    <s v="HP 400 CLR-48mm x 914m-6 rls/cs-H/A"/>
    <n v="6011.04"/>
    <n v="12625.12"/>
    <n v="11333.52"/>
    <n v="22667.040000000001"/>
    <x v="9"/>
    <x v="401"/>
    <x v="201"/>
  </r>
  <r>
    <s v="1601"/>
    <s v="CAM CLARK (I)"/>
    <s v="7841"/>
    <s v="ASSOCIATED PKG/TN MEMPHIS"/>
    <s v="708773"/>
    <s v="ASSOCIATED PKG FOR PICTSWEET"/>
    <x v="65"/>
    <s v="230973"/>
    <s v="AP 401 CLR-48mm x 100m-36 rls/cs-H/A"/>
    <m/>
    <n v="240.21"/>
    <m/>
    <n v="413.28"/>
    <x v="9"/>
    <x v="402"/>
    <x v="209"/>
  </r>
  <r>
    <s v="1601"/>
    <s v="CAM CLARK (I)"/>
    <s v="7841"/>
    <s v="ASSOCIATED PKG/TN MEMPHIS"/>
    <s v="708773"/>
    <s v="ASSOCIATED PKG FOR PICTSWEET"/>
    <x v="12"/>
    <s v="101008"/>
    <s v="CP 106 NAT-48mm x 55m-24 rls/cs-S"/>
    <m/>
    <n v="107.4"/>
    <m/>
    <n v="151.56"/>
    <x v="9"/>
    <x v="402"/>
    <x v="60"/>
  </r>
  <r>
    <s v="1601"/>
    <s v="CAM CLARK (I)"/>
    <s v="7841"/>
    <s v="ASSOCIATED PKG/TN MEMPHIS"/>
    <s v="708773"/>
    <s v="ASSOCIATED PKG FOR PICTSWEET"/>
    <x v="36"/>
    <s v="203796"/>
    <s v="DP 050 CLR-48mm x 50m-24 rls/cs-H"/>
    <n v="1502.58"/>
    <m/>
    <n v="826.68"/>
    <m/>
    <x v="9"/>
    <x v="402"/>
    <x v="99"/>
  </r>
  <r>
    <s v="1601"/>
    <s v="CAM CLARK (I)"/>
    <s v="7841"/>
    <s v="ASSOCIATED PKG/TN MEMPHIS"/>
    <s v="708773"/>
    <s v="ASSOCIATED PKG FOR PICTSWEET"/>
    <x v="20"/>
    <s v="101071"/>
    <s v="FP 097 KFT-24mm x 55m-36 rls/cs-H"/>
    <m/>
    <n v="661.48"/>
    <m/>
    <n v="454.64"/>
    <x v="9"/>
    <x v="402"/>
    <x v="210"/>
  </r>
  <r>
    <s v="1601"/>
    <s v="CAM CLARK (I)"/>
    <s v="7841"/>
    <s v="ASSOCIATED PKG/TN MEMPHIS"/>
    <s v="708773"/>
    <s v="ASSOCIATED PKG FOR PICTSWEET"/>
    <x v="33"/>
    <s v="101287"/>
    <s v="GS 501 CLR-24mm x 55m-36 rls/cs-H/A"/>
    <n v="1810.51"/>
    <m/>
    <n v="1136.5999999999999"/>
    <m/>
    <x v="9"/>
    <x v="402"/>
    <x v="211"/>
  </r>
  <r>
    <s v="1601"/>
    <s v="CAM CLARK (I)"/>
    <s v="7841"/>
    <s v="ASSOCIATED PKG/TN MEMPHIS"/>
    <s v="708773"/>
    <s v="ASSOCIATED PKG FOR PICTSWEET"/>
    <x v="3"/>
    <s v="208470"/>
    <s v="HP 100 CLR-48mm x 1371m-6 rls/cs- S"/>
    <n v="32311.23"/>
    <n v="44117.33"/>
    <n v="170002.8"/>
    <n v="221003.64"/>
    <x v="9"/>
    <x v="402"/>
    <x v="8"/>
  </r>
  <r>
    <s v="1601"/>
    <s v="CAM CLARK (I)"/>
    <s v="7841"/>
    <s v="ASSOCIATED PKG/TN MEMPHIS"/>
    <s v="708773"/>
    <s v="ASSOCIATED PKG FOR PICTSWEET"/>
    <x v="2"/>
    <s v="208496"/>
    <s v="HP 200 CLR-72mm x 914m-4 rls/cs-S"/>
    <n v="3244.67"/>
    <m/>
    <n v="11333.52"/>
    <m/>
    <x v="9"/>
    <x v="402"/>
    <x v="5"/>
  </r>
  <r>
    <s v="1601"/>
    <s v="CAM CLARK (I)"/>
    <s v="7841"/>
    <s v="ASSOCIATED PKG/TN MEMPHIS"/>
    <s v="708773"/>
    <s v="ASSOCIATED PKG FOR PICTSWEET"/>
    <x v="34"/>
    <s v="100052"/>
    <s v="HP 232 CLR-48mm x 1371m-6 rls/cs-H/T"/>
    <n v="8848.7000000000007"/>
    <m/>
    <n v="34001.279999999999"/>
    <m/>
    <x v="9"/>
    <x v="402"/>
    <x v="212"/>
  </r>
  <r>
    <s v="1601"/>
    <s v="CAM CLARK (I)"/>
    <s v="7841"/>
    <s v="ASSOCIATED PKG/TN MEMPHIS"/>
    <s v="708773"/>
    <s v="ASSOCIATED PKG FOR PICTSWEET"/>
    <x v="5"/>
    <s v="207852"/>
    <s v="HP 400 CLR-72mm x 50m-24 rls/cs-H"/>
    <m/>
    <n v="1810.51"/>
    <m/>
    <n v="2066.6880000000001"/>
    <x v="9"/>
    <x v="402"/>
    <x v="125"/>
  </r>
  <r>
    <s v="1601"/>
    <s v="CAM CLARK (I)"/>
    <s v="7841"/>
    <s v="ASSOCIATED PKG/TN MEMPHIS"/>
    <s v="708773"/>
    <s v="ASSOCIATED PKG FOR PICTSWEET"/>
    <x v="5"/>
    <s v="208547"/>
    <s v="HP 400 CLR-48mm x 914m-6 rls/cs-H/A"/>
    <m/>
    <n v="1052.0899999999999"/>
    <m/>
    <n v="1888.92"/>
    <x v="9"/>
    <x v="402"/>
    <x v="201"/>
  </r>
  <r>
    <s v="1601"/>
    <s v="CAM CLARK (I)"/>
    <s v="7841"/>
    <s v="ASSOCIATED PKG/TN MEMPHIS"/>
    <s v="708773"/>
    <s v="ASSOCIATED PKG FOR PICTSWEET"/>
    <x v="66"/>
    <s v="900086"/>
    <s v="Phoenix M-1 Manual WAT Dispenser"/>
    <m/>
    <n v="337.26"/>
    <m/>
    <n v="0"/>
    <x v="9"/>
    <x v="402"/>
    <x v="213"/>
  </r>
  <r>
    <s v="1601"/>
    <s v="CAM CLARK (I)"/>
    <s v="7841"/>
    <s v="ASSOCIATED PKG/TN MEMPHIS"/>
    <s v="708773"/>
    <s v="ASSOCIATED PKG FOR PICTSWEET"/>
    <x v="62"/>
    <s v="207423"/>
    <s v="PC 609 SIL-48mm x 55m-24 rls/cs-H/A"/>
    <m/>
    <n v="2169.7600000000002"/>
    <m/>
    <n v="909.36"/>
    <x v="9"/>
    <x v="402"/>
    <x v="204"/>
  </r>
  <r>
    <s v="1601"/>
    <s v="CAM CLARK (I)"/>
    <s v="7841"/>
    <s v="ASSOCIATED PKG/TN MEMPHIS"/>
    <s v="708773"/>
    <s v="ASSOCIATED PKG FOR PICTSWEET"/>
    <x v="63"/>
    <s v="198050"/>
    <s v="PE 444 RED- 48mm X 55m- 24 rls/cs-H/A"/>
    <m/>
    <n v="1406.6"/>
    <m/>
    <n v="757.8"/>
    <x v="9"/>
    <x v="402"/>
    <x v="205"/>
  </r>
  <r>
    <s v="1601"/>
    <s v="CAM CLARK (I)"/>
    <s v="7841"/>
    <s v="ASSOCIATED PKG/TN MEMPHIS"/>
    <s v="708773"/>
    <s v="ASSOCIATED PKG FOR PICTSWEET"/>
    <x v="64"/>
    <s v="101707"/>
    <s v="WP 200 NAT-72mmx138m(450ft)-10rls/cs-H/A"/>
    <m/>
    <n v="110.98"/>
    <m/>
    <n v="118.83"/>
    <x v="9"/>
    <x v="402"/>
    <x v="206"/>
  </r>
  <r>
    <s v="1601"/>
    <s v="CAM CLARK (I)"/>
    <s v="7841"/>
    <s v="ASSOCIATED PKG/TN MEMPHIS"/>
    <s v="717793"/>
    <s v="CALBEE NORTH AMERICA"/>
    <x v="3"/>
    <s v="208453"/>
    <s v="HP 100 CLR-48mm x 914m-6 rls/cs-S"/>
    <n v="23414.06"/>
    <n v="12294.37"/>
    <n v="60445.440000000002"/>
    <n v="30222.720000000001"/>
    <x v="9"/>
    <x v="403"/>
    <x v="24"/>
  </r>
  <r>
    <s v="1601"/>
    <s v="CAM CLARK (I)"/>
    <s v="7841"/>
    <s v="ASSOCIATED PKG/TN MEMPHIS"/>
    <s v="717860"/>
    <s v="SYNOVOS"/>
    <x v="46"/>
    <s v="125419"/>
    <s v="HP 800 CLR-48mm x 50m-36 rls/cs-H"/>
    <n v="17564.099999999999"/>
    <m/>
    <n v="8473.06"/>
    <m/>
    <x v="9"/>
    <x v="404"/>
    <x v="124"/>
  </r>
  <r>
    <s v="1601"/>
    <s v="CAM CLARK (I)"/>
    <s v="7841"/>
    <s v="ASSOCIATED PKG/TN MEMPHIS"/>
    <s v="717860"/>
    <s v="SYNOVOS"/>
    <x v="46"/>
    <s v="208836"/>
    <s v="HP 800 CLR-48mm x 914m-6 rls/cs-NS"/>
    <n v="21367.97"/>
    <m/>
    <n v="14166.9"/>
    <m/>
    <x v="9"/>
    <x v="404"/>
    <x v="214"/>
  </r>
  <r>
    <s v="1601"/>
    <s v="CAM CLARK (I)"/>
    <s v="7841"/>
    <s v="ASSOCIATED PKG/TN MEMPHIS"/>
    <s v="718680"/>
    <s v="ASSOCIATED PKG FOR PFS WEB"/>
    <x v="21"/>
    <s v="231059"/>
    <s v="AP 101 CLR-48mm x 1371m-6 rls/cs-H"/>
    <n v="1284.23"/>
    <m/>
    <n v="4722.5259999999998"/>
    <m/>
    <x v="9"/>
    <x v="405"/>
    <x v="197"/>
  </r>
  <r>
    <s v="1601"/>
    <s v="CAM CLARK (I)"/>
    <s v="7841"/>
    <s v="ASSOCIATED PKG/TN MEMPHIS"/>
    <s v="718680"/>
    <s v="ASSOCIATED PKG FOR PFS WEB"/>
    <x v="12"/>
    <s v="101007"/>
    <s v="CP 106 NAT-36mm x 55m-24 rls/cs-S"/>
    <m/>
    <n v="470.45"/>
    <m/>
    <n v="681.96"/>
    <x v="9"/>
    <x v="405"/>
    <x v="146"/>
  </r>
  <r>
    <s v="1601"/>
    <s v="CAM CLARK (I)"/>
    <s v="7841"/>
    <s v="ASSOCIATED PKG/TN MEMPHIS"/>
    <s v="718680"/>
    <s v="ASSOCIATED PKG FOR PFS WEB"/>
    <x v="12"/>
    <s v="101008"/>
    <s v="CP 106 NAT-48mm x 55m-24 rls/cs-S"/>
    <m/>
    <n v="268.49"/>
    <m/>
    <n v="378.9"/>
    <x v="9"/>
    <x v="405"/>
    <x v="60"/>
  </r>
  <r>
    <s v="1601"/>
    <s v="CAM CLARK (I)"/>
    <s v="7841"/>
    <s v="ASSOCIATED PKG/TN MEMPHIS"/>
    <s v="718680"/>
    <s v="ASSOCIATED PKG FOR PFS WEB"/>
    <x v="36"/>
    <s v="203796"/>
    <s v="DP 050 CLR-48mm x 50m-24 rls/cs-H"/>
    <n v="1502.58"/>
    <m/>
    <n v="826.68"/>
    <m/>
    <x v="9"/>
    <x v="405"/>
    <x v="99"/>
  </r>
  <r>
    <s v="1601"/>
    <s v="CAM CLARK (I)"/>
    <s v="7841"/>
    <s v="ASSOCIATED PKG/TN MEMPHIS"/>
    <s v="718680"/>
    <s v="ASSOCIATED PKG FOR PFS WEB"/>
    <x v="20"/>
    <s v="101073"/>
    <s v="FP 097 KFT-72mm x 55m-16 rls/cs-H/A"/>
    <n v="2569.88"/>
    <n v="82228.600000000006"/>
    <n v="2424.96"/>
    <n v="76386.240000000005"/>
    <x v="9"/>
    <x v="405"/>
    <x v="81"/>
  </r>
  <r>
    <s v="1601"/>
    <s v="CAM CLARK (I)"/>
    <s v="7841"/>
    <s v="ASSOCIATED PKG/TN MEMPHIS"/>
    <s v="718680"/>
    <s v="ASSOCIATED PKG FOR PFS WEB"/>
    <x v="3"/>
    <s v="207142"/>
    <s v="HP 100 CLR-48mm x 100m-36 rls/cs-S"/>
    <n v="2950.99"/>
    <m/>
    <n v="12399.6"/>
    <m/>
    <x v="9"/>
    <x v="405"/>
    <x v="22"/>
  </r>
  <r>
    <s v="1601"/>
    <s v="CAM CLARK (I)"/>
    <s v="7841"/>
    <s v="ASSOCIATED PKG/TN MEMPHIS"/>
    <s v="718680"/>
    <s v="ASSOCIATED PKG FOR PFS WEB"/>
    <x v="2"/>
    <s v="207149"/>
    <s v="HP 200 CLR-48mm x 100m-36 rls/cs-S"/>
    <m/>
    <n v="2815.56"/>
    <m/>
    <n v="10333"/>
    <x v="9"/>
    <x v="405"/>
    <x v="3"/>
  </r>
  <r>
    <s v="1601"/>
    <s v="CAM CLARK (I)"/>
    <s v="7841"/>
    <s v="ASSOCIATED PKG/TN MEMPHIS"/>
    <s v="718680"/>
    <s v="ASSOCIATED PKG FOR PFS WEB"/>
    <x v="2"/>
    <s v="207233"/>
    <s v="HP 200 CLR-72mm x 100m-24 rls/cs-S"/>
    <n v="70579.08"/>
    <m/>
    <n v="299657"/>
    <m/>
    <x v="9"/>
    <x v="405"/>
    <x v="28"/>
  </r>
  <r>
    <s v="1601"/>
    <s v="CAM CLARK (I)"/>
    <s v="7841"/>
    <s v="ASSOCIATED PKG/TN MEMPHIS"/>
    <s v="718680"/>
    <s v="ASSOCIATED PKG FOR PFS WEB"/>
    <x v="5"/>
    <s v="208558"/>
    <s v="HP 400 CLR-72mm x 914m-4 rls/cs-H/A"/>
    <m/>
    <n v="1152.83"/>
    <m/>
    <n v="2518.6030000000001"/>
    <x v="9"/>
    <x v="405"/>
    <x v="20"/>
  </r>
  <r>
    <s v="1601"/>
    <s v="CAM CLARK (I)"/>
    <s v="7841"/>
    <s v="ASSOCIATED PKG/TN MEMPHIS"/>
    <s v="718680"/>
    <s v="ASSOCIATED PKG FOR PFS WEB"/>
    <x v="61"/>
    <s v="209438"/>
    <s v="PC 600 SIL-72mm  *DO NOT USE*"/>
    <n v="196.42"/>
    <m/>
    <n v="151.56"/>
    <m/>
    <x v="9"/>
    <x v="405"/>
    <x v="203"/>
  </r>
  <r>
    <s v="1601"/>
    <s v="CAM CLARK (I)"/>
    <s v="7841"/>
    <s v="ASSOCIATED PKG/TN MEMPHIS"/>
    <s v="718680"/>
    <s v="ASSOCIATED PKG FOR PFS WEB"/>
    <x v="62"/>
    <s v="207423"/>
    <s v="PC 609 SIL-48mm x 55m-24 rls/cs-H/A"/>
    <n v="2047.16"/>
    <m/>
    <n v="909.36"/>
    <m/>
    <x v="9"/>
    <x v="405"/>
    <x v="204"/>
  </r>
  <r>
    <s v="1601"/>
    <s v="CAM CLARK (I)"/>
    <s v="7841"/>
    <s v="ASSOCIATED PKG/TN MEMPHIS"/>
    <s v="719039"/>
    <s v="AXEL AMERICAS LLC"/>
    <x v="2"/>
    <s v="208492"/>
    <s v="HP 200 CLR-48mm x 914m-6 rls/cs-S"/>
    <n v="3735.07"/>
    <n v="3914.7"/>
    <n v="15111.36"/>
    <n v="15111.36"/>
    <x v="9"/>
    <x v="406"/>
    <x v="6"/>
  </r>
  <r>
    <s v="1601"/>
    <s v="CAM CLARK (I)"/>
    <s v="7841"/>
    <s v="ASSOCIATED PKG/TN MEMPHIS"/>
    <s v="719067"/>
    <s v="DRUMHELLER PACKAGING"/>
    <x v="37"/>
    <s v="100763"/>
    <s v="DF 065 NAT-18mm x 33m-48 rls/cs-H/A"/>
    <m/>
    <n v="1066.3499999999999"/>
    <m/>
    <n v="144"/>
    <x v="9"/>
    <x v="407"/>
    <x v="215"/>
  </r>
  <r>
    <s v="1601"/>
    <s v="CAM CLARK (I)"/>
    <s v="7841"/>
    <s v="ASSOCIATED PKG/TN MEMPHIS"/>
    <s v="721581"/>
    <s v="RICH PRODUCTS"/>
    <x v="3"/>
    <s v="104315"/>
    <s v="HP 100 CLR-72mm x 1500m-4 rls/cs-H/T"/>
    <n v="19654.740000000002"/>
    <n v="25968.720000000001"/>
    <n v="93002.4"/>
    <n v="111602.88"/>
    <x v="9"/>
    <x v="408"/>
    <x v="34"/>
  </r>
  <r>
    <s v="1601"/>
    <s v="CAM CLARK (I)"/>
    <s v="7841"/>
    <s v="ASSOCIATED PKG/TN MEMPHIS"/>
    <s v="733143"/>
    <s v="ASSOCIATED PKG FOR HOMEGOODS"/>
    <x v="65"/>
    <s v="230976"/>
    <s v="AP 401 CLR-72mm x 100m-24 rls/cs-H"/>
    <n v="1896.05"/>
    <m/>
    <n v="4133.3760000000002"/>
    <m/>
    <x v="9"/>
    <x v="409"/>
    <x v="216"/>
  </r>
  <r>
    <s v="1601"/>
    <s v="CAM CLARK (I)"/>
    <s v="7841"/>
    <s v="ASSOCIATED PKG/TN MEMPHIS"/>
    <s v="733143"/>
    <s v="ASSOCIATED PKG FOR HOMEGOODS"/>
    <x v="40"/>
    <s v="114685"/>
    <s v="CP 631 RED-48mm x 55m-24 rls/cs-H"/>
    <n v="290.11"/>
    <m/>
    <n v="227.304"/>
    <m/>
    <x v="9"/>
    <x v="409"/>
    <x v="217"/>
  </r>
  <r>
    <s v="1601"/>
    <s v="CAM CLARK (I)"/>
    <s v="7841"/>
    <s v="ASSOCIATED PKG/TN MEMPHIS"/>
    <s v="733143"/>
    <s v="ASSOCIATED PKG FOR HOMEGOODS"/>
    <x v="2"/>
    <s v="208492"/>
    <s v="HP 200 CLR-48mm x 914m-6 rls/cs-S"/>
    <n v="3735.07"/>
    <m/>
    <n v="15111.36"/>
    <m/>
    <x v="9"/>
    <x v="409"/>
    <x v="6"/>
  </r>
  <r>
    <s v="1601"/>
    <s v="CAM CLARK (I)"/>
    <s v="7841"/>
    <s v="ASSOCIATED PKG/TN MEMPHIS"/>
    <s v="733143"/>
    <s v="ASSOCIATED PKG FOR HOMEGOODS"/>
    <x v="6"/>
    <s v="207870"/>
    <s v="HP 300 CLR-72mm x 100m-24 RLS/CS-H"/>
    <n v="570.24"/>
    <n v="7549.98"/>
    <n v="1653.36"/>
    <n v="19840.32"/>
    <x v="9"/>
    <x v="409"/>
    <x v="79"/>
  </r>
  <r>
    <s v="1601"/>
    <s v="CAM CLARK (I)"/>
    <s v="7841"/>
    <s v="ASSOCIATED PKG/TN MEMPHIS"/>
    <s v="733431"/>
    <s v="GENERIC ONE TIME SHIP-TO B2B DIST P"/>
    <x v="5"/>
    <s v="207845"/>
    <s v="HP 400 CLR-72mm x 100m-24 rls/cs-H/A"/>
    <m/>
    <n v="1813.36"/>
    <m/>
    <n v="3306.72"/>
    <x v="9"/>
    <x v="34"/>
    <x v="19"/>
  </r>
  <r>
    <s v="1601"/>
    <s v="CAM CLARK (I)"/>
    <s v="7841"/>
    <s v="ASSOCIATED PKG/TN MEMPHIS"/>
    <s v="736340"/>
    <s v="HELENA INDUSTRIES"/>
    <x v="3"/>
    <s v="195553"/>
    <s v="HP 100 CLR-53mm x 1500m-6 rls/cs-S"/>
    <m/>
    <n v="11923.72"/>
    <m/>
    <n v="41074.991999999998"/>
    <x v="9"/>
    <x v="410"/>
    <x v="18"/>
  </r>
  <r>
    <s v="1601"/>
    <s v="CAM CLARK (I)"/>
    <s v="7841"/>
    <s v="ASSOCIATED PKG/TN MEMPHIS"/>
    <s v="736340"/>
    <s v="HELENA INDUSTRIES"/>
    <x v="18"/>
    <s v="900617"/>
    <s v="SD 932  PISTOL GRIP TAPE DISP. ECONOMY-S"/>
    <m/>
    <n v="32.47"/>
    <m/>
    <n v="0"/>
    <x v="9"/>
    <x v="410"/>
    <x v="47"/>
  </r>
  <r>
    <s v="1601"/>
    <s v="CAM CLARK (I)"/>
    <s v="7841"/>
    <s v="ASSOCIATED PKG/TN MEMPHIS"/>
    <s v="738223"/>
    <s v="ALL AMERICAN LABEL"/>
    <x v="19"/>
    <s v="207831"/>
    <s v="HP 500 CLR-48mm x 50m-36 rls/cs-H/A"/>
    <n v="102.64"/>
    <n v="102.29"/>
    <n v="103.33"/>
    <n v="103.33"/>
    <x v="9"/>
    <x v="411"/>
    <x v="54"/>
  </r>
  <r>
    <s v="1601"/>
    <s v="CAM CLARK (I)"/>
    <s v="7841"/>
    <s v="ASSOCIATED PKG/TN MEMPHIS"/>
    <s v="738223"/>
    <s v="ALL AMERICAN LABEL"/>
    <x v="19"/>
    <s v="207891"/>
    <s v="HP 500 TAN-48mm x 50m-36 rls/cs-H"/>
    <n v="287.26"/>
    <n v="286.54000000000002"/>
    <n v="206.66"/>
    <n v="206.66"/>
    <x v="9"/>
    <x v="411"/>
    <x v="218"/>
  </r>
  <r>
    <s v="1601"/>
    <s v="CAM CLARK (I)"/>
    <s v="7841"/>
    <s v="ASSOCIATED PKG/TN MEMPHIS"/>
    <s v="741565"/>
    <s v="TBDN"/>
    <x v="40"/>
    <s v="109856"/>
    <s v="CP 631 BLK-48mm x 55m-24 rls/cs-H/T"/>
    <m/>
    <n v="520.35"/>
    <m/>
    <n v="378.84"/>
    <x v="9"/>
    <x v="412"/>
    <x v="219"/>
  </r>
  <r>
    <s v="1601"/>
    <s v="CAM CLARK (I)"/>
    <s v="7841"/>
    <s v="ASSOCIATED PKG/TN MEMPHIS"/>
    <s v="741630"/>
    <s v="HEARTLAND CATFISH"/>
    <x v="1"/>
    <s v="230964"/>
    <s v="AP 201 CLR-48mm x 914m-6 rls/cs-H/A"/>
    <m/>
    <n v="7983.36"/>
    <m/>
    <n v="30223.295999999998"/>
    <x v="9"/>
    <x v="413"/>
    <x v="27"/>
  </r>
  <r>
    <s v="1601"/>
    <s v="CAM CLARK (I)"/>
    <s v="7841"/>
    <s v="ASSOCIATED PKG/TN MEMPHIS"/>
    <s v="742049"/>
    <s v="HOLLOWELL INDUSTIRES"/>
    <x v="19"/>
    <s v="208561"/>
    <s v="HP 500 CLR-48mm x 914m-6 rls/cs-H"/>
    <n v="1045.5"/>
    <m/>
    <n v="944.46"/>
    <m/>
    <x v="9"/>
    <x v="414"/>
    <x v="48"/>
  </r>
  <r>
    <s v="1601"/>
    <s v="CAM CLARK (I)"/>
    <s v="7841"/>
    <s v="ASSOCIATED PKG/TN MEMPHIS"/>
    <s v="744002"/>
    <s v="ADP DISTRIBUTORS"/>
    <x v="3"/>
    <s v="208465"/>
    <s v="HP 100 CLR-72mm x 914m-4 rls/cs-S"/>
    <n v="7295.28"/>
    <n v="7515.76"/>
    <n v="30222.720000000001"/>
    <n v="30222.720000000001"/>
    <x v="9"/>
    <x v="415"/>
    <x v="69"/>
  </r>
  <r>
    <s v="1601"/>
    <s v="CAM CLARK (I)"/>
    <s v="7841"/>
    <s v="ASSOCIATED PKG/TN MEMPHIS"/>
    <s v="745328"/>
    <s v="ASAP WAREHOUSE FOR PICTSWEET"/>
    <x v="34"/>
    <s v="100052"/>
    <s v="HP 232 CLR-48mm x 1371m-6 rls/cs-H/T"/>
    <n v="8425.2999999999993"/>
    <m/>
    <n v="34001.279999999999"/>
    <m/>
    <x v="9"/>
    <x v="416"/>
    <x v="212"/>
  </r>
  <r>
    <s v="1601"/>
    <s v="CAM CLARK (I)"/>
    <s v="7841"/>
    <s v="ASSOCIATED PKG/TN MEMPHIS"/>
    <s v="746667"/>
    <s v="MAHAR TOOL SUPPLY"/>
    <x v="21"/>
    <s v="230982"/>
    <s v="AP 101 CLR-48mm x 100m-36 rls/cs-S"/>
    <n v="997.21"/>
    <n v="513.57000000000005"/>
    <n v="4339.4399999999996"/>
    <n v="2273.04"/>
    <x v="9"/>
    <x v="417"/>
    <x v="55"/>
  </r>
  <r>
    <s v="1601"/>
    <s v="CAM CLARK (I)"/>
    <s v="7841"/>
    <s v="ASSOCIATED PKG/TN MEMPHIS"/>
    <s v="751470"/>
    <s v="AWC INC"/>
    <x v="9"/>
    <s v="100742"/>
    <s v="VP 410 GRN-75mm x 33m-18 rls/cs-H"/>
    <m/>
    <n v="83.58"/>
    <m/>
    <n v="53.28"/>
    <x v="9"/>
    <x v="418"/>
    <x v="220"/>
  </r>
  <r>
    <s v="1601"/>
    <s v="CAM CLARK (I)"/>
    <s v="7841"/>
    <s v="ASSOCIATED PKG/TN MEMPHIS"/>
    <s v="751546"/>
    <s v="PFS WEB"/>
    <x v="20"/>
    <s v="101073"/>
    <s v="FP 097 KFT-72mm x 55m-16 rls/cs-H/A"/>
    <m/>
    <n v="2318.0300000000002"/>
    <m/>
    <n v="2046.06"/>
    <x v="9"/>
    <x v="419"/>
    <x v="81"/>
  </r>
  <r>
    <s v="1601"/>
    <s v="CAM CLARK (I)"/>
    <s v="7841"/>
    <s v="ASSOCIATED PKG/TN MEMPHIS"/>
    <s v="751546"/>
    <s v="PFS WEB"/>
    <x v="2"/>
    <s v="207233"/>
    <s v="HP 200 CLR-72mm x 100m-24 rls/cs-S"/>
    <m/>
    <n v="3122.06"/>
    <m/>
    <n v="12399.6"/>
    <x v="9"/>
    <x v="419"/>
    <x v="28"/>
  </r>
  <r>
    <s v="1601"/>
    <s v="CAM CLARK (I)"/>
    <s v="7841"/>
    <s v="ASSOCIATED PKG/TN MEMPHIS"/>
    <s v="751735"/>
    <s v="ASSOCIATED FOR EVERSANA"/>
    <x v="4"/>
    <s v="152664"/>
    <s v="HP 235 CR BISTOP-72mmx914m-4 rls/cs-NS"/>
    <m/>
    <n v="15588.94"/>
    <m/>
    <n v="28335.599999999999"/>
    <x v="9"/>
    <x v="420"/>
    <x v="200"/>
  </r>
  <r>
    <s v="1601"/>
    <s v="CAM CLARK (I)"/>
    <s v="7841"/>
    <s v="ASSOCIATED PKG/TN MEMPHIS"/>
    <s v="751748"/>
    <s v="COMMUNITY COFFEE CO"/>
    <x v="2"/>
    <s v="207233"/>
    <s v="HP 200 CLR-72mm x 100m-24 rls/cs-S"/>
    <m/>
    <n v="3207.6"/>
    <m/>
    <n v="12399.6"/>
    <x v="9"/>
    <x v="421"/>
    <x v="28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  <r>
    <m/>
    <m/>
    <m/>
    <m/>
    <m/>
    <m/>
    <x v="67"/>
    <m/>
    <m/>
    <m/>
    <m/>
    <m/>
    <m/>
    <x v="10"/>
    <x v="422"/>
    <x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Sold To  -  Ship To  -  Product Type  -  Material">
  <location ref="A1:I75" firstHeaderRow="0" firstDataRow="1" firstDataCol="1"/>
  <pivotFields count="20">
    <pivotField showAll="0"/>
    <pivotField showAll="0"/>
    <pivotField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efaultSubtotal="0"/>
    <pivotField showAll="0" defaultSubtotal="0"/>
    <pivotField axis="axisRow" showAll="0" sortType="descending">
      <items count="115">
        <item sd="0" m="1" x="91"/>
        <item sd="0" x="56"/>
        <item sd="0" x="21"/>
        <item sd="0" x="0"/>
        <item sd="0" x="15"/>
        <item sd="0" x="60"/>
        <item sd="0" x="11"/>
        <item sd="0" x="12"/>
        <item sd="0" x="24"/>
        <item sd="0" x="37"/>
        <item sd="0" m="1" x="69"/>
        <item sd="0" x="14"/>
        <item sd="0" x="20"/>
        <item sd="0" x="8"/>
        <item sd="0" x="33"/>
        <item sd="0" m="1" x="68"/>
        <item sd="0" x="3"/>
        <item sd="0" x="2"/>
        <item sd="0" x="34"/>
        <item sd="0" x="6"/>
        <item sd="0" x="5"/>
        <item sd="0" x="19"/>
        <item sd="0" x="46"/>
        <item sd="0" x="22"/>
        <item sd="0" x="62"/>
        <item sd="0" x="9"/>
        <item sd="0" x="40"/>
        <item sd="0" x="52"/>
        <item sd="0" x="45"/>
        <item sd="0" m="1" x="101"/>
        <item sd="0" x="1"/>
        <item sd="0" m="1" x="74"/>
        <item sd="0" x="31"/>
        <item sd="0" x="25"/>
        <item sd="0" m="1" x="87"/>
        <item sd="0" m="1" x="89"/>
        <item sd="0" x="38"/>
        <item sd="0" x="16"/>
        <item sd="0" x="30"/>
        <item sd="0" m="1" x="92"/>
        <item sd="0" m="1" x="96"/>
        <item sd="0" x="36"/>
        <item sd="0" x="4"/>
        <item sd="0" x="23"/>
        <item sd="0" x="29"/>
        <item sd="0" m="1" x="106"/>
        <item sd="0" x="57"/>
        <item sd="0" x="67"/>
        <item sd="0" m="1" x="80"/>
        <item sd="0" x="63"/>
        <item sd="0" m="1" x="72"/>
        <item sd="0" m="1" x="94"/>
        <item sd="0" m="1" x="79"/>
        <item sd="0" m="1" x="112"/>
        <item sd="0" x="7"/>
        <item sd="0" x="17"/>
        <item sd="0" m="1" x="99"/>
        <item sd="0" x="18"/>
        <item sd="0" x="10"/>
        <item sd="0" m="1" x="73"/>
        <item sd="0" x="35"/>
        <item sd="0" m="1" x="95"/>
        <item sd="0" x="39"/>
        <item sd="0" m="1" x="100"/>
        <item sd="0" m="1" x="111"/>
        <item sd="0" m="1" x="84"/>
        <item sd="0" m="1" x="77"/>
        <item sd="0" x="65"/>
        <item sd="0" x="61"/>
        <item sd="0" x="50"/>
        <item sd="0" x="13"/>
        <item sd="0" m="1" x="98"/>
        <item sd="0" m="1" x="107"/>
        <item sd="0" m="1" x="71"/>
        <item sd="0" x="55"/>
        <item sd="0" x="49"/>
        <item sd="0" m="1" x="105"/>
        <item sd="0" m="1" x="104"/>
        <item sd="0" m="1" x="78"/>
        <item sd="0" m="1" x="97"/>
        <item sd="0" m="1" x="83"/>
        <item sd="0" x="64"/>
        <item sd="0" x="44"/>
        <item sd="0" x="26"/>
        <item sd="0" m="1" x="113"/>
        <item sd="0" x="28"/>
        <item sd="0" m="1" x="75"/>
        <item sd="0" x="41"/>
        <item sd="0" m="1" x="85"/>
        <item sd="0" x="32"/>
        <item sd="0" x="42"/>
        <item sd="0" m="1" x="76"/>
        <item sd="0" x="53"/>
        <item sd="0" m="1" x="86"/>
        <item sd="0" x="59"/>
        <item sd="0" m="1" x="110"/>
        <item sd="0" x="54"/>
        <item sd="0" m="1" x="90"/>
        <item sd="0" x="43"/>
        <item sd="0" x="47"/>
        <item sd="0" m="1" x="108"/>
        <item sd="0" m="1" x="82"/>
        <item sd="0" m="1" x="81"/>
        <item sd="0" m="1" x="93"/>
        <item sd="0" m="1" x="102"/>
        <item sd="0" m="1" x="103"/>
        <item sd="0" x="27"/>
        <item sd="0" x="48"/>
        <item sd="0" m="1" x="70"/>
        <item sd="0" x="51"/>
        <item sd="0" m="1" x="88"/>
        <item sd="0" m="1" x="109"/>
        <item sd="0" x="66"/>
        <item sd="0" x="58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showAll="0"/>
    <pivotField dataField="1" showAll="0"/>
    <pivotField dataField="1" showAll="0"/>
    <pivotField dataField="1" showAll="0" defaultSubtotal="0"/>
    <pivotField dataField="1" showAll="0" defaultSubtotal="0"/>
    <pivotField axis="axisRow" showAll="0" sortType="descending">
      <items count="16">
        <item sd="0" x="9"/>
        <item sd="0" x="7"/>
        <item sd="0" x="6"/>
        <item sd="0" x="2"/>
        <item sd="0" x="4"/>
        <item sd="0" x="3"/>
        <item sd="0" x="1"/>
        <item sd="0" x="0"/>
        <item sd="0" x="5"/>
        <item x="8"/>
        <item sd="0" x="10"/>
        <item sd="0" m="1" x="14"/>
        <item sd="0" m="1" x="11"/>
        <item sd="0" m="1" x="13"/>
        <item sd="0" m="1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22">
        <item sd="0" x="333"/>
        <item sd="0" m="1" x="995"/>
        <item sd="0" x="117"/>
        <item sd="0" x="233"/>
        <item sd="0" x="158"/>
        <item sd="0" m="1" x="1116"/>
        <item sd="0" x="0"/>
        <item sd="0" x="160"/>
        <item sd="0" x="118"/>
        <item sd="0" m="1" x="765"/>
        <item sd="0" x="335"/>
        <item sd="0" x="29"/>
        <item sd="0" m="1" x="425"/>
        <item sd="0" x="115"/>
        <item sd="0" m="1" x="623"/>
        <item sd="0" m="1" x="1042"/>
        <item sd="0" x="56"/>
        <item sd="0" m="1" x="684"/>
        <item sd="0" x="165"/>
        <item sd="0" m="1" x="1043"/>
        <item sd="0" m="1" x="843"/>
        <item sd="0" x="155"/>
        <item sd="0" x="401"/>
        <item sd="0" m="1" x="699"/>
        <item sd="0" m="1" x="571"/>
        <item sd="0" m="1" x="804"/>
        <item sd="0" m="1" x="806"/>
        <item sd="0" x="61"/>
        <item sd="0" m="1" x="511"/>
        <item sd="0" m="1" x="431"/>
        <item sd="0" m="1" x="775"/>
        <item sd="0" x="124"/>
        <item sd="0" m="1" x="490"/>
        <item sd="0" x="173"/>
        <item sd="0" m="1" x="921"/>
        <item sd="0" m="1" x="512"/>
        <item sd="0" x="174"/>
        <item sd="0" m="1" x="656"/>
        <item sd="0" m="1" x="445"/>
        <item sd="0" m="1" x="824"/>
        <item sd="0" x="175"/>
        <item sd="0" x="339"/>
        <item sd="0" x="176"/>
        <item sd="0" m="1" x="845"/>
        <item sd="0" m="1" x="821"/>
        <item sd="0" m="1" x="1053"/>
        <item sd="0" m="1" x="481"/>
        <item sd="0" x="7"/>
        <item sd="0" x="8"/>
        <item sd="0" m="1" x="557"/>
        <item sd="0" x="63"/>
        <item sd="0" x="267"/>
        <item sd="0" m="1" x="689"/>
        <item sd="0" x="65"/>
        <item sd="0" m="1" x="583"/>
        <item sd="0" m="1" x="1118"/>
        <item sd="0" m="1" x="952"/>
        <item sd="0" m="1" x="423"/>
        <item sd="0" x="177"/>
        <item sd="0" m="1" x="522"/>
        <item sd="0" x="72"/>
        <item sd="0" m="1" x="925"/>
        <item sd="0" m="1" x="1012"/>
        <item sd="0" m="1" x="794"/>
        <item sd="0" m="1" x="607"/>
        <item sd="0" x="307"/>
        <item sd="0" m="1" x="494"/>
        <item sd="0" m="1" x="966"/>
        <item sd="0" m="1" x="608"/>
        <item sd="0" m="1" x="611"/>
        <item sd="0" x="337"/>
        <item sd="0" x="261"/>
        <item sd="0" x="302"/>
        <item sd="0" x="394"/>
        <item sd="0" x="309"/>
        <item sd="0" m="1" x="549"/>
        <item sd="0" x="166"/>
        <item sd="0" m="1" x="484"/>
        <item sd="0" m="1" x="763"/>
        <item sd="0" x="123"/>
        <item sd="0" m="1" x="563"/>
        <item sd="0" x="170"/>
        <item sd="0" x="310"/>
        <item sd="0" m="1" x="561"/>
        <item sd="0" m="1" x="749"/>
        <item sd="0" x="422"/>
        <item sd="0" m="1" x="1068"/>
        <item sd="0" m="1" x="447"/>
        <item sd="0" m="1" x="534"/>
        <item sd="0" x="31"/>
        <item sd="0" x="32"/>
        <item sd="0" m="1" x="526"/>
        <item sd="0" m="1" x="968"/>
        <item sd="0" x="33"/>
        <item sd="0" m="1" x="577"/>
        <item sd="0" m="1" x="647"/>
        <item sd="0" m="1" x="900"/>
        <item sd="0" m="1" x="718"/>
        <item sd="0" m="1" x="976"/>
        <item sd="0" m="1" x="497"/>
        <item sd="0" m="1" x="1057"/>
        <item sd="0" m="1" x="769"/>
        <item sd="0" m="1" x="1087"/>
        <item sd="0" m="1" x="920"/>
        <item sd="0" m="1" x="1026"/>
        <item sd="0" x="48"/>
        <item sd="0" x="49"/>
        <item sd="0" m="1" x="984"/>
        <item sd="0" x="182"/>
        <item sd="0" x="75"/>
        <item sd="0" x="76"/>
        <item sd="0" x="78"/>
        <item sd="0" x="79"/>
        <item sd="0" m="1" x="606"/>
        <item sd="0" x="80"/>
        <item sd="0" m="1" x="565"/>
        <item sd="0" m="1" x="440"/>
        <item sd="0" x="53"/>
        <item sd="0" x="57"/>
        <item sd="0" x="69"/>
        <item sd="0" m="1" x="906"/>
        <item sd="0" m="1" x="841"/>
        <item sd="0" x="82"/>
        <item sd="0" m="1" x="1080"/>
        <item sd="0" m="1" x="688"/>
        <item sd="0" m="1" x="1029"/>
        <item sd="0" m="1" x="759"/>
        <item sd="0" m="1" x="691"/>
        <item sd="0" x="84"/>
        <item sd="0" m="1" x="975"/>
        <item sd="0" m="1" x="1028"/>
        <item sd="0" x="156"/>
        <item sd="0" m="1" x="1047"/>
        <item sd="0" x="162"/>
        <item sd="0" m="1" x="1037"/>
        <item sd="0" m="1" x="1045"/>
        <item sd="0" m="1" x="810"/>
        <item sd="0" m="1" x="603"/>
        <item sd="0" m="1" x="872"/>
        <item sd="0" x="186"/>
        <item sd="0" x="187"/>
        <item sd="0" m="1" x="1120"/>
        <item sd="0" x="191"/>
        <item sd="0" x="192"/>
        <item sd="0" m="1" x="424"/>
        <item sd="0" x="193"/>
        <item sd="0" x="194"/>
        <item sd="0" m="1" x="1114"/>
        <item sd="0" m="1" x="735"/>
        <item sd="0" x="198"/>
        <item sd="0" x="199"/>
        <item sd="0" m="1" x="1010"/>
        <item sd="0" m="1" x="687"/>
        <item sd="0" m="1" x="881"/>
        <item sd="0" x="398"/>
        <item sd="0" m="1" x="961"/>
        <item sd="0" x="402"/>
        <item sd="0" m="1" x="686"/>
        <item sd="0" m="1" x="895"/>
        <item sd="0" x="403"/>
        <item sd="0" x="405"/>
        <item sd="0" x="406"/>
        <item sd="0" m="1" x="664"/>
        <item sd="0" m="1" x="753"/>
        <item sd="0" x="262"/>
        <item sd="0" m="1" x="800"/>
        <item sd="0" m="1" x="579"/>
        <item sd="0" m="1" x="537"/>
        <item sd="0" x="272"/>
        <item sd="0" m="1" x="746"/>
        <item sd="0" m="1" x="545"/>
        <item sd="0" m="1" x="1030"/>
        <item sd="0" x="273"/>
        <item sd="0" m="1" x="1020"/>
        <item sd="0" x="274"/>
        <item sd="0" m="1" x="498"/>
        <item sd="0" m="1" x="610"/>
        <item sd="0" x="275"/>
        <item sd="0" m="1" x="936"/>
        <item sd="0" m="1" x="516"/>
        <item sd="0" m="1" x="1044"/>
        <item sd="0" m="1" x="594"/>
        <item sd="0" m="1" x="1064"/>
        <item sd="0" m="1" x="473"/>
        <item sd="0" m="1" x="1014"/>
        <item sd="0" m="1" x="784"/>
        <item sd="0" x="315"/>
        <item sd="0" x="316"/>
        <item sd="0" m="1" x="805"/>
        <item sd="0" m="1" x="441"/>
        <item sd="0" m="1" x="791"/>
        <item sd="0" m="1" x="1049"/>
        <item sd="0" m="1" x="1048"/>
        <item sd="0" m="1" x="568"/>
        <item sd="0" m="1" x="728"/>
        <item sd="0" m="1" x="1039"/>
        <item sd="0" m="1" x="813"/>
        <item sd="0" m="1" x="798"/>
        <item sd="0" x="127"/>
        <item sd="0" m="1" x="544"/>
        <item sd="0" m="1" x="670"/>
        <item sd="0" m="1" x="822"/>
        <item sd="0" m="1" x="548"/>
        <item sd="0" m="1" x="1040"/>
        <item sd="0" x="131"/>
        <item sd="0" m="1" x="945"/>
        <item sd="0" m="1" x="869"/>
        <item sd="0" m="1" x="720"/>
        <item sd="0" x="132"/>
        <item sd="0" m="1" x="747"/>
        <item sd="0" m="1" x="505"/>
        <item sd="0" m="1" x="851"/>
        <item sd="0" m="1" x="887"/>
        <item sd="0" m="1" x="673"/>
        <item sd="0" m="1" x="589"/>
        <item sd="0" x="343"/>
        <item sd="0" x="344"/>
        <item sd="0" x="345"/>
        <item sd="0" m="1" x="435"/>
        <item sd="0" m="1" x="592"/>
        <item sd="0" m="1" x="464"/>
        <item sd="0" m="1" x="948"/>
        <item sd="0" m="1" x="782"/>
        <item sd="0" m="1" x="977"/>
        <item sd="0" x="347"/>
        <item sd="0" m="1" x="501"/>
        <item sd="0" m="1" x="486"/>
        <item sd="0" m="1" x="865"/>
        <item sd="0" m="1" x="547"/>
        <item sd="0" m="1" x="487"/>
        <item sd="0" m="1" x="1004"/>
        <item sd="0" m="1" x="479"/>
        <item sd="0" m="1" x="980"/>
        <item sd="0" m="1" x="1041"/>
        <item sd="0" m="1" x="1078"/>
        <item sd="0" m="1" x="465"/>
        <item sd="0" x="236"/>
        <item sd="0" m="1" x="788"/>
        <item sd="0" m="1" x="574"/>
        <item sd="0" x="241"/>
        <item sd="0" m="1" x="875"/>
        <item sd="0" x="50"/>
        <item sd="0" m="1" x="532"/>
        <item sd="0" x="71"/>
        <item sd="0" x="86"/>
        <item sd="0" x="67"/>
        <item sd="0" x="70"/>
        <item sd="0" m="1" x="939"/>
        <item sd="0" m="1" x="967"/>
        <item sd="0" x="164"/>
        <item sd="0" x="58"/>
        <item sd="0" x="171"/>
        <item sd="0" m="1" x="453"/>
        <item sd="0" m="1" x="1084"/>
        <item sd="0" m="1" x="777"/>
        <item sd="0" m="1" x="1090"/>
        <item sd="0" m="1" x="748"/>
        <item sd="0" m="1" x="1001"/>
        <item sd="0" m="1" x="705"/>
        <item sd="0" m="1" x="742"/>
        <item sd="0" x="311"/>
        <item sd="0" m="1" x="1086"/>
        <item sd="0" m="1" x="554"/>
        <item sd="0" m="1" x="823"/>
        <item sd="0" m="1" x="635"/>
        <item sd="0" m="1" x="721"/>
        <item sd="0" m="1" x="799"/>
        <item sd="0" m="1" x="1110"/>
        <item sd="0" x="334"/>
        <item sd="0" m="1" x="694"/>
        <item sd="0" x="190"/>
        <item sd="0" x="346"/>
        <item sd="0" m="1" x="1009"/>
        <item sd="0" x="349"/>
        <item sd="0" m="1" x="947"/>
        <item sd="0" x="350"/>
        <item sd="0" m="1" x="725"/>
        <item sd="0" m="1" x="960"/>
        <item sd="0" m="1" x="591"/>
        <item sd="0" m="1" x="613"/>
        <item sd="0" m="1" x="520"/>
        <item sd="0" m="1" x="541"/>
        <item sd="0" m="1" x="1112"/>
        <item sd="0" m="1" x="764"/>
        <item sd="0" m="1" x="1055"/>
        <item sd="0" m="1" x="1052"/>
        <item sd="0" m="1" x="711"/>
        <item sd="0" m="1" x="990"/>
        <item sd="0" x="238"/>
        <item sd="0" m="1" x="432"/>
        <item sd="0" m="1" x="1056"/>
        <item sd="0" m="1" x="864"/>
        <item sd="0" m="1" x="1065"/>
        <item sd="0" m="1" x="766"/>
        <item sd="0" x="54"/>
        <item sd="0" m="1" x="651"/>
        <item sd="0" m="1" x="576"/>
        <item sd="0" m="1" x="560"/>
        <item sd="0" m="1" x="717"/>
        <item sd="0" m="1" x="1105"/>
        <item sd="0" m="1" x="871"/>
        <item sd="0" m="1" x="861"/>
        <item sd="0" m="1" x="508"/>
        <item sd="0" m="1" x="663"/>
        <item sd="0" m="1" x="969"/>
        <item sd="0" x="163"/>
        <item sd="0" x="66"/>
        <item sd="0" x="73"/>
        <item sd="0" m="1" x="882"/>
        <item sd="0" m="1" x="896"/>
        <item sd="0" m="1" x="535"/>
        <item sd="0" x="85"/>
        <item sd="0" m="1" x="634"/>
        <item sd="0" m="1" x="935"/>
        <item sd="0" m="1" x="834"/>
        <item sd="0" m="1" x="996"/>
        <item sd="0" m="1" x="738"/>
        <item sd="0" m="1" x="646"/>
        <item sd="0" m="1" x="493"/>
        <item sd="0" x="159"/>
        <item sd="0" m="1" x="949"/>
        <item sd="0" m="1" x="626"/>
        <item sd="0" x="189"/>
        <item sd="0" m="1" x="556"/>
        <item sd="0" m="1" x="1013"/>
        <item sd="0" x="201"/>
        <item sd="0" x="396"/>
        <item sd="0" x="408"/>
        <item sd="0" m="1" x="678"/>
        <item sd="0" m="1" x="471"/>
        <item sd="0" m="1" x="982"/>
        <item sd="0" m="1" x="840"/>
        <item sd="0" x="266"/>
        <item sd="0" m="1" x="828"/>
        <item sd="0" x="271"/>
        <item sd="0" m="1" x="1024"/>
        <item sd="0" m="1" x="781"/>
        <item sd="0" m="1" x="1005"/>
        <item sd="0" m="1" x="685"/>
        <item sd="0" m="1" x="1051"/>
        <item sd="0" x="278"/>
        <item sd="0" m="1" x="1016"/>
        <item sd="0" m="1" x="426"/>
        <item sd="0" m="1" x="427"/>
        <item sd="0" m="1" x="428"/>
        <item sd="0" m="1" x="429"/>
        <item sd="0" m="1" x="1062"/>
        <item sd="0" x="306"/>
        <item sd="0" x="308"/>
        <item sd="0" x="313"/>
        <item sd="0" x="314"/>
        <item sd="0" m="1" x="1002"/>
        <item sd="0" m="1" x="962"/>
        <item sd="0" m="1" x="1034"/>
        <item sd="0" m="1" x="779"/>
        <item sd="0" m="1" x="842"/>
        <item sd="0" m="1" x="489"/>
        <item sd="0" m="1" x="645"/>
        <item sd="0" m="1" x="467"/>
        <item sd="0" m="1" x="622"/>
        <item sd="0" x="126"/>
        <item sd="0" m="1" x="460"/>
        <item sd="0" m="1" x="624"/>
        <item sd="0" m="1" x="1079"/>
        <item sd="0" m="1" x="638"/>
        <item sd="0" x="134"/>
        <item sd="0" m="1" x="617"/>
        <item sd="0" m="1" x="852"/>
        <item sd="0" m="1" x="585"/>
        <item sd="0" m="1" x="1007"/>
        <item sd="0" m="1" x="601"/>
        <item sd="0" m="1" x="474"/>
        <item sd="0" m="1" x="1038"/>
        <item sd="0" m="1" x="1102"/>
        <item sd="0" m="1" x="667"/>
        <item sd="0" m="1" x="922"/>
        <item sd="0" m="1" x="894"/>
        <item sd="0" x="64"/>
        <item sd="0" m="1" x="478"/>
        <item sd="0" x="59"/>
        <item sd="0" m="1" x="829"/>
        <item sd="0" m="1" x="590"/>
        <item sd="0" m="1" x="859"/>
        <item sd="0" m="1" x="911"/>
        <item sd="0" m="1" x="567"/>
        <item sd="0" m="1" x="924"/>
        <item sd="0" m="1" x="844"/>
        <item sd="0" x="265"/>
        <item sd="0" x="270"/>
        <item sd="0" m="1" x="595"/>
        <item sd="0" m="1" x="704"/>
        <item sd="0" m="1" x="994"/>
        <item sd="0" m="1" x="1050"/>
        <item sd="0" m="1" x="741"/>
        <item sd="0" m="1" x="902"/>
        <item sd="0" m="1" x="1019"/>
        <item sd="0" m="1" x="449"/>
        <item sd="0" m="1" x="1027"/>
        <item sd="0" m="1" x="719"/>
        <item sd="0" m="1" x="650"/>
        <item sd="0" m="1" x="536"/>
        <item sd="0" m="1" x="555"/>
        <item sd="0" m="1" x="712"/>
        <item sd="0" m="1" x="659"/>
        <item sd="0" m="1" x="621"/>
        <item sd="0" x="263"/>
        <item sd="0" m="1" x="1104"/>
        <item sd="0" m="1" x="803"/>
        <item sd="0" m="1" x="643"/>
        <item sd="0" m="1" x="703"/>
        <item sd="0" m="1" x="476"/>
        <item sd="0" x="135"/>
        <item sd="0" m="1" x="462"/>
        <item sd="0" m="1" x="913"/>
        <item sd="0" x="351"/>
        <item sd="0" x="352"/>
        <item sd="0" m="1" x="914"/>
        <item sd="0" x="353"/>
        <item sd="0" x="354"/>
        <item sd="0" x="355"/>
        <item sd="0" m="1" x="707"/>
        <item sd="0" m="1" x="892"/>
        <item sd="0" m="1" x="998"/>
        <item sd="0" m="1" x="999"/>
        <item sd="0" m="1" x="1000"/>
        <item sd="0" m="1" x="786"/>
        <item sd="0" m="1" x="836"/>
        <item sd="0" m="1" x="455"/>
        <item sd="0" x="332"/>
        <item sd="0" x="2"/>
        <item sd="0" m="1" x="946"/>
        <item sd="0" m="1" x="614"/>
        <item sd="0" m="1" x="774"/>
        <item sd="0" x="35"/>
        <item sd="0" m="1" x="488"/>
        <item sd="0" m="1" x="970"/>
        <item sd="0" m="1" x="451"/>
        <item sd="0" x="243"/>
        <item sd="0" x="244"/>
        <item sd="0" m="1" x="754"/>
        <item sd="0" m="1" x="1109"/>
        <item sd="0" m="1" x="1022"/>
        <item sd="0" m="1" x="743"/>
        <item sd="0" x="77"/>
        <item sd="0" m="1" x="814"/>
        <item sd="0" m="1" x="605"/>
        <item sd="0" m="1" x="1092"/>
        <item sd="0" x="87"/>
        <item sd="0" m="1" x="569"/>
        <item sd="0" m="1" x="461"/>
        <item sd="0" m="1" x="846"/>
        <item sd="0" m="1" x="1082"/>
        <item sd="0" x="172"/>
        <item sd="0" m="1" x="1099"/>
        <item sd="0" m="1" x="546"/>
        <item sd="0" m="1" x="1035"/>
        <item sd="0" x="202"/>
        <item sd="0" m="1" x="751"/>
        <item sd="0" m="1" x="644"/>
        <item sd="0" x="276"/>
        <item sd="0" m="1" x="529"/>
        <item sd="0" m="1" x="926"/>
        <item sd="0" x="280"/>
        <item sd="0" m="1" x="495"/>
        <item sd="0" m="1" x="835"/>
        <item sd="0" m="1" x="1113"/>
        <item sd="0" m="1" x="745"/>
        <item sd="0" m="1" x="1046"/>
        <item sd="0" x="129"/>
        <item sd="0" m="1" x="716"/>
        <item sd="0" m="1" x="941"/>
        <item sd="0" m="1" x="899"/>
        <item sd="0" m="1" x="1033"/>
        <item sd="0" m="1" x="991"/>
        <item sd="0" m="1" x="456"/>
        <item sd="0" x="356"/>
        <item sd="0" x="357"/>
        <item sd="0" x="358"/>
        <item sd="0" m="1" x="469"/>
        <item sd="0" x="359"/>
        <item sd="0" m="1" x="723"/>
        <item sd="0" m="1" x="700"/>
        <item sd="0" m="1" x="833"/>
        <item sd="0" m="1" x="1076"/>
        <item sd="0" x="36"/>
        <item sd="0" m="1" x="648"/>
        <item sd="0" m="1" x="819"/>
        <item sd="0" m="1" x="1077"/>
        <item sd="0" x="277"/>
        <item sd="0" m="1" x="448"/>
        <item sd="0" x="338"/>
        <item sd="0" m="1" x="740"/>
        <item sd="0" m="1" x="772"/>
        <item sd="0" m="1" x="539"/>
        <item sd="0" m="1" x="627"/>
        <item sd="0" m="1" x="625"/>
        <item sd="0" x="81"/>
        <item sd="0" m="1" x="1073"/>
        <item sd="0" m="1" x="755"/>
        <item sd="0" x="196"/>
        <item sd="0" m="1" x="940"/>
        <item sd="0" m="1" x="768"/>
        <item sd="0" m="1" x="979"/>
        <item sd="0" m="1" x="832"/>
        <item sd="0" m="1" x="1093"/>
        <item sd="0" m="1" x="470"/>
        <item sd="0" m="1" x="986"/>
        <item sd="0" m="1" x="676"/>
        <item sd="0" m="1" x="974"/>
        <item sd="0" m="1" x="879"/>
        <item sd="0" m="1" x="893"/>
        <item sd="0" x="185"/>
        <item sd="0" m="1" x="1074"/>
        <item sd="0" m="1" x="521"/>
        <item sd="0" m="1" x="463"/>
        <item sd="0" m="1" x="831"/>
        <item sd="0" x="281"/>
        <item sd="0" m="1" x="796"/>
        <item sd="0" m="1" x="811"/>
        <item sd="0" m="1" x="1054"/>
        <item sd="0" m="1" x="866"/>
        <item sd="0" m="1" x="985"/>
        <item sd="0" m="1" x="956"/>
        <item sd="0" m="1" x="542"/>
        <item sd="0" m="1" x="701"/>
        <item sd="0" m="1" x="677"/>
        <item sd="0" m="1" x="938"/>
        <item sd="0" m="1" x="1096"/>
        <item sd="0" x="10"/>
        <item sd="0" m="1" x="713"/>
        <item sd="0" m="1" x="807"/>
        <item sd="0" m="1" x="860"/>
        <item sd="0" m="1" x="963"/>
        <item sd="0" m="1" x="1003"/>
        <item sd="0" m="1" x="868"/>
        <item sd="0" m="1" x="856"/>
        <item sd="0" x="62"/>
        <item sd="0" m="1" x="993"/>
        <item sd="0" x="88"/>
        <item sd="0" m="1" x="880"/>
        <item sd="0" x="268"/>
        <item sd="0" m="1" x="604"/>
        <item sd="0" m="1" x="1021"/>
        <item sd="0" m="1" x="965"/>
        <item sd="0" x="319"/>
        <item sd="0" m="1" x="983"/>
        <item sd="0" m="1" x="1008"/>
        <item sd="0" x="348"/>
        <item sd="0" m="1" x="931"/>
        <item sd="0" x="3"/>
        <item sd="0" m="1" x="702"/>
        <item sd="0" m="1" x="744"/>
        <item sd="0" m="1" x="695"/>
        <item sd="0" m="1" x="932"/>
        <item sd="0" x="60"/>
        <item sd="0" m="1" x="523"/>
        <item sd="0" m="1" x="1088"/>
        <item sd="0" m="1" x="884"/>
        <item sd="0" x="320"/>
        <item sd="0" m="1" x="849"/>
        <item sd="0" m="1" x="858"/>
        <item sd="0" m="1" x="972"/>
        <item sd="0" x="361"/>
        <item sd="0" m="1" x="660"/>
        <item sd="0" m="1" x="524"/>
        <item sd="0" m="1" x="661"/>
        <item sd="0" m="1" x="802"/>
        <item sd="0" x="410"/>
        <item sd="0" m="1" x="709"/>
        <item sd="0" m="1" x="910"/>
        <item sd="0" m="1" x="891"/>
        <item sd="0" x="362"/>
        <item sd="0" m="1" x="793"/>
        <item sd="0" m="1" x="533"/>
        <item sd="0" m="1" x="801"/>
        <item sd="0" m="1" x="1106"/>
        <item sd="0" m="1" x="1071"/>
        <item sd="0" x="234"/>
        <item sd="0" m="1" x="1025"/>
        <item sd="0" m="1" x="506"/>
        <item sd="0" m="1" x="620"/>
        <item sd="0" x="269"/>
        <item sd="0" x="312"/>
        <item sd="0" m="1" x="732"/>
        <item sd="0" m="1" x="909"/>
        <item sd="0" m="1" x="770"/>
        <item sd="0" x="363"/>
        <item sd="0" x="30"/>
        <item sd="0" m="1" x="838"/>
        <item sd="0" x="178"/>
        <item sd="0" m="1" x="855"/>
        <item sd="0" m="1" x="729"/>
        <item sd="0" m="1" x="531"/>
        <item sd="0" x="245"/>
        <item sd="0" m="1" x="616"/>
        <item sd="0" x="303"/>
        <item sd="0" x="304"/>
        <item sd="0" m="1" x="783"/>
        <item sd="0" m="1" x="452"/>
        <item sd="0" x="130"/>
        <item sd="0" x="360"/>
        <item sd="0" x="365"/>
        <item sd="0" x="366"/>
        <item sd="0" m="1" x="573"/>
        <item sd="0" m="1" x="698"/>
        <item sd="0" m="1" x="680"/>
        <item sd="0" m="1" x="1072"/>
        <item sd="0" m="1" x="1085"/>
        <item sd="0" m="1" x="1036"/>
        <item sd="0" m="1" x="867"/>
        <item sd="0" m="1" x="1094"/>
        <item sd="0" m="1" x="837"/>
        <item sd="0" m="1" x="773"/>
        <item sd="0" m="1" x="615"/>
        <item sd="0" m="1" x="642"/>
        <item sd="0" m="1" x="877"/>
        <item sd="0" m="1" x="572"/>
        <item sd="0" m="1" x="658"/>
        <item sd="0" m="1" x="693"/>
        <item sd="0" m="1" x="780"/>
        <item sd="0" m="1" x="513"/>
        <item sd="0" x="407"/>
        <item sd="0" x="411"/>
        <item sd="0" m="1" x="442"/>
        <item sd="0" x="52"/>
        <item sd="0" x="83"/>
        <item sd="0" x="90"/>
        <item sd="0" m="1" x="436"/>
        <item sd="0" x="321"/>
        <item sd="0" m="1" x="683"/>
        <item sd="0" m="1" x="631"/>
        <item sd="0" m="1" x="586"/>
        <item sd="0" x="203"/>
        <item sd="0" m="1" x="580"/>
        <item sd="0" x="399"/>
        <item sd="0" x="89"/>
        <item sd="0" m="1" x="514"/>
        <item sd="0" m="1" x="538"/>
        <item sd="0" m="1" x="874"/>
        <item sd="0" x="367"/>
        <item sd="0" x="37"/>
        <item sd="0" m="1" x="559"/>
        <item sd="0" m="1" x="733"/>
        <item sd="0" m="1" x="582"/>
        <item sd="0" m="1" x="528"/>
        <item sd="0" m="1" x="708"/>
        <item sd="0" m="1" x="1075"/>
        <item sd="0" x="282"/>
        <item sd="0" m="1" x="876"/>
        <item sd="0" m="1" x="562"/>
        <item sd="0" x="137"/>
        <item sd="0" m="1" x="630"/>
        <item sd="0" m="1" x="955"/>
        <item sd="0" m="1" x="697"/>
        <item sd="0" m="1" x="504"/>
        <item sd="0" m="1" x="1098"/>
        <item sd="0" m="1" x="578"/>
        <item sd="0" m="1" x="1011"/>
        <item sd="0" x="283"/>
        <item sd="0" m="1" x="649"/>
        <item sd="0" x="12"/>
        <item sd="0" m="1" x="666"/>
        <item sd="0" x="38"/>
        <item sd="0" m="1" x="724"/>
        <item sd="0" m="1" x="761"/>
        <item sd="0" m="1" x="954"/>
        <item sd="0" x="197"/>
        <item sd="0" m="1" x="830"/>
        <item sd="0" x="395"/>
        <item sd="0" m="1" x="598"/>
        <item sd="0" m="1" x="655"/>
        <item sd="0" m="1" x="908"/>
        <item sd="0" m="1" x="637"/>
        <item sd="0" m="1" x="640"/>
        <item sd="0" m="1" x="971"/>
        <item sd="0" x="318"/>
        <item sd="0" m="1" x="600"/>
        <item sd="0" m="1" x="1066"/>
        <item sd="0" x="13"/>
        <item sd="0" x="180"/>
        <item sd="0" x="181"/>
        <item sd="0" x="188"/>
        <item sd="0" m="1" x="1059"/>
        <item sd="0" m="1" x="762"/>
        <item sd="0" m="1" x="903"/>
        <item sd="0" m="1" x="612"/>
        <item sd="0" x="242"/>
        <item sd="0" m="1" x="679"/>
        <item sd="0" m="1" x="981"/>
        <item sd="0" m="1" x="886"/>
        <item sd="0" m="1" x="795"/>
        <item sd="0" m="1" x="839"/>
        <item sd="0" m="1" x="722"/>
        <item sd="0" m="1" x="472"/>
        <item sd="0" m="1" x="550"/>
        <item sd="0" m="1" x="816"/>
        <item sd="0" m="1" x="675"/>
        <item sd="0" m="1" x="752"/>
        <item sd="0" m="1" x="602"/>
        <item sd="0" x="204"/>
        <item sd="0" x="205"/>
        <item sd="0" x="206"/>
        <item sd="0" x="91"/>
        <item sd="0" x="94"/>
        <item sd="0" m="1" x="564"/>
        <item sd="0" m="1" x="787"/>
        <item sd="0" x="279"/>
        <item sd="0" x="284"/>
        <item sd="0" m="1" x="430"/>
        <item sd="0" x="322"/>
        <item sd="0" x="121"/>
        <item sd="0" m="1" x="937"/>
        <item sd="0" x="138"/>
        <item sd="0" m="1" x="597"/>
        <item sd="0" x="247"/>
        <item sd="0" m="1" x="492"/>
        <item sd="0" m="1" x="897"/>
        <item sd="0" x="323"/>
        <item sd="0" x="128"/>
        <item sd="0" m="1" x="1101"/>
        <item sd="0" x="11"/>
        <item sd="0" x="39"/>
        <item sd="0" m="1" x="438"/>
        <item sd="0" m="1" x="907"/>
        <item sd="0" m="1" x="499"/>
        <item sd="0" m="1" x="1058"/>
        <item sd="0" x="249"/>
        <item sd="0" m="1" x="1061"/>
        <item sd="0" m="1" x="890"/>
        <item sd="0" x="324"/>
        <item sd="0" m="1" x="750"/>
        <item sd="0" m="1" x="1017"/>
        <item sd="0" x="34"/>
        <item sd="0" m="1" x="989"/>
        <item sd="0" m="1" x="1069"/>
        <item sd="0" x="207"/>
        <item sd="0" m="1" x="1115"/>
        <item sd="0" m="1" x="609"/>
        <item sd="0" x="239"/>
        <item sd="0" x="250"/>
        <item sd="0" x="251"/>
        <item sd="0" m="1" x="915"/>
        <item sd="0" x="285"/>
        <item sd="0" m="1" x="459"/>
        <item sd="0" m="1" x="997"/>
        <item sd="0" m="1" x="992"/>
        <item sd="0" m="1" x="657"/>
        <item sd="0" x="139"/>
        <item sd="0" m="1" x="863"/>
        <item sd="0" m="1" x="1006"/>
        <item sd="0" x="370"/>
        <item sd="0" x="14"/>
        <item sd="0" m="1" x="575"/>
        <item sd="0" m="1" x="964"/>
        <item sd="0" m="1" x="944"/>
        <item sd="0" x="412"/>
        <item sd="0" x="413"/>
        <item sd="0" x="51"/>
        <item sd="0" m="1" x="923"/>
        <item sd="0" m="1" x="515"/>
        <item sd="0" m="1" x="731"/>
        <item sd="0" x="200"/>
        <item sd="0" x="119"/>
        <item sd="0" x="120"/>
        <item sd="0" m="1" x="446"/>
        <item sd="0" x="140"/>
        <item sd="0" m="1" x="466"/>
        <item sd="0" m="1" x="1111"/>
        <item sd="0" x="371"/>
        <item sd="0" m="1" x="951"/>
        <item sd="0" m="1" x="517"/>
        <item sd="0" x="183"/>
        <item sd="0" m="1" x="525"/>
        <item sd="0" x="248"/>
        <item sd="0" x="96"/>
        <item sd="0" m="1" x="629"/>
        <item sd="0" x="116"/>
        <item sd="0" m="1" x="491"/>
        <item sd="0" x="368"/>
        <item sd="0" x="369"/>
        <item sd="0" m="1" x="500"/>
        <item sd="0" m="1" x="636"/>
        <item sd="0" m="1" x="618"/>
        <item sd="0" x="40"/>
        <item sd="0" m="1" x="727"/>
        <item sd="0" x="208"/>
        <item sd="0" m="1" x="789"/>
        <item sd="0" m="1" x="808"/>
        <item sd="0" m="1" x="696"/>
        <item sd="0" x="414"/>
        <item sd="0" m="1" x="758"/>
        <item sd="0" m="1" x="710"/>
        <item sd="0" m="1" x="433"/>
        <item sd="0" m="1" x="665"/>
        <item sd="0" x="286"/>
        <item sd="0" x="287"/>
        <item sd="0" m="1" x="905"/>
        <item sd="0" m="1" x="454"/>
        <item sd="0" m="1" x="457"/>
        <item sd="0" m="1" x="1060"/>
        <item sd="0" m="1" x="778"/>
        <item sd="0" m="1" x="912"/>
        <item sd="0" m="1" x="1107"/>
        <item sd="0" x="9"/>
        <item sd="0" x="15"/>
        <item sd="0" m="1" x="1031"/>
        <item sd="0" m="1" x="739"/>
        <item sd="0" x="209"/>
        <item sd="0" m="1" x="850"/>
        <item sd="0" x="41"/>
        <item sd="0" m="1" x="483"/>
        <item sd="0" m="1" x="581"/>
        <item sd="0" m="1" x="930"/>
        <item sd="0" m="1" x="1089"/>
        <item sd="0" m="1" x="726"/>
        <item sd="0" x="97"/>
        <item sd="0" m="1" x="737"/>
        <item sd="0" x="317"/>
        <item sd="0" x="325"/>
        <item sd="0" m="1" x="934"/>
        <item sd="0" x="364"/>
        <item sd="0" m="1" x="1032"/>
        <item sd="0" m="1" x="674"/>
        <item sd="0" m="1" x="692"/>
        <item sd="0" m="1" x="1103"/>
        <item sd="0" x="210"/>
        <item sd="0" x="252"/>
        <item sd="0" m="1" x="790"/>
        <item sd="0" m="1" x="543"/>
        <item sd="0" m="1" x="928"/>
        <item sd="0" m="1" x="827"/>
        <item sd="0" x="288"/>
        <item sd="0" m="1" x="929"/>
        <item sd="0" x="290"/>
        <item sd="0" m="1" x="1119"/>
        <item sd="0" m="1" x="756"/>
        <item sd="0" m="1" x="730"/>
        <item sd="0" x="372"/>
        <item sd="0" m="1" x="558"/>
        <item sd="0" m="1" x="862"/>
        <item sd="0" x="211"/>
        <item sd="0" m="1" x="943"/>
        <item sd="0" x="235"/>
        <item sd="0" x="253"/>
        <item sd="0" x="68"/>
        <item sd="0" m="1" x="820"/>
        <item sd="0" m="1" x="570"/>
        <item sd="0" m="1" x="434"/>
        <item sd="0" x="291"/>
        <item sd="0" m="1" x="510"/>
        <item sd="0" m="1" x="551"/>
        <item sd="0" x="74"/>
        <item sd="0" x="92"/>
        <item sd="0" m="1" x="901"/>
        <item sd="0" m="1" x="736"/>
        <item sd="0" x="141"/>
        <item sd="0" m="1" x="690"/>
        <item sd="0" m="1" x="654"/>
        <item sd="0" m="1" x="734"/>
        <item sd="0" m="1" x="1067"/>
        <item sd="0" m="1" x="468"/>
        <item sd="0" m="1" x="888"/>
        <item sd="0" x="292"/>
        <item sd="0" x="293"/>
        <item sd="0" x="326"/>
        <item sd="0" m="1" x="883"/>
        <item sd="0" x="373"/>
        <item sd="0" m="1" x="815"/>
        <item sd="0" m="1" x="502"/>
        <item sd="0" m="1" x="809"/>
        <item sd="0" m="1" x="812"/>
        <item sd="0" x="415"/>
        <item sd="0" m="1" x="662"/>
        <item sd="0" x="98"/>
        <item sd="0" m="1" x="898"/>
        <item sd="0" m="1" x="978"/>
        <item sd="0" m="1" x="885"/>
        <item sd="0" x="400"/>
        <item sd="0" x="246"/>
        <item sd="0" x="179"/>
        <item sd="0" m="1" x="584"/>
        <item sd="0" x="16"/>
        <item sd="0" m="1" x="477"/>
        <item sd="0" x="93"/>
        <item sd="0" m="1" x="509"/>
        <item sd="0" x="133"/>
        <item sd="0" m="1" x="760"/>
        <item sd="0" m="1" x="818"/>
        <item sd="0" m="1" x="540"/>
        <item sd="0" m="1" x="443"/>
        <item sd="0" m="1" x="933"/>
        <item sd="0" m="1" x="671"/>
        <item sd="0" m="1" x="776"/>
        <item sd="0" m="1" x="1081"/>
        <item sd="0" x="145"/>
        <item sd="0" m="1" x="1083"/>
        <item sd="0" x="1"/>
        <item sd="0" m="1" x="633"/>
        <item sd="0" x="212"/>
        <item sd="0" m="1" x="458"/>
        <item sd="0" m="1" x="927"/>
        <item sd="0" m="1" x="953"/>
        <item sd="0" m="1" x="957"/>
        <item sd="0" m="1" x="507"/>
        <item sd="0" x="295"/>
        <item sd="0" x="374"/>
        <item sd="0" m="1" x="973"/>
        <item sd="0" x="168"/>
        <item sd="0" m="1" x="639"/>
        <item sd="0" m="1" x="942"/>
        <item sd="0" m="1" x="959"/>
        <item sd="0" x="416"/>
        <item sd="0" m="1" x="444"/>
        <item sd="0" x="99"/>
        <item sd="0" m="1" x="588"/>
        <item sd="0" m="1" x="482"/>
        <item sd="0" m="1" x="1018"/>
        <item sd="0" x="17"/>
        <item sd="0" x="195"/>
        <item sd="0" x="214"/>
        <item sd="0" x="216"/>
        <item sd="0" m="1" x="917"/>
        <item sd="0" m="1" x="596"/>
        <item sd="0" x="296"/>
        <item sd="0" m="1" x="870"/>
        <item sd="0" m="1" x="485"/>
        <item sd="0" m="1" x="854"/>
        <item sd="0" x="377"/>
        <item sd="0" m="1" x="848"/>
        <item sd="0" x="18"/>
        <item sd="0" x="19"/>
        <item sd="0" m="1" x="682"/>
        <item sd="0" x="215"/>
        <item sd="0" m="1" x="530"/>
        <item sd="0" m="1" x="771"/>
        <item sd="0" m="1" x="919"/>
        <item sd="0" x="101"/>
        <item sd="0" x="297"/>
        <item sd="0" m="1" x="878"/>
        <item sd="0" x="6"/>
        <item sd="0" x="20"/>
        <item sd="0" m="1" x="669"/>
        <item sd="0" x="95"/>
        <item sd="0" m="1" x="496"/>
        <item sd="0" x="298"/>
        <item sd="0" x="342"/>
        <item sd="0" x="376"/>
        <item sd="0" x="378"/>
        <item sd="0" x="379"/>
        <item sd="0" x="21"/>
        <item sd="0" x="217"/>
        <item sd="0" m="1" x="987"/>
        <item sd="0" m="1" x="873"/>
        <item sd="0" m="1" x="553"/>
        <item sd="0" m="1" x="628"/>
        <item sd="0" m="1" x="439"/>
        <item sd="0" x="42"/>
        <item sd="0" m="1" x="668"/>
        <item sd="0" x="219"/>
        <item sd="0" x="220"/>
        <item sd="0" x="221"/>
        <item sd="0" x="102"/>
        <item sd="0" x="264"/>
        <item sd="0" x="294"/>
        <item sd="0" x="327"/>
        <item sd="0" x="328"/>
        <item sd="0" x="380"/>
        <item sd="0" x="417"/>
        <item sd="0" x="4"/>
        <item sd="0" x="43"/>
        <item sd="0" x="146"/>
        <item sd="0" x="169"/>
        <item sd="0" x="254"/>
        <item sd="0" x="255"/>
        <item sd="0" x="47"/>
        <item sd="0" x="103"/>
        <item sd="0" x="104"/>
        <item sd="0" x="105"/>
        <item sd="0" x="106"/>
        <item sd="0" x="107"/>
        <item sd="0" x="381"/>
        <item sd="0" x="5"/>
        <item sd="0" x="22"/>
        <item sd="0" x="167"/>
        <item sd="0" x="223"/>
        <item sd="0" x="224"/>
        <item sd="0" x="225"/>
        <item sd="0" x="226"/>
        <item sd="0" x="108"/>
        <item sd="0" x="109"/>
        <item sd="0" x="299"/>
        <item sd="0" x="384"/>
        <item sd="0" x="404"/>
        <item sd="0" x="23"/>
        <item sd="0" x="24"/>
        <item sd="0" x="44"/>
        <item sd="0" x="213"/>
        <item sd="0" x="222"/>
        <item sd="0" x="237"/>
        <item sd="0" x="100"/>
        <item sd="0" x="110"/>
        <item sd="0" x="329"/>
        <item sd="0" x="336"/>
        <item sd="0" x="340"/>
        <item sd="0" x="341"/>
        <item sd="0" x="386"/>
        <item sd="0" x="397"/>
        <item sd="0" x="161"/>
        <item sd="0" m="1" x="599"/>
        <item sd="0" m="1" x="652"/>
        <item sd="0" x="256"/>
        <item sd="0" x="257"/>
        <item sd="0" x="382"/>
        <item sd="0" x="383"/>
        <item sd="0" m="1" x="857"/>
        <item sd="0" x="409"/>
        <item sd="0" m="1" x="672"/>
        <item sd="0" m="1" x="681"/>
        <item sd="0" x="218"/>
        <item sd="0" m="1" x="767"/>
        <item sd="0" m="1" x="1091"/>
        <item sd="0" m="1" x="916"/>
        <item sd="0" x="111"/>
        <item sd="0" m="1" x="797"/>
        <item sd="0" m="1" x="792"/>
        <item sd="0" x="289"/>
        <item sd="0" x="330"/>
        <item sd="0" m="1" x="714"/>
        <item sd="0" m="1" x="1070"/>
        <item sd="0" m="1" x="715"/>
        <item sd="0" x="122"/>
        <item sd="0" x="147"/>
        <item sd="0" m="1" x="706"/>
        <item sd="0" m="1" x="1095"/>
        <item sd="0" m="1" x="825"/>
        <item sd="0" x="148"/>
        <item sd="0" m="1" x="817"/>
        <item sd="0" m="1" x="950"/>
        <item sd="0" x="112"/>
        <item sd="0" m="1" x="853"/>
        <item sd="0" m="1" x="1015"/>
        <item sd="0" x="385"/>
        <item sd="0" m="1" x="552"/>
        <item sd="0" m="1" x="1097"/>
        <item sd="0" x="228"/>
        <item sd="0" m="1" x="904"/>
        <item sd="0" m="1" x="437"/>
        <item sd="0" m="1" x="1100"/>
        <item sd="0" m="1" x="503"/>
        <item sd="0" m="1" x="641"/>
        <item sd="0" m="1" x="450"/>
        <item sd="0" m="1" x="475"/>
        <item sd="0" m="1" x="958"/>
        <item sd="0" x="144"/>
        <item sd="0" x="149"/>
        <item sd="0" m="1" x="1117"/>
        <item sd="0" x="258"/>
        <item sd="0" x="113"/>
        <item sd="0" m="1" x="889"/>
        <item sd="0" m="1" x="587"/>
        <item sd="0" m="1" x="1063"/>
        <item sd="0" x="45"/>
        <item sd="0" m="1" x="653"/>
        <item sd="0" m="1" x="847"/>
        <item sd="0" m="1" x="826"/>
        <item sd="0" m="1" x="593"/>
        <item sd="0" m="1" x="918"/>
        <item sd="0" x="305"/>
        <item sd="0" x="375"/>
        <item sd="0" x="387"/>
        <item sd="0" x="388"/>
        <item sd="0" m="1" x="519"/>
        <item sd="0" m="1" x="619"/>
        <item sd="0" m="1" x="527"/>
        <item sd="0" m="1" x="757"/>
        <item sd="0" m="1" x="1108"/>
        <item sd="0" m="1" x="480"/>
        <item sd="0" m="1" x="632"/>
        <item sd="0" m="1" x="566"/>
        <item sd="0" x="114"/>
        <item sd="0" m="1" x="518"/>
        <item sd="0" m="1" x="785"/>
        <item sd="0" m="1" x="988"/>
        <item sd="0" m="1" x="1023"/>
        <item sd="0" x="46"/>
        <item sd="0" x="143"/>
        <item sd="0" x="229"/>
        <item sd="0" x="240"/>
        <item sd="0" x="259"/>
        <item sd="0" x="300"/>
        <item sd="0" x="331"/>
        <item sd="0" x="26"/>
        <item sd="0" x="150"/>
        <item sd="0" x="227"/>
        <item sd="0" x="390"/>
        <item sd="0" x="391"/>
        <item sd="0" x="25"/>
        <item sd="0" x="55"/>
        <item sd="0" x="151"/>
        <item sd="0" x="152"/>
        <item sd="0" x="153"/>
        <item sd="0" x="230"/>
        <item sd="0" x="231"/>
        <item sd="0" x="232"/>
        <item sd="0" x="260"/>
        <item sd="0" x="389"/>
        <item sd="0" x="392"/>
        <item sd="0" x="418"/>
        <item sd="0" x="419"/>
        <item sd="0" x="421"/>
        <item sd="0" x="27"/>
        <item sd="0" x="28"/>
        <item sd="0" x="125"/>
        <item sd="0" x="136"/>
        <item sd="0" x="142"/>
        <item sd="0" x="154"/>
        <item sd="0" x="157"/>
        <item sd="0" x="184"/>
        <item sd="0" x="301"/>
        <item sd="0" x="393"/>
        <item sd="0" x="42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8000">
        <item x="221"/>
        <item m="1" x="4738"/>
        <item m="1" x="1231"/>
        <item m="1" x="6004"/>
        <item m="1" x="1592"/>
        <item m="1" x="1760"/>
        <item m="1" x="4822"/>
        <item m="1" x="6869"/>
        <item m="1" x="2369"/>
        <item m="1" x="7490"/>
        <item m="1" x="5219"/>
        <item m="1" x="6413"/>
        <item m="1" x="2476"/>
        <item m="1" x="2395"/>
        <item m="1" x="7718"/>
        <item m="1" x="2926"/>
        <item m="1" x="6284"/>
        <item m="1" x="5206"/>
        <item m="1" x="7805"/>
        <item m="1" x="5424"/>
        <item m="1" x="4550"/>
        <item m="1" x="381"/>
        <item m="1" x="7972"/>
        <item m="1" x="6422"/>
        <item m="1" x="1687"/>
        <item m="1" x="4499"/>
        <item m="1" x="2200"/>
        <item m="1" x="5743"/>
        <item m="1" x="1222"/>
        <item m="1" x="5940"/>
        <item m="1" x="6449"/>
        <item m="1" x="266"/>
        <item m="1" x="5635"/>
        <item m="1" x="1248"/>
        <item m="1" x="5935"/>
        <item m="1" x="4454"/>
        <item m="1" x="6600"/>
        <item m="1" x="3434"/>
        <item m="1" x="6421"/>
        <item m="1" x="1195"/>
        <item m="1" x="5742"/>
        <item m="1" x="274"/>
        <item m="1" x="6374"/>
        <item m="1" x="7095"/>
        <item m="1" x="7845"/>
        <item m="1" x="2712"/>
        <item m="1" x="5461"/>
        <item m="1" x="5401"/>
        <item m="1" x="5938"/>
        <item m="1" x="1213"/>
        <item m="1" x="2028"/>
        <item m="1" x="3183"/>
        <item m="1" x="251"/>
        <item m="1" x="1831"/>
        <item m="1" x="1042"/>
        <item m="1" x="5014"/>
        <item m="1" x="2012"/>
        <item m="1" x="3346"/>
        <item m="1" x="4684"/>
        <item m="1" x="7449"/>
        <item m="1" x="7731"/>
        <item m="1" x="1232"/>
        <item m="1" x="866"/>
        <item m="1" x="2663"/>
        <item m="1" x="4369"/>
        <item m="1" x="4779"/>
        <item m="1" x="3435"/>
        <item m="1" x="3554"/>
        <item m="1" x="2008"/>
        <item m="1" x="6302"/>
        <item m="1" x="7940"/>
        <item m="1" x="2721"/>
        <item m="1" x="3124"/>
        <item m="1" x="6812"/>
        <item m="1" x="644"/>
        <item m="1" x="2828"/>
        <item m="1" x="2834"/>
        <item m="1" x="3862"/>
        <item m="1" x="6106"/>
        <item m="1" x="2584"/>
        <item m="1" x="5482"/>
        <item m="1" x="971"/>
        <item m="1" x="4393"/>
        <item m="1" x="1508"/>
        <item m="1" x="6346"/>
        <item m="1" x="4082"/>
        <item m="1" x="6558"/>
        <item m="1" x="5725"/>
        <item m="1" x="1930"/>
        <item m="1" x="1341"/>
        <item m="1" x="2118"/>
        <item m="1" x="4327"/>
        <item m="1" x="2052"/>
        <item m="1" x="5290"/>
        <item m="1" x="2882"/>
        <item m="1" x="6640"/>
        <item m="1" x="5263"/>
        <item m="1" x="4692"/>
        <item m="1" x="919"/>
        <item m="1" x="4534"/>
        <item m="1" x="4264"/>
        <item m="1" x="2838"/>
        <item m="1" x="2510"/>
        <item m="1" x="6988"/>
        <item m="1" x="3706"/>
        <item m="1" x="2880"/>
        <item m="1" x="3402"/>
        <item m="1" x="5656"/>
        <item m="1" x="1007"/>
        <item m="1" x="6475"/>
        <item m="1" x="1995"/>
        <item m="1" x="7967"/>
        <item m="1" x="4168"/>
        <item m="1" x="1418"/>
        <item m="1" x="6387"/>
        <item m="1" x="6684"/>
        <item m="1" x="1069"/>
        <item m="1" x="7309"/>
        <item m="1" x="2358"/>
        <item m="1" x="5118"/>
        <item m="1" x="934"/>
        <item m="1" x="4732"/>
        <item m="1" x="6592"/>
        <item m="1" x="6202"/>
        <item m="1" x="2054"/>
        <item m="1" x="816"/>
        <item m="1" x="2731"/>
        <item m="1" x="3464"/>
        <item m="1" x="5802"/>
        <item m="1" x="7593"/>
        <item m="1" x="1883"/>
        <item m="1" x="6277"/>
        <item m="1" x="1625"/>
        <item m="1" x="5889"/>
        <item m="1" x="2992"/>
        <item m="1" x="2943"/>
        <item m="1" x="4783"/>
        <item m="1" x="4631"/>
        <item m="1" x="3658"/>
        <item m="1" x="597"/>
        <item m="1" x="1523"/>
        <item m="1" x="2270"/>
        <item m="1" x="1828"/>
        <item m="1" x="3731"/>
        <item m="1" x="382"/>
        <item m="1" x="7779"/>
        <item m="1" x="7793"/>
        <item m="1" x="2790"/>
        <item m="1" x="756"/>
        <item m="1" x="558"/>
        <item m="1" x="1873"/>
        <item m="1" x="2538"/>
        <item m="1" x="3219"/>
        <item m="1" x="4302"/>
        <item m="1" x="5021"/>
        <item m="1" x="5459"/>
        <item m="1" x="7703"/>
        <item m="1" x="6436"/>
        <item m="1" x="7527"/>
        <item m="1" x="3700"/>
        <item m="1" x="7601"/>
        <item m="1" x="5441"/>
        <item m="1" x="5175"/>
        <item m="1" x="7371"/>
        <item m="1" x="5532"/>
        <item m="1" x="3764"/>
        <item m="1" x="1800"/>
        <item m="1" x="2778"/>
        <item m="1" x="6794"/>
        <item m="1" x="5863"/>
        <item m="1" x="1761"/>
        <item m="1" x="313"/>
        <item m="1" x="3486"/>
        <item m="1" x="3734"/>
        <item m="1" x="7879"/>
        <item m="1" x="5362"/>
        <item m="1" x="1713"/>
        <item m="1" x="1184"/>
        <item m="1" x="3695"/>
        <item m="1" x="6866"/>
        <item m="1" x="7974"/>
        <item m="1" x="6342"/>
        <item m="1" x="5276"/>
        <item m="1" x="5690"/>
        <item m="1" x="6631"/>
        <item m="1" x="5325"/>
        <item m="1" x="2126"/>
        <item m="1" x="1059"/>
        <item m="1" x="3323"/>
        <item m="1" x="4802"/>
        <item m="1" x="4791"/>
        <item m="1" x="3588"/>
        <item m="1" x="6260"/>
        <item m="1" x="862"/>
        <item m="1" x="3061"/>
        <item m="1" x="7863"/>
        <item m="1" x="1142"/>
        <item m="1" x="4083"/>
        <item m="1" x="3966"/>
        <item m="1" x="3305"/>
        <item m="1" x="5846"/>
        <item m="1" x="3092"/>
        <item m="1" x="3552"/>
        <item m="1" x="2909"/>
        <item m="1" x="431"/>
        <item m="1" x="6187"/>
        <item m="1" x="5926"/>
        <item m="1" x="6801"/>
        <item m="1" x="5060"/>
        <item m="1" x="651"/>
        <item m="1" x="5550"/>
        <item m="1" x="714"/>
        <item m="1" x="4515"/>
        <item m="1" x="3489"/>
        <item m="1" x="5442"/>
        <item m="1" x="2803"/>
        <item m="1" x="1817"/>
        <item m="1" x="4986"/>
        <item m="1" x="1968"/>
        <item m="1" x="836"/>
        <item m="1" x="1949"/>
        <item m="1" x="556"/>
        <item m="1" x="1722"/>
        <item m="1" x="3977"/>
        <item m="1" x="6155"/>
        <item m="1" x="3227"/>
        <item m="1" x="3131"/>
        <item m="1" x="7007"/>
        <item m="1" x="7847"/>
        <item m="1" x="7416"/>
        <item m="1" x="4977"/>
        <item m="1" x="2545"/>
        <item m="1" x="6902"/>
        <item m="1" x="7770"/>
        <item m="1" x="534"/>
        <item m="1" x="5518"/>
        <item m="1" x="6674"/>
        <item m="1" x="7637"/>
        <item m="1" x="3448"/>
        <item m="1" x="596"/>
        <item m="1" x="7228"/>
        <item m="1" x="1436"/>
        <item m="1" x="4248"/>
        <item m="1" x="2779"/>
        <item m="1" x="3191"/>
        <item m="1" x="7339"/>
        <item m="1" x="2925"/>
        <item m="1" x="5630"/>
        <item m="1" x="2452"/>
        <item m="1" x="5058"/>
        <item m="1" x="3303"/>
        <item m="1" x="6654"/>
        <item m="1" x="3204"/>
        <item m="1" x="5390"/>
        <item m="1" x="6825"/>
        <item m="1" x="7928"/>
        <item m="1" x="6807"/>
        <item m="1" x="2259"/>
        <item m="1" x="7756"/>
        <item m="1" x="1050"/>
        <item m="1" x="1243"/>
        <item m="1" x="6806"/>
        <item m="1" x="6840"/>
        <item m="1" x="1311"/>
        <item m="1" x="2442"/>
        <item m="1" x="3325"/>
        <item m="1" x="2970"/>
        <item m="1" x="704"/>
        <item m="1" x="3949"/>
        <item m="1" x="7745"/>
        <item m="1" x="5610"/>
        <item m="1" x="3948"/>
        <item m="1" x="1028"/>
        <item m="1" x="3479"/>
        <item m="1" x="6912"/>
        <item m="1" x="6732"/>
        <item m="1" x="6290"/>
        <item m="1" x="5745"/>
        <item m="1" x="2682"/>
        <item m="1" x="5601"/>
        <item m="1" x="7587"/>
        <item m="1" x="5706"/>
        <item m="1" x="2379"/>
        <item m="1" x="7783"/>
        <item m="1" x="2881"/>
        <item m="1" x="7821"/>
        <item m="1" x="7500"/>
        <item m="1" x="5331"/>
        <item m="1" x="2933"/>
        <item m="1" x="6099"/>
        <item m="1" x="4710"/>
        <item m="1" x="4080"/>
        <item m="1" x="396"/>
        <item m="1" x="6124"/>
        <item m="1" x="4370"/>
        <item m="1" x="2556"/>
        <item m="1" x="3568"/>
        <item m="1" x="5143"/>
        <item m="1" x="7511"/>
        <item m="1" x="1605"/>
        <item m="1" x="3472"/>
        <item m="1" x="2581"/>
        <item m="1" x="2268"/>
        <item m="1" x="7522"/>
        <item m="1" x="5752"/>
        <item m="1" x="7305"/>
        <item m="1" x="5987"/>
        <item m="1" x="4991"/>
        <item m="1" x="1328"/>
        <item m="1" x="6486"/>
        <item m="1" x="6666"/>
        <item m="1" x="6022"/>
        <item m="1" x="6560"/>
        <item m="1" x="773"/>
        <item m="1" x="7933"/>
        <item m="1" x="1675"/>
        <item m="1" x="5053"/>
        <item m="1" x="1350"/>
        <item m="1" x="2264"/>
        <item m="1" x="6370"/>
        <item m="1" x="497"/>
        <item m="1" x="983"/>
        <item m="1" x="3152"/>
        <item m="1" x="6031"/>
        <item m="1" x="3185"/>
        <item m="1" x="7065"/>
        <item m="1" x="1673"/>
        <item m="1" x="3780"/>
        <item m="1" x="1963"/>
        <item m="1" x="5950"/>
        <item m="1" x="2341"/>
        <item m="1" x="2895"/>
        <item m="1" x="3003"/>
        <item m="1" x="1851"/>
        <item m="1" x="6643"/>
        <item m="1" x="7211"/>
        <item m="1" x="6258"/>
        <item m="1" x="681"/>
        <item m="1" x="3362"/>
        <item m="1" x="7893"/>
        <item m="1" x="5141"/>
        <item m="1" x="2787"/>
        <item m="1" x="3995"/>
        <item m="1" x="5823"/>
        <item m="1" x="2530"/>
        <item m="1" x="6194"/>
        <item m="1" x="7263"/>
        <item m="1" x="5860"/>
        <item m="1" x="903"/>
        <item m="1" x="6793"/>
        <item m="1" x="3201"/>
        <item m="1" x="1735"/>
        <item m="1" x="1752"/>
        <item m="1" x="4627"/>
        <item m="1" x="4763"/>
        <item m="1" x="3799"/>
        <item m="1" x="7976"/>
        <item m="1" x="6690"/>
        <item m="1" x="2974"/>
        <item m="1" x="5027"/>
        <item m="1" x="6535"/>
        <item m="1" x="1429"/>
        <item m="1" x="4113"/>
        <item m="1" x="5687"/>
        <item m="1" x="3181"/>
        <item m="1" x="1454"/>
        <item m="1" x="2853"/>
        <item m="1" x="933"/>
        <item m="1" x="6815"/>
        <item m="1" x="6228"/>
        <item m="1" x="7631"/>
        <item m="1" x="4500"/>
        <item m="1" x="6842"/>
        <item m="1" x="6085"/>
        <item m="1" x="4666"/>
        <item m="1" x="5547"/>
        <item m="1" x="7136"/>
        <item m="1" x="3763"/>
        <item m="1" x="7266"/>
        <item m="1" x="2194"/>
        <item m="1" x="6114"/>
        <item m="1" x="4388"/>
        <item m="1" x="6583"/>
        <item m="1" x="3093"/>
        <item m="1" x="1452"/>
        <item m="1" x="6438"/>
        <item m="1" x="5394"/>
        <item m="1" x="6886"/>
        <item m="1" x="5831"/>
        <item m="1" x="5684"/>
        <item m="1" x="2665"/>
        <item m="1" x="3986"/>
        <item m="1" x="3506"/>
        <item m="1" x="4543"/>
        <item m="1" x="5168"/>
        <item m="1" x="5370"/>
        <item m="1" x="4913"/>
        <item m="1" x="2015"/>
        <item m="1" x="6636"/>
        <item m="1" x="778"/>
        <item m="1" x="5760"/>
        <item m="1" x="4058"/>
        <item m="1" x="5990"/>
        <item m="1" x="1920"/>
        <item m="1" x="7386"/>
        <item m="1" x="2519"/>
        <item m="1" x="4048"/>
        <item m="1" x="4422"/>
        <item m="1" x="2554"/>
        <item m="1" x="6462"/>
        <item m="1" x="6499"/>
        <item m="1" x="249"/>
        <item m="1" x="5095"/>
        <item m="1" x="807"/>
        <item m="1" x="6410"/>
        <item m="1" x="5277"/>
        <item m="1" x="3796"/>
        <item m="1" x="5318"/>
        <item m="1" x="7592"/>
        <item m="1" x="4658"/>
        <item m="1" x="6371"/>
        <item m="1" x="1803"/>
        <item m="1" x="261"/>
        <item m="1" x="785"/>
        <item m="1" x="3507"/>
        <item m="1" x="415"/>
        <item m="1" x="7412"/>
        <item m="1" x="2073"/>
        <item m="1" x="4953"/>
        <item m="1" x="677"/>
        <item m="1" x="7908"/>
        <item m="1" x="2477"/>
        <item m="1" x="3260"/>
        <item m="1" x="3129"/>
        <item m="1" x="6026"/>
        <item m="1" x="3085"/>
        <item m="1" x="7578"/>
        <item m="1" x="2611"/>
        <item m="1" x="2177"/>
        <item m="1" x="7524"/>
        <item m="1" x="368"/>
        <item m="1" x="5662"/>
        <item m="1" x="3792"/>
        <item m="1" x="2617"/>
        <item m="1" x="6397"/>
        <item m="1" x="4346"/>
        <item m="1" x="4099"/>
        <item m="1" x="3460"/>
        <item m="1" x="6261"/>
        <item m="1" x="6729"/>
        <item m="1" x="7289"/>
        <item m="1" x="527"/>
        <item m="1" x="4186"/>
        <item m="1" x="6304"/>
        <item m="1" x="4973"/>
        <item m="1" x="6799"/>
        <item m="1" x="3309"/>
        <item m="1" x="2298"/>
        <item m="1" x="1780"/>
        <item m="1" x="3379"/>
        <item m="1" x="4497"/>
        <item m="1" x="4243"/>
        <item m="1" x="6835"/>
        <item m="1" x="5790"/>
        <item m="1" x="2357"/>
        <item m="1" x="7310"/>
        <item m="1" x="6761"/>
        <item m="1" x="3482"/>
        <item m="1" x="6380"/>
        <item m="1" x="2473"/>
        <item m="1" x="7128"/>
        <item m="1" x="7016"/>
        <item m="1" x="6058"/>
        <item m="1" x="2722"/>
        <item m="1" x="5196"/>
        <item m="1" x="4709"/>
        <item m="1" x="2328"/>
        <item m="1" x="2441"/>
        <item m="1" x="1959"/>
        <item m="1" x="5545"/>
        <item m="1" x="6043"/>
        <item m="1" x="6353"/>
        <item m="1" x="4423"/>
        <item m="1" x="6061"/>
        <item m="1" x="2381"/>
        <item m="1" x="3046"/>
        <item m="1" x="5867"/>
        <item m="1" x="1190"/>
        <item m="1" x="262"/>
        <item m="1" x="6998"/>
        <item m="1" x="2652"/>
        <item m="1" x="6650"/>
        <item m="1" x="1409"/>
        <item m="1" x="1705"/>
        <item m="1" x="5352"/>
        <item m="1" x="3298"/>
        <item m="1" x="5709"/>
        <item m="1" x="7036"/>
        <item m="1" x="7576"/>
        <item m="1" x="4289"/>
        <item m="1" x="7321"/>
        <item m="1" x="2945"/>
        <item m="1" x="6713"/>
        <item m="1" x="7002"/>
        <item m="1" x="4896"/>
        <item m="1" x="4890"/>
        <item m="1" x="462"/>
        <item m="1" x="1228"/>
        <item m="1" x="7855"/>
        <item m="1" x="2806"/>
        <item m="1" x="2286"/>
        <item m="1" x="719"/>
        <item m="1" x="2929"/>
        <item m="1" x="1502"/>
        <item m="1" x="5652"/>
        <item m="1" x="840"/>
        <item m="1" x="6345"/>
        <item m="1" x="6848"/>
        <item m="1" x="3709"/>
        <item m="1" x="3607"/>
        <item m="1" x="4036"/>
        <item m="1" x="4104"/>
        <item m="1" x="6472"/>
        <item m="1" x="1602"/>
        <item m="1" x="6731"/>
        <item m="1" x="5243"/>
        <item m="1" x="3228"/>
        <item m="1" x="1674"/>
        <item m="1" x="3673"/>
        <item m="1" x="5254"/>
        <item m="1" x="3004"/>
        <item m="1" x="5986"/>
        <item m="1" x="6189"/>
        <item m="1" x="4907"/>
        <item m="1" x="4057"/>
        <item m="1" x="2213"/>
        <item m="1" x="3739"/>
        <item m="1" x="3274"/>
        <item m="1" x="6679"/>
        <item m="1" x="6513"/>
        <item m="1" x="1282"/>
        <item m="1" x="4856"/>
        <item m="1" x="5398"/>
        <item m="1" x="883"/>
        <item m="1" x="7486"/>
        <item m="1" x="5164"/>
        <item m="1" x="1501"/>
        <item m="1" x="6063"/>
        <item m="1" x="7961"/>
        <item m="1" x="7451"/>
        <item m="1" x="3650"/>
        <item m="1" x="7659"/>
        <item m="1" x="3839"/>
        <item m="1" x="6087"/>
        <item m="1" x="7410"/>
        <item m="1" x="7030"/>
        <item m="1" x="6112"/>
        <item m="1" x="5744"/>
        <item m="1" x="6503"/>
        <item m="1" x="1520"/>
        <item m="1" x="376"/>
        <item m="1" x="4054"/>
        <item m="1" x="7023"/>
        <item m="1" x="2639"/>
        <item m="1" x="231"/>
        <item m="1" x="6887"/>
        <item m="1" x="3319"/>
        <item m="1" x="3225"/>
        <item m="1" x="4367"/>
        <item m="1" x="601"/>
        <item m="1" x="2312"/>
        <item m="1" x="3117"/>
        <item m="1" x="3924"/>
        <item m="1" x="5345"/>
        <item m="1" x="4916"/>
        <item m="1" x="2644"/>
        <item m="1" x="730"/>
        <item m="1" x="4926"/>
        <item m="1" x="2175"/>
        <item m="1" x="5583"/>
        <item m="1" x="737"/>
        <item m="1" x="2629"/>
        <item m="1" x="3938"/>
        <item m="1" x="1573"/>
        <item m="1" x="5887"/>
        <item m="1" x="324"/>
        <item m="1" x="2973"/>
        <item m="1" x="3423"/>
        <item m="1" x="1256"/>
        <item m="1" x="6932"/>
        <item m="1" x="5686"/>
        <item m="1" x="4865"/>
        <item m="1" x="2035"/>
        <item m="1" x="7800"/>
        <item m="1" x="3613"/>
        <item m="1" x="5382"/>
        <item m="1" x="3200"/>
        <item m="1" x="886"/>
        <item m="1" x="5456"/>
        <item m="1" x="804"/>
        <item m="1" x="4166"/>
        <item m="1" x="7759"/>
        <item m="1" x="4012"/>
        <item m="1" x="3465"/>
        <item m="1" x="3637"/>
        <item m="1" x="4386"/>
        <item m="1" x="7802"/>
        <item m="1" x="225"/>
        <item m="1" x="2650"/>
        <item m="1" x="5943"/>
        <item m="1" x="7665"/>
        <item m="1" x="7702"/>
        <item m="1" x="4961"/>
        <item m="1" x="3107"/>
        <item m="1" x="5356"/>
        <item m="1" x="7784"/>
        <item m="1" x="2946"/>
        <item m="1" x="5556"/>
        <item m="1" x="2108"/>
        <item m="1" x="7301"/>
        <item m="1" x="6138"/>
        <item m="1" x="6029"/>
        <item m="1" x="5203"/>
        <item m="1" x="3539"/>
        <item m="1" x="347"/>
        <item m="1" x="2387"/>
        <item m="1" x="2879"/>
        <item m="1" x="6406"/>
        <item m="1" x="2966"/>
        <item m="1" x="1164"/>
        <item m="1" x="6962"/>
        <item m="1" x="5426"/>
        <item m="1" x="7771"/>
        <item m="1" x="1312"/>
        <item m="1" x="7515"/>
        <item m="1" x="3070"/>
        <item m="1" x="841"/>
        <item m="1" x="2320"/>
        <item m="1" x="7050"/>
        <item m="1" x="1148"/>
        <item m="1" x="2416"/>
        <item m="1" x="6147"/>
        <item m="1" x="477"/>
        <item m="1" x="1621"/>
        <item m="1" x="7494"/>
        <item m="1" x="6911"/>
        <item m="1" x="5029"/>
        <item m="1" x="5896"/>
        <item m="1" x="2171"/>
        <item m="1" x="5828"/>
        <item m="1" x="7256"/>
        <item m="1" x="3873"/>
        <item m="1" x="7363"/>
        <item m="1" x="3475"/>
        <item m="1" x="826"/>
        <item m="1" x="4568"/>
        <item m="1" x="1524"/>
        <item m="1" x="6720"/>
        <item m="1" x="4184"/>
        <item m="1" x="2547"/>
        <item m="1" x="7340"/>
        <item m="1" x="2196"/>
        <item m="1" x="4614"/>
        <item m="1" x="586"/>
        <item m="1" x="4348"/>
        <item m="1" x="6257"/>
        <item m="1" x="956"/>
        <item m="1" x="2948"/>
        <item m="1" x="5473"/>
        <item m="1" x="5804"/>
        <item m="1" x="3087"/>
        <item m="1" x="4734"/>
        <item m="1" x="6329"/>
        <item m="1" x="6820"/>
        <item m="1" x="301"/>
        <item m="1" x="7941"/>
        <item m="1" x="1000"/>
        <item m="1" x="6451"/>
        <item m="1" x="4773"/>
        <item m="1" x="1274"/>
        <item m="1" x="7916"/>
        <item m="1" x="5739"/>
        <item m="1" x="4586"/>
        <item m="1" x="1875"/>
        <item m="1" x="3108"/>
        <item m="1" x="2148"/>
        <item m="1" x="7899"/>
        <item m="1" x="557"/>
        <item m="1" x="2635"/>
        <item m="1" x="4970"/>
        <item m="1" x="5355"/>
        <item m="1" x="979"/>
        <item m="1" x="552"/>
        <item m="1" x="252"/>
        <item m="1" x="1450"/>
        <item m="1" x="3933"/>
        <item m="1" x="223"/>
        <item m="1" x="7708"/>
        <item m="1" x="6253"/>
        <item m="1" x="5253"/>
        <item m="1" x="787"/>
        <item m="1" x="2344"/>
        <item m="1" x="7606"/>
        <item m="1" x="4978"/>
        <item m="1" x="2605"/>
        <item m="1" x="7620"/>
        <item m="1" x="5713"/>
        <item m="1" x="4450"/>
        <item m="1" x="7077"/>
        <item m="1" x="6588"/>
        <item m="1" x="6832"/>
        <item m="1" x="6530"/>
        <item m="1" x="1054"/>
        <item m="1" x="4816"/>
        <item m="1" x="6889"/>
        <item m="1" x="3008"/>
        <item m="1" x="6156"/>
        <item m="1" x="5857"/>
        <item m="1" x="1257"/>
        <item m="1" x="7293"/>
        <item m="1" x="3473"/>
        <item m="1" x="3405"/>
        <item m="1" x="4142"/>
        <item m="1" x="286"/>
        <item m="1" x="1969"/>
        <item m="1" x="2111"/>
        <item m="1" x="7572"/>
        <item m="1" x="6845"/>
        <item m="1" x="7296"/>
        <item m="1" x="6047"/>
        <item m="1" x="5521"/>
        <item m="1" x="987"/>
        <item m="1" x="6878"/>
        <item m="1" x="2094"/>
        <item m="1" x="3508"/>
        <item m="1" x="4154"/>
        <item m="1" x="7760"/>
        <item m="1" x="2958"/>
        <item m="1" x="6476"/>
        <item m="1" x="4671"/>
        <item m="1" x="1359"/>
        <item m="1" x="7193"/>
        <item m="1" x="2960"/>
        <item m="1" x="4540"/>
        <item m="1" x="5541"/>
        <item m="1" x="5592"/>
        <item m="1" x="6055"/>
        <item m="1" x="1899"/>
        <item m="1" x="6557"/>
        <item m="1" x="2474"/>
        <item m="1" x="5708"/>
        <item m="1" x="1716"/>
        <item m="1" x="1422"/>
        <item m="1" x="641"/>
        <item m="1" x="3357"/>
        <item m="1" x="5126"/>
        <item m="1" x="783"/>
        <item m="1" x="2334"/>
        <item m="1" x="4936"/>
        <item m="1" x="5379"/>
        <item m="1" x="4247"/>
        <item m="1" x="2993"/>
        <item m="1" x="5496"/>
        <item m="1" x="7754"/>
        <item m="1" x="5573"/>
        <item m="1" x="7383"/>
        <item m="1" x="2064"/>
        <item m="1" x="411"/>
        <item m="1" x="1112"/>
        <item m="1" x="1526"/>
        <item m="1" x="2840"/>
        <item m="1" x="7378"/>
        <item m="1" x="2859"/>
        <item m="1" x="7870"/>
        <item m="1" x="589"/>
        <item m="1" x="2142"/>
        <item m="1" x="4602"/>
        <item m="1" x="4793"/>
        <item m="1" x="3063"/>
        <item m="1" x="5509"/>
        <item m="1" x="4307"/>
        <item m="1" x="588"/>
        <item m="1" x="7885"/>
        <item m="1" x="3312"/>
        <item m="1" x="6718"/>
        <item m="1" x="2641"/>
        <item m="1" x="1929"/>
        <item m="1" x="5418"/>
        <item m="1" x="7699"/>
        <item m="1" x="2410"/>
        <item m="1" x="4153"/>
        <item m="1" x="3345"/>
        <item m="1" x="1521"/>
        <item m="1" x="7108"/>
        <item m="1" x="3571"/>
        <item m="1" x="7957"/>
        <item m="1" x="3371"/>
        <item m="1" x="6579"/>
        <item m="1" x="2752"/>
        <item m="1" x="6927"/>
        <item m="1" x="1915"/>
        <item m="1" x="3162"/>
        <item m="1" x="2703"/>
        <item m="1" x="4041"/>
        <item m="1" x="5480"/>
        <item m="1" x="2291"/>
        <item m="1" x="5312"/>
        <item m="1" x="4182"/>
        <item m="1" x="6382"/>
        <item m="1" x="2419"/>
        <item m="1" x="2134"/>
        <item m="1" x="2723"/>
        <item m="1" x="7883"/>
        <item m="1" x="4549"/>
        <item m="1" x="7738"/>
        <item m="1" x="981"/>
        <item m="1" x="406"/>
        <item m="1" x="7454"/>
        <item m="1" x="7690"/>
        <item m="1" x="5546"/>
        <item m="1" x="5929"/>
        <item m="1" x="6913"/>
        <item m="1" x="1253"/>
        <item m="1" x="7315"/>
        <item m="1" x="6252"/>
        <item m="1" x="3289"/>
        <item m="1" x="3750"/>
        <item m="1" x="4832"/>
        <item m="1" x="5405"/>
        <item m="1" x="5692"/>
        <item m="1" x="5100"/>
        <item m="1" x="2206"/>
        <item m="1" x="2444"/>
        <item m="1" x="2273"/>
        <item m="1" x="7752"/>
        <item m="1" x="670"/>
        <item m="1" x="6629"/>
        <item m="1" x="4219"/>
        <item m="1" x="1813"/>
        <item m="1" x="3586"/>
        <item m="1" x="3877"/>
        <item m="1" x="4173"/>
        <item m="1" x="7503"/>
        <item m="1" x="7583"/>
        <item m="1" x="4399"/>
        <item m="1" x="2349"/>
        <item m="1" x="1423"/>
        <item m="1" x="7789"/>
        <item m="1" x="5737"/>
        <item m="1" x="2854"/>
        <item m="1" x="6664"/>
        <item m="1" x="3854"/>
        <item m="1" x="4599"/>
        <item m="1" x="5516"/>
        <item m="1" x="7716"/>
        <item m="1" x="6739"/>
        <item m="1" x="3339"/>
        <item m="1" x="7616"/>
        <item m="1" x="2212"/>
        <item m="1" x="7591"/>
        <item m="1" x="285"/>
        <item m="1" x="1598"/>
        <item m="1" x="3874"/>
        <item m="1" x="5498"/>
        <item m="1" x="2781"/>
        <item m="1" x="5435"/>
        <item m="1" x="5266"/>
        <item m="1" x="5120"/>
        <item m="1" x="7032"/>
        <item m="1" x="5704"/>
        <item m="1" x="6051"/>
        <item m="1" x="6234"/>
        <item m="1" x="4079"/>
        <item m="1" x="2356"/>
        <item m="1" x="1172"/>
        <item m="1" x="6113"/>
        <item m="1" x="6599"/>
        <item m="1" x="7795"/>
        <item m="1" x="3540"/>
        <item m="1" x="2730"/>
        <item m="1" x="4834"/>
        <item m="1" x="5694"/>
        <item m="1" x="4774"/>
        <item m="1" x="3237"/>
        <item m="1" x="3748"/>
        <item m="1" x="7568"/>
        <item m="1" x="7711"/>
        <item m="1" x="6604"/>
        <item m="1" x="7709"/>
        <item m="1" x="5728"/>
        <item m="1" x="5051"/>
        <item m="1" x="6440"/>
        <item m="1" x="4975"/>
        <item m="1" x="1805"/>
        <item m="1" x="5278"/>
        <item m="1" x="6760"/>
        <item m="1" x="7638"/>
        <item m="1" x="5364"/>
        <item m="1" x="855"/>
        <item m="1" x="7520"/>
        <item m="1" x="1374"/>
        <item m="1" x="4198"/>
        <item m="1" x="6441"/>
        <item m="1" x="5080"/>
        <item m="1" x="3556"/>
        <item m="1" x="5154"/>
        <item m="1" x="2211"/>
        <item m="1" x="358"/>
        <item m="1" x="5777"/>
        <item m="1" x="4959"/>
        <item m="1" x="864"/>
        <item m="1" x="1478"/>
        <item m="1" x="6458"/>
        <item m="1" x="6065"/>
        <item m="1" x="2758"/>
        <item m="1" x="2977"/>
        <item m="1" x="6160"/>
        <item m="1" x="4523"/>
        <item m="1" x="3324"/>
        <item m="1" x="7877"/>
        <item m="1" x="690"/>
        <item m="1" x="695"/>
        <item m="1" x="4214"/>
        <item m="1" x="1742"/>
        <item m="1" x="3641"/>
        <item m="1" x="3885"/>
        <item m="1" x="7647"/>
        <item m="1" x="4196"/>
        <item m="1" x="335"/>
        <item m="1" x="7433"/>
        <item m="1" x="4449"/>
        <item m="1" x="763"/>
        <item m="1" x="6255"/>
        <item m="1" x="2451"/>
        <item m="1" x="4119"/>
        <item m="1" x="2512"/>
        <item m="1" x="5750"/>
        <item m="1" x="3928"/>
        <item m="1" x="3170"/>
        <item m="1" x="3863"/>
        <item m="1" x="304"/>
        <item m="1" x="4477"/>
        <item m="1" x="5582"/>
        <item m="1" x="2479"/>
        <item m="1" x="5338"/>
        <item m="1" x="7429"/>
        <item m="1" x="2333"/>
        <item m="1" x="5084"/>
        <item m="1" x="3889"/>
        <item m="1" x="6924"/>
        <item m="1" x="7679"/>
        <item m="1" x="6606"/>
        <item m="1" x="6238"/>
        <item m="1" x="3852"/>
        <item m="1" x="6868"/>
        <item m="1" x="6242"/>
        <item m="1" x="2424"/>
        <item m="1" x="5314"/>
        <item m="1" x="1852"/>
        <item m="1" x="3823"/>
        <item m="1" x="2531"/>
        <item m="1" x="435"/>
        <item m="1" x="4653"/>
        <item m="1" x="1275"/>
        <item m="1" x="3436"/>
        <item m="1" x="1133"/>
        <item m="1" x="4044"/>
        <item m="1" x="2718"/>
        <item m="1" x="1933"/>
        <item m="1" x="3807"/>
        <item m="1" x="6014"/>
        <item m="1" x="6142"/>
        <item m="1" x="4305"/>
        <item m="1" x="5210"/>
        <item m="1" x="1373"/>
        <item m="1" x="715"/>
        <item m="1" x="1095"/>
        <item m="1" x="7497"/>
        <item m="1" x="464"/>
        <item m="1" x="1055"/>
        <item m="1" x="5591"/>
        <item m="1" x="6003"/>
        <item m="1" x="2269"/>
        <item m="1" x="483"/>
        <item m="1" x="4470"/>
        <item m="1" x="2978"/>
        <item m="1" x="2587"/>
        <item m="1" x="6895"/>
        <item m="1" x="4412"/>
        <item m="1" x="4590"/>
        <item m="1" x="7627"/>
        <item m="1" x="6705"/>
        <item m="1" x="6687"/>
        <item m="1" x="6285"/>
        <item m="1" x="3831"/>
        <item m="1" x="473"/>
        <item m="1" x="5475"/>
        <item m="1" x="3767"/>
        <item m="1" x="6437"/>
        <item m="1" x="1080"/>
        <item m="1" x="6529"/>
        <item m="1" x="3627"/>
        <item m="1" x="7573"/>
        <item m="1" x="5508"/>
        <item m="1" x="5890"/>
        <item m="1" x="7194"/>
        <item m="1" x="2116"/>
        <item m="1" x="2664"/>
        <item m="1" x="5928"/>
        <item m="1" x="2448"/>
        <item m="1" x="930"/>
        <item m="1" x="5071"/>
        <item m="1" x="4063"/>
        <item m="1" x="5022"/>
        <item m="1" x="2075"/>
        <item m="1" x="6724"/>
        <item m="1" x="593"/>
        <item m="1" x="6605"/>
        <item m="1" x="2824"/>
        <item m="1" x="2713"/>
        <item m="1" x="5147"/>
        <item m="1" x="2735"/>
        <item m="1" x="4345"/>
        <item m="1" x="7921"/>
        <item m="1" x="757"/>
        <item m="1" x="1639"/>
        <item m="1" x="4293"/>
        <item m="1" x="2832"/>
        <item m="1" x="2215"/>
        <item m="1" x="2393"/>
        <item m="1" x="5466"/>
        <item m="1" x="3301"/>
        <item m="1" x="2017"/>
        <item m="1" x="7761"/>
        <item m="1" x="1727"/>
        <item m="1" x="2100"/>
        <item m="1" x="7241"/>
        <item m="1" x="5830"/>
        <item m="1" x="5792"/>
        <item m="1" x="2025"/>
        <item m="1" x="679"/>
        <item m="1" x="7172"/>
        <item m="1" x="4815"/>
        <item m="1" x="1364"/>
        <item m="1" x="3590"/>
        <item m="1" x="6035"/>
        <item m="1" x="2736"/>
        <item m="1" x="845"/>
        <item m="1" x="3901"/>
        <item m="1" x="3708"/>
        <item m="1" x="408"/>
        <item m="1" x="482"/>
        <item m="1" x="7179"/>
        <item m="1" x="1009"/>
        <item m="1" x="5367"/>
        <item m="1" x="315"/>
        <item m="1" x="7780"/>
        <item m="1" x="6585"/>
        <item m="1" x="5991"/>
        <item m="1" x="6809"/>
        <item m="1" x="4126"/>
        <item m="1" x="6834"/>
        <item m="1" x="1552"/>
        <item m="1" x="1833"/>
        <item m="1" x="2991"/>
        <item m="1" x="3363"/>
        <item m="1" x="789"/>
        <item m="1" x="6297"/>
        <item m="1" x="4595"/>
        <item m="1" x="2770"/>
        <item m="1" x="4498"/>
        <item m="1" x="1434"/>
        <item m="1" x="1525"/>
        <item m="1" x="3151"/>
        <item m="1" x="3010"/>
        <item m="1" x="3121"/>
        <item m="1" x="4060"/>
        <item m="1" x="6294"/>
        <item m="1" x="1453"/>
        <item m="1" x="6821"/>
        <item m="1" x="2040"/>
        <item m="1" x="5787"/>
        <item m="1" x="2742"/>
        <item m="1" x="3788"/>
        <item m="1" x="5998"/>
        <item m="1" x="992"/>
        <item m="1" x="7083"/>
        <item m="1" x="6263"/>
        <item m="1" x="2176"/>
        <item m="1" x="999"/>
        <item m="1" x="2005"/>
        <item m="1" x="4103"/>
        <item m="1" x="592"/>
        <item m="1" x="280"/>
        <item m="1" x="2923"/>
        <item m="1" x="2323"/>
        <item m="1" x="5272"/>
        <item m="1" x="747"/>
        <item m="1" x="4872"/>
        <item m="1" x="4468"/>
        <item m="1" x="2414"/>
        <item m="1" x="4867"/>
        <item m="1" x="6657"/>
        <item m="1" x="5953"/>
        <item m="1" x="4923"/>
        <item m="1" x="726"/>
        <item m="1" x="1223"/>
        <item m="1" x="4306"/>
        <item m="1" x="4598"/>
        <item m="1" x="3048"/>
        <item m="1" x="5430"/>
        <item m="1" x="6764"/>
        <item m="1" x="5624"/>
        <item m="1" x="2090"/>
        <item m="1" x="5517"/>
        <item m="1" x="5408"/>
        <item m="1" x="3524"/>
        <item m="1" x="2191"/>
        <item m="1" x="1040"/>
        <item m="1" x="5631"/>
        <item m="1" x="3726"/>
        <item m="1" x="2241"/>
        <item m="1" x="7952"/>
        <item m="1" x="1135"/>
        <item m="1" x="7924"/>
        <item m="1" x="6362"/>
        <item m="1" x="5115"/>
        <item m="1" x="7566"/>
        <item m="1" x="2677"/>
        <item m="1" x="7143"/>
        <item m="1" x="289"/>
        <item m="1" x="3533"/>
        <item m="1" x="6990"/>
        <item m="1" x="1298"/>
        <item m="1" x="1659"/>
        <item m="1" x="2228"/>
        <item m="1" x="3991"/>
        <item m="1" x="3033"/>
        <item m="1" x="2053"/>
        <item m="1" x="6819"/>
        <item m="1" x="5018"/>
        <item m="1" x="6844"/>
        <item m="1" x="3239"/>
        <item m="1" x="2516"/>
        <item m="1" x="5994"/>
        <item m="1" x="3292"/>
        <item m="1" x="630"/>
        <item m="1" x="4669"/>
        <item m="1" x="3833"/>
        <item m="1" x="2189"/>
        <item m="1" x="7155"/>
        <item m="1" x="6018"/>
        <item m="1" x="6246"/>
        <item m="1" x="7210"/>
        <item m="1" x="5620"/>
        <item m="1" x="7963"/>
        <item m="1" x="4800"/>
        <item m="1" x="4195"/>
        <item m="1" x="1144"/>
        <item m="1" x="2801"/>
        <item m="1" x="2884"/>
        <item m="1" x="1623"/>
        <item m="1" x="3575"/>
        <item m="1" x="5612"/>
        <item m="1" x="7830"/>
        <item m="1" x="2436"/>
        <item m="1" x="801"/>
        <item m="1" x="1022"/>
        <item m="1" x="1204"/>
        <item m="1" x="5639"/>
        <item m="1" x="460"/>
        <item m="1" x="6452"/>
        <item m="1" x="3565"/>
        <item m="1" x="6094"/>
        <item m="1" x="2346"/>
        <item m="1" x="7048"/>
        <item m="1" x="3148"/>
        <item m="1" x="1647"/>
        <item m="1" x="5856"/>
        <item m="1" x="5166"/>
        <item m="1" x="6831"/>
        <item m="1" x="5520"/>
        <item m="1" x="5872"/>
        <item m="1" x="1692"/>
        <item m="1" x="2851"/>
        <item m="1" x="2128"/>
        <item m="1" x="3442"/>
        <item m="1" x="3714"/>
        <item m="1" x="7022"/>
        <item m="1" x="3031"/>
        <item m="1" x="5340"/>
        <item m="1" x="2591"/>
        <item m="1" x="1546"/>
        <item m="1" x="6559"/>
        <item m="1" x="4769"/>
        <item m="1" x="4406"/>
        <item m="1" x="3548"/>
        <item m="1" x="4495"/>
        <item m="1" x="2913"/>
        <item m="1" x="4263"/>
        <item m="1" x="2214"/>
        <item m="1" x="6523"/>
        <item m="1" x="6079"/>
        <item m="1" x="7746"/>
        <item m="1" x="3209"/>
        <item m="1" x="904"/>
        <item m="1" x="6264"/>
        <item m="1" x="7737"/>
        <item m="1" x="5854"/>
        <item m="1" x="2173"/>
        <item m="1" x="3304"/>
        <item m="1" x="3669"/>
        <item m="1" x="7387"/>
        <item m="1" x="5769"/>
        <item m="1" x="4683"/>
        <item m="1" x="2315"/>
        <item m="1" x="517"/>
        <item m="1" x="6735"/>
        <item m="1" x="7530"/>
        <item m="1" x="1701"/>
        <item m="1" x="4625"/>
        <item m="1" x="3058"/>
        <item m="1" x="3775"/>
        <item m="1" x="959"/>
        <item m="1" x="5703"/>
        <item m="1" x="6796"/>
        <item m="1" x="2738"/>
        <item m="1" x="7808"/>
        <item m="1" x="5261"/>
        <item m="1" x="7555"/>
        <item m="1" x="3622"/>
        <item m="1" x="2434"/>
        <item m="1" x="4979"/>
        <item m="1" x="5811"/>
        <item m="1" x="3987"/>
        <item m="1" x="4429"/>
        <item m="1" x="3458"/>
        <item m="1" x="7550"/>
        <item m="1" x="7190"/>
        <item m="1" x="941"/>
        <item m="1" x="2199"/>
        <item m="1" x="3095"/>
        <item m="1" x="4320"/>
        <item m="1" x="3344"/>
        <item m="1" x="6466"/>
        <item m="1" x="1707"/>
        <item m="1" x="281"/>
        <item m="1" x="4004"/>
        <item m="1" x="2662"/>
        <item m="1" x="4109"/>
        <item m="1" x="1948"/>
        <item m="1" x="3418"/>
        <item m="1" x="5535"/>
        <item m="1" x="3717"/>
        <item m="1" x="2965"/>
        <item m="1" x="5795"/>
        <item m="1" x="3534"/>
        <item m="1" x="5807"/>
        <item m="1" x="7224"/>
        <item m="1" x="3001"/>
        <item m="1" x="5250"/>
        <item m="1" x="6288"/>
        <item m="1" x="5873"/>
        <item m="1" x="6332"/>
        <item m="1" x="3047"/>
        <item m="1" x="5705"/>
        <item m="1" x="2815"/>
        <item m="1" x="988"/>
        <item m="1" x="7534"/>
        <item m="1" x="829"/>
        <item m="1" x="3529"/>
        <item m="1" x="1171"/>
        <item m="1" x="3045"/>
        <item m="1" x="5643"/>
        <item m="1" x="1791"/>
        <item m="1" x="4701"/>
        <item m="1" x="7265"/>
        <item m="1" x="1768"/>
        <item m="1" x="7871"/>
        <item m="1" x="7931"/>
        <item m="1" x="1985"/>
        <item m="1" x="4156"/>
        <item m="1" x="1115"/>
        <item m="1" x="5904"/>
        <item m="1" x="5783"/>
        <item m="1" x="2725"/>
        <item m="1" x="5275"/>
        <item m="1" x="6630"/>
        <item m="1" x="5533"/>
        <item m="1" x="7705"/>
        <item m="1" x="2373"/>
        <item m="1" x="2045"/>
        <item m="1" x="1442"/>
        <item m="1" x="4354"/>
        <item m="1" x="6266"/>
        <item m="1" x="1988"/>
        <item m="1" x="5102"/>
        <item m="1" x="4886"/>
        <item m="1" x="384"/>
        <item m="1" x="5754"/>
        <item m="1" x="273"/>
        <item m="1" x="4525"/>
        <item m="1" x="4323"/>
        <item m="1" x="4482"/>
        <item m="1" x="459"/>
        <item m="1" x="3142"/>
        <item m="1" x="5104"/>
        <item m="1" x="2056"/>
        <item m="1" x="2024"/>
        <item m="1" x="1351"/>
        <item m="1" x="7579"/>
        <item m="1" x="4206"/>
        <item m="1" x="6179"/>
        <item m="1" x="2846"/>
        <item m="1" x="7753"/>
        <item m="1" x="5574"/>
        <item m="1" x="621"/>
        <item m="1" x="4417"/>
        <item m="1" x="4474"/>
        <item m="1" x="3411"/>
        <item m="1" x="351"/>
        <item m="1" x="6665"/>
        <item m="1" x="6010"/>
        <item m="1" x="2583"/>
        <item m="1" x="7712"/>
        <item m="1" x="1062"/>
        <item m="1" x="664"/>
        <item m="1" x="4776"/>
        <item m="1" x="5930"/>
        <item m="1" x="5675"/>
        <item m="1" x="5840"/>
        <item m="1" x="1268"/>
        <item m="1" x="2085"/>
        <item m="1" x="7776"/>
        <item m="1" x="3869"/>
        <item m="1" x="6215"/>
        <item m="1" x="4076"/>
        <item m="1" x="6525"/>
        <item m="1" x="3374"/>
        <item m="1" x="4222"/>
        <item m="1" x="7116"/>
        <item m="1" x="6045"/>
        <item m="1" x="3713"/>
        <item m="1" x="7901"/>
        <item m="1" x="5749"/>
        <item m="1" x="5113"/>
        <item m="1" x="6212"/>
        <item m="1" x="6431"/>
        <item m="1" x="269"/>
        <item m="1" x="3210"/>
        <item m="1" x="7719"/>
        <item m="1" x="4005"/>
        <item m="1" x="6981"/>
        <item m="1" x="5898"/>
        <item m="1" x="4266"/>
        <item m="1" x="6533"/>
        <item m="1" x="694"/>
        <item m="1" x="913"/>
        <item m="1" x="744"/>
        <item m="1" x="2087"/>
        <item m="1" x="3247"/>
        <item m="1" x="6036"/>
        <item m="1" x="6495"/>
        <item m="1" x="4635"/>
        <item m="1" x="2316"/>
        <item m="1" x="465"/>
        <item m="1" x="2560"/>
        <item m="1" x="5761"/>
        <item m="1" x="1798"/>
        <item m="1" x="705"/>
        <item m="1" x="7778"/>
        <item m="1" x="5586"/>
        <item m="1" x="5758"/>
        <item m="1" x="7068"/>
        <item m="1" x="4347"/>
        <item m="1" x="5142"/>
        <item m="1" x="3067"/>
        <item m="1" x="4466"/>
        <item m="1" x="4951"/>
        <item m="1" x="1438"/>
        <item m="1" x="6377"/>
        <item m="1" x="6551"/>
        <item m="1" x="5504"/>
        <item m="1" x="5634"/>
        <item m="1" x="2048"/>
        <item m="1" x="3278"/>
        <item m="1" x="7264"/>
        <item m="1" x="5843"/>
        <item m="1" x="4826"/>
        <item m="1" x="7223"/>
        <item m="1" x="2042"/>
        <item m="1" x="7773"/>
        <item m="1" x="2374"/>
        <item m="1" x="6733"/>
        <item m="1" x="575"/>
        <item m="1" x="2791"/>
        <item m="1" x="5179"/>
        <item m="1" x="3704"/>
        <item m="1" x="7898"/>
        <item m="1" x="4603"/>
        <item m="1" x="7876"/>
        <item m="1" x="7389"/>
        <item m="1" x="2276"/>
        <item m="1" x="6270"/>
        <item m="1" x="6244"/>
        <item m="1" x="2897"/>
        <item m="1" x="7612"/>
        <item m="1" x="1901"/>
        <item m="1" x="5200"/>
        <item m="1" x="6271"/>
        <item m="1" x="7558"/>
        <item m="1" x="4984"/>
        <item m="1" x="1126"/>
        <item m="1" x="441"/>
        <item m="1" x="3558"/>
        <item m="1" x="6338"/>
        <item m="1" x="2293"/>
        <item m="1" x="3761"/>
        <item m="1" x="4507"/>
        <item m="1" x="748"/>
        <item m="1" x="6697"/>
        <item m="1" x="1708"/>
        <item m="1" x="7120"/>
        <item m="1" x="291"/>
        <item m="1" x="4615"/>
        <item m="1" x="2096"/>
        <item m="1" x="995"/>
        <item m="1" x="2777"/>
        <item m="1" x="583"/>
        <item m="1" x="3835"/>
        <item m="1" x="4777"/>
        <item m="1" x="1462"/>
        <item m="1" x="4768"/>
        <item m="1" x="6162"/>
        <item m="1" x="1356"/>
        <item m="1" x="2603"/>
        <item m="1" x="1285"/>
        <item m="1" x="5619"/>
        <item m="1" x="3982"/>
        <item m="1" x="3114"/>
        <item m="1" x="4402"/>
        <item m="1" x="1627"/>
        <item m="1" x="7539"/>
        <item m="1" x="4558"/>
        <item m="1" x="7828"/>
        <item m="1" x="7011"/>
        <item m="1" x="2651"/>
        <item m="1" x="6249"/>
        <item m="1" x="4392"/>
        <item m="1" x="1180"/>
        <item m="1" x="2168"/>
        <item m="1" x="4145"/>
        <item m="1" x="2480"/>
        <item m="1" x="1786"/>
        <item m="1" x="6075"/>
        <item m="1" x="6494"/>
        <item m="1" x="5256"/>
        <item m="1" x="3279"/>
        <item m="1" x="2457"/>
        <item m="1" x="6967"/>
        <item m="1" x="7153"/>
        <item m="1" x="2931"/>
        <item m="1" x="6546"/>
        <item m="1" x="4537"/>
        <item m="1" x="5871"/>
        <item m="1" x="5824"/>
        <item m="1" x="584"/>
        <item m="1" x="7919"/>
        <item m="1" x="7312"/>
        <item m="1" x="6797"/>
        <item m="1" x="5983"/>
        <item m="1" x="4765"/>
        <item m="1" x="7377"/>
        <item m="1" x="1344"/>
        <item m="1" x="307"/>
        <item m="1" x="2566"/>
        <item m="1" x="3156"/>
        <item m="1" x="5308"/>
        <item m="1" x="4413"/>
        <item m="1" x="4962"/>
        <item m="1" x="7237"/>
        <item m="1" x="3697"/>
        <item m="1" x="7213"/>
        <item m="1" x="3746"/>
        <item m="1" x="5572"/>
        <item m="1" x="1651"/>
        <item m="1" x="1858"/>
        <item m="1" x="7704"/>
        <item m="1" x="2833"/>
        <item m="1" x="5319"/>
        <item m="1" x="5068"/>
        <item m="1" x="6173"/>
        <item m="1" x="346"/>
        <item m="1" x="4557"/>
        <item m="1" x="3712"/>
        <item m="1" x="5805"/>
        <item m="1" x="5922"/>
        <item m="1" x="1717"/>
        <item m="1" x="5587"/>
        <item m="1" x="634"/>
        <item m="1" x="1290"/>
        <item m="1" x="2653"/>
        <item m="1" x="6098"/>
        <item m="1" x="449"/>
        <item m="1" x="5523"/>
        <item m="1" x="5231"/>
        <item m="1" x="4411"/>
        <item m="1" x="7152"/>
        <item m="1" x="3564"/>
        <item m="1" x="390"/>
        <item m="1" x="6983"/>
        <item m="1" x="6712"/>
        <item m="1" x="6521"/>
        <item m="1" x="1419"/>
        <item m="1" x="4227"/>
        <item m="1" x="5740"/>
        <item m="1" x="5672"/>
        <item m="1" x="6980"/>
        <item m="1" x="6243"/>
        <item m="1" x="6384"/>
        <item m="1" x="6755"/>
        <item m="1" x="6556"/>
        <item m="1" x="3778"/>
        <item m="1" x="892"/>
        <item m="1" x="7604"/>
        <item m="1" x="3646"/>
        <item m="1" x="6488"/>
        <item m="1" x="485"/>
        <item m="1" x="7839"/>
        <item m="1" x="4885"/>
        <item m="1" x="7379"/>
        <item m="1" x="5255"/>
        <item m="1" x="2208"/>
        <item m="1" x="2408"/>
        <item m="1" x="1191"/>
        <item m="1" x="724"/>
        <item m="1" x="2098"/>
        <item m="1" x="6093"/>
        <item m="1" x="1430"/>
        <item m="1" x="7768"/>
        <item m="1" x="457"/>
        <item m="1" x="1732"/>
        <item m="1" x="1403"/>
        <item m="1" x="7782"/>
        <item m="1" x="6803"/>
        <item m="1" x="5322"/>
        <item m="1" x="4122"/>
        <item m="1" x="5449"/>
        <item m="1" x="3827"/>
        <item m="1" x="4654"/>
        <item m="1" x="6379"/>
        <item m="1" x="1432"/>
        <item m="1" x="6454"/>
        <item m="1" x="6662"/>
        <item m="1" x="3666"/>
        <item m="1" x="1047"/>
        <item m="1" x="3055"/>
        <item m="1" x="3018"/>
        <item m="1" x="3013"/>
        <item m="1" x="7706"/>
        <item m="1" x="771"/>
        <item m="1" x="2362"/>
        <item m="1" x="4051"/>
        <item m="1" x="3735"/>
        <item m="1" x="1068"/>
        <item m="1" x="481"/>
        <item m="1" x="1021"/>
        <item m="1" x="7422"/>
        <item m="1" x="7536"/>
        <item m="1" x="7818"/>
        <item m="1" x="5016"/>
        <item m="1" x="3263"/>
        <item m="1" x="602"/>
        <item m="1" x="6090"/>
        <item m="1" x="867"/>
        <item m="1" x="5611"/>
        <item m="1" x="5144"/>
        <item m="1" x="6949"/>
        <item m="1" x="401"/>
        <item m="1" x="2187"/>
        <item m="1" x="5785"/>
        <item m="1" x="2595"/>
        <item m="1" x="6699"/>
        <item m="1" x="1334"/>
        <item m="1" x="675"/>
        <item m="1" x="1488"/>
        <item m="1" x="1495"/>
        <item m="1" x="2201"/>
        <item m="1" x="4379"/>
        <item m="1" x="1671"/>
        <item m="1" x="5699"/>
        <item m="1" x="2555"/>
        <item m="1" x="2995"/>
        <item m="1" x="835"/>
        <item m="1" x="900"/>
        <item m="1" x="7415"/>
        <item m="1" x="770"/>
        <item m="1" x="3610"/>
        <item m="1" x="267"/>
        <item m="1" x="560"/>
        <item m="1" x="2737"/>
        <item m="1" x="5328"/>
        <item m="1" x="2223"/>
        <item m="1" x="4269"/>
        <item m="1" x="7216"/>
        <item m="1" x="7053"/>
        <item m="1" x="5906"/>
        <item m="1" x="5637"/>
        <item m="1" x="1138"/>
        <item m="1" x="3946"/>
        <item m="1" x="7547"/>
        <item m="1" x="6961"/>
        <item m="1" x="4337"/>
        <item m="1" x="3138"/>
        <item m="1" x="4965"/>
        <item m="1" x="5010"/>
        <item m="1" x="1441"/>
        <item m="1" x="2771"/>
        <item m="1" x="480"/>
        <item m="1" x="1777"/>
        <item m="1" x="4814"/>
        <item m="1" x="935"/>
        <item m="1" x="7742"/>
        <item m="1" x="6411"/>
        <item m="1" x="3630"/>
        <item m="1" x="4554"/>
        <item m="1" x="5673"/>
        <item m="1" x="535"/>
        <item m="1" x="6885"/>
        <item m="1" x="5470"/>
        <item m="1" x="5162"/>
        <item m="1" x="1896"/>
        <item m="1" x="6308"/>
        <item m="1" x="6056"/>
        <item m="1" x="4233"/>
        <item m="1" x="7478"/>
        <item m="1" x="2306"/>
        <item m="1" x="3943"/>
        <item m="1" x="764"/>
        <item m="1" x="6084"/>
        <item m="1" x="2059"/>
        <item m="1" x="2034"/>
        <item m="1" x="4336"/>
        <item m="1" x="3941"/>
        <item m="1" x="6209"/>
        <item m="1" x="1227"/>
        <item m="1" x="3383"/>
        <item m="1" x="3737"/>
        <item m="1" x="6493"/>
        <item m="1" x="4484"/>
        <item m="1" x="5849"/>
        <item m="1" x="3915"/>
        <item m="1" x="4016"/>
        <item m="1" x="1668"/>
        <item m="1" x="402"/>
        <item m="1" x="5096"/>
        <item m="1" x="7956"/>
        <item m="1" x="7775"/>
        <item m="1" x="4314"/>
        <item m="1" x="1853"/>
        <item m="1" x="7618"/>
        <item m="1" x="7675"/>
        <item m="1" x="1977"/>
        <item m="1" x="1680"/>
        <item m="1" x="3570"/>
        <item m="1" x="5304"/>
        <item m="1" x="6776"/>
        <item m="1" x="5417"/>
        <item m="1" x="7694"/>
        <item m="1" x="6721"/>
        <item m="1" x="5349"/>
        <item m="1" x="3034"/>
        <item m="1" x="1120"/>
        <item m="1" x="6597"/>
        <item m="1" x="2740"/>
        <item m="1" x="7064"/>
        <item m="1" x="3766"/>
        <item m="1" x="7519"/>
        <item m="1" x="455"/>
        <item m="1" x="2918"/>
        <item m="1" x="1910"/>
        <item m="1" x="4191"/>
        <item m="1" x="859"/>
        <item m="1" x="5269"/>
        <item m="1" x="993"/>
        <item m="1" x="2137"/>
        <item m="1" x="1994"/>
        <item m="1" x="6496"/>
        <item m="1" x="1444"/>
        <item m="1" x="1553"/>
        <item m="1" x="224"/>
        <item m="1" x="2872"/>
        <item m="1" x="2904"/>
        <item m="1" x="786"/>
        <item m="1" x="3348"/>
        <item m="1" x="7589"/>
        <item m="1" x="3787"/>
        <item m="1" x="3599"/>
        <item m="1" x="5008"/>
        <item m="1" x="5265"/>
        <item m="1" x="6933"/>
        <item m="1" x="2896"/>
        <item m="1" x="713"/>
        <item m="1" x="1697"/>
        <item m="1" x="561"/>
        <item m="1" x="1370"/>
        <item m="1" x="7157"/>
        <item m="1" x="3954"/>
        <item m="1" x="2699"/>
        <item m="1" x="2794"/>
        <item m="1" x="4023"/>
        <item m="1" x="3449"/>
        <item m="1" x="1127"/>
        <item m="1" x="822"/>
        <item m="1" x="3368"/>
        <item m="1" x="2578"/>
        <item m="1" x="1685"/>
        <item m="1" x="1885"/>
        <item m="1" x="4303"/>
        <item m="1" x="6986"/>
        <item m="1" x="2049"/>
        <item m="1" x="7029"/>
        <item m="1" x="6164"/>
        <item m="1" x="7180"/>
        <item m="1" x="2570"/>
        <item m="1" x="4027"/>
        <item m="1" x="1335"/>
        <item m="1" x="3762"/>
        <item m="1" x="1966"/>
        <item m="1" x="454"/>
        <item m="1" x="6168"/>
        <item m="1" x="4155"/>
        <item m="1" x="7234"/>
        <item m="1" x="4726"/>
        <item m="1" x="974"/>
        <item m="1" x="929"/>
        <item m="1" x="7185"/>
        <item m="1" x="3330"/>
        <item m="1" x="2524"/>
        <item m="1" x="4045"/>
        <item m="1" x="6675"/>
        <item m="1" x="6855"/>
        <item m="1" x="2673"/>
        <item m="1" x="7424"/>
        <item m="1" x="6068"/>
        <item m="1" x="278"/>
        <item m="1" x="720"/>
        <item m="1" x="5522"/>
        <item m="1" x="809"/>
        <item m="1" x="1714"/>
        <item m="1" x="456"/>
        <item m="1" x="1769"/>
        <item m="1" x="1972"/>
        <item m="1" x="371"/>
        <item m="1" x="1219"/>
        <item m="1" x="3118"/>
        <item m="1" x="697"/>
        <item m="1" x="5493"/>
        <item m="1" x="6580"/>
        <item m="1" x="3223"/>
        <item m="1" x="4462"/>
        <item m="1" x="3730"/>
        <item m="1" x="6359"/>
        <item m="1" x="1473"/>
        <item m="1" x="7177"/>
        <item m="1" x="241"/>
        <item m="1" x="6514"/>
        <item m="1" x="658"/>
        <item m="1" x="5495"/>
        <item m="1" x="3337"/>
        <item m="1" x="5194"/>
        <item m="1" x="5897"/>
        <item m="1" x="6694"/>
        <item m="1" x="6663"/>
        <item m="1" x="4223"/>
        <item m="1" x="3519"/>
        <item m="1" x="5065"/>
        <item m="1" x="1565"/>
        <item m="1" x="7926"/>
        <item m="1" x="4644"/>
        <item m="1" x="3725"/>
        <item m="1" x="7904"/>
        <item m="1" x="4611"/>
        <item m="1" x="5262"/>
        <item m="1" x="653"/>
        <item m="1" x="693"/>
        <item m="1" x="3072"/>
        <item m="1" x="4020"/>
        <item m="1" x="7270"/>
        <item m="1" x="1544"/>
        <item m="1" x="424"/>
        <item m="1" x="668"/>
        <item m="1" x="1188"/>
        <item m="1" x="669"/>
        <item m="1" x="6144"/>
        <item m="1" x="6841"/>
        <item m="1" x="1318"/>
        <item m="1" x="4349"/>
        <item m="1" x="2775"/>
        <item m="1" x="7501"/>
        <item m="1" x="6641"/>
        <item m="1" x="7024"/>
        <item m="1" x="7678"/>
        <item m="1" x="2250"/>
        <item m="1" x="3049"/>
        <item m="1" x="5536"/>
        <item m="1" x="2877"/>
        <item m="1" x="7774"/>
        <item m="1" x="2893"/>
        <item m="1" x="4785"/>
        <item m="1" x="476"/>
        <item m="1" x="1807"/>
        <item m="1" x="5161"/>
        <item m="1" x="6901"/>
        <item m="1" x="1280"/>
        <item m="1" x="2058"/>
        <item m="1" x="7333"/>
        <item m="1" x="6082"/>
        <item m="1" x="7765"/>
        <item m="1" x="3769"/>
        <item m="1" x="6943"/>
        <item m="1" x="1694"/>
        <item m="1" x="4185"/>
        <item m="1" x="1600"/>
        <item m="1" x="3553"/>
        <item m="1" x="3146"/>
        <item m="1" x="3682"/>
        <item m="1" x="1053"/>
        <item m="1" x="4859"/>
        <item m="1" x="6598"/>
        <item m="1" x="6880"/>
        <item m="1" x="3577"/>
        <item m="1" x="5191"/>
        <item m="1" x="7748"/>
        <item m="1" x="7912"/>
        <item m="1" x="1822"/>
        <item m="1" x="5834"/>
        <item m="1" x="2724"/>
        <item m="1" x="5437"/>
        <item m="1" x="1252"/>
        <item m="1" x="4239"/>
        <item m="1" x="3400"/>
        <item m="1" x="5826"/>
        <item m="1" x="7367"/>
        <item m="1" x="2953"/>
        <item m="1" x="5337"/>
        <item m="1" x="5310"/>
        <item m="1" x="562"/>
        <item m="1" x="2944"/>
        <item m="1" x="2271"/>
        <item m="1" x="1460"/>
        <item m="1" x="7710"/>
        <item m="1" x="7567"/>
        <item m="1" x="2262"/>
        <item m="1" x="1379"/>
        <item m="1" x="2172"/>
        <item m="1" x="1904"/>
        <item m="1" x="3112"/>
        <item m="1" x="7502"/>
        <item m="1" x="7395"/>
        <item m="1" x="7923"/>
        <item m="1" x="3161"/>
        <item m="1" x="7222"/>
        <item m="1" x="7533"/>
        <item m="1" x="5125"/>
        <item m="1" x="5491"/>
        <item m="1" x="4358"/>
        <item m="1" x="4579"/>
        <item m="1" x="6537"/>
        <item m="1" x="5870"/>
        <item m="1" x="4487"/>
        <item m="1" x="3822"/>
        <item m="1" x="1203"/>
        <item m="1" x="4298"/>
        <item m="1" x="3685"/>
        <item m="1" x="5350"/>
        <item m="1" x="696"/>
        <item m="1" x="3572"/>
        <item m="1" x="2536"/>
        <item m="1" x="2912"/>
        <item m="1" x="3851"/>
        <item m="1" x="5970"/>
        <item m="1" x="3231"/>
        <item m="1" x="5595"/>
        <item m="1" x="1731"/>
        <item m="1" x="1375"/>
        <item m="1" x="3667"/>
        <item m="1" x="5716"/>
        <item m="1" x="5017"/>
        <item m="1" x="6570"/>
        <item m="1" x="7640"/>
        <item m="1" x="673"/>
        <item m="1" x="2164"/>
        <item m="1" x="637"/>
        <item m="1" x="6744"/>
        <item m="1" x="7499"/>
        <item m="1" x="1500"/>
        <item m="1" x="5702"/>
        <item m="1" x="1093"/>
        <item m="1" x="4576"/>
        <item m="1" x="6184"/>
        <item m="1" x="3589"/>
        <item m="1" x="5002"/>
        <item m="1" x="2384"/>
        <item m="1" x="4828"/>
        <item m="1" x="4618"/>
        <item m="1" x="7334"/>
        <item m="1" x="536"/>
        <item m="1" x="1736"/>
        <item m="1" x="7021"/>
        <item m="1" x="5661"/>
        <item m="1" x="2898"/>
        <item m="1" x="7364"/>
        <item m="1" x="7123"/>
        <item m="1" x="7204"/>
        <item m="1" x="766"/>
        <item m="1" x="3154"/>
        <item m="1" x="5954"/>
        <item m="1" x="2145"/>
        <item m="1" x="1743"/>
        <item m="1" x="6531"/>
        <item m="1" x="4175"/>
        <item m="1" x="828"/>
        <item m="1" x="2282"/>
        <item m="1" x="6582"/>
        <item m="1" x="7936"/>
        <item m="1" x="5866"/>
        <item m="1" x="5384"/>
        <item m="1" x="4407"/>
        <item m="1" x="923"/>
        <item m="1" x="4675"/>
        <item m="1" x="4617"/>
        <item m="1" x="5984"/>
        <item m="1" x="294"/>
        <item m="1" x="3089"/>
        <item m="1" x="4728"/>
        <item m="1" x="493"/>
        <item m="1" x="942"/>
        <item m="1" x="5327"/>
        <item m="1" x="2093"/>
        <item m="1" x="1642"/>
        <item m="1" x="3446"/>
        <item m="1" x="3306"/>
        <item m="1" x="6505"/>
        <item m="1" x="7492"/>
        <item m="1" x="3527"/>
        <item m="1" x="7249"/>
        <item m="1" x="1747"/>
        <item m="1" x="5767"/>
        <item m="1" x="2467"/>
        <item m="1" x="4034"/>
        <item m="1" x="3503"/>
        <item m="1" x="3452"/>
        <item m="1" x="7654"/>
        <item m="1" x="5722"/>
        <item m="1" x="7329"/>
        <item m="1" x="1147"/>
        <item m="1" x="5944"/>
        <item m="1" x="875"/>
        <item m="1" x="3252"/>
        <item m="1" x="453"/>
        <item m="1" x="2521"/>
        <item m="1" x="4983"/>
        <item m="1" x="4309"/>
        <item m="1" x="1034"/>
        <item m="1" x="3062"/>
        <item m="1" x="4818"/>
        <item m="1" x="2756"/>
        <item m="1" x="6763"/>
        <item m="1" x="3027"/>
        <item m="1" x="5621"/>
        <item m="1" x="1643"/>
        <item m="1" x="1821"/>
        <item m="1" x="7958"/>
        <item m="1" x="5905"/>
        <item m="1" x="5217"/>
        <item m="1" x="2055"/>
        <item m="1" x="4957"/>
        <item m="1" x="296"/>
        <item m="1" x="2941"/>
        <item m="1" x="3597"/>
        <item m="1" x="5732"/>
        <item m="1" x="568"/>
        <item m="1" x="7739"/>
        <item m="1" x="5593"/>
        <item m="1" x="1130"/>
        <item m="1" x="1475"/>
        <item m="1" x="2608"/>
        <item m="1" x="5738"/>
        <item m="1" x="4032"/>
        <item m="1" x="7528"/>
        <item m="1" x="6995"/>
        <item m="1" x="4784"/>
        <item m="1" x="2179"/>
        <item m="1" x="2345"/>
        <item m="1" x="4944"/>
        <item m="1" x="6808"/>
        <item m="1" x="5865"/>
        <item m="1" x="6281"/>
        <item m="1" x="3504"/>
        <item m="1" x="5404"/>
        <item m="1" x="2774"/>
        <item m="1" x="369"/>
        <item m="1" x="581"/>
        <item m="1" x="5596"/>
        <item m="1" x="1790"/>
        <item m="1" x="6774"/>
        <item m="1" x="3994"/>
        <item m="1" x="5575"/>
        <item m="1" x="6992"/>
        <item m="1" x="1347"/>
        <item m="1" x="660"/>
        <item m="1" x="1470"/>
        <item m="1" x="4357"/>
        <item m="1" x="4009"/>
        <item m="1" x="5458"/>
        <item m="1" x="7427"/>
        <item m="1" x="1941"/>
        <item m="1" x="3016"/>
        <item m="1" x="1699"/>
        <item m="1" x="4430"/>
        <item m="1" x="3336"/>
        <item m="1" x="242"/>
        <item m="1" x="2470"/>
        <item m="1" x="678"/>
        <item m="1" x="4181"/>
        <item m="1" x="1819"/>
        <item m="1" x="6361"/>
        <item m="1" x="7506"/>
        <item m="1" x="7891"/>
        <item m="1" x="3420"/>
        <item m="1" x="6737"/>
        <item m="1" x="2950"/>
        <item m="1" x="1955"/>
        <item m="1" x="5366"/>
        <item m="1" x="420"/>
        <item m="1" x="5282"/>
        <item m="1" x="1806"/>
        <item m="1" x="5494"/>
        <item m="1" x="265"/>
        <item m="1" x="3615"/>
        <item m="1" x="2427"/>
        <item m="1" x="4640"/>
        <item m="1" x="3582"/>
        <item m="1" x="544"/>
        <item m="1" x="689"/>
        <item m="1" x="2936"/>
        <item m="1" x="3377"/>
        <item m="1" x="1017"/>
        <item m="1" x="7472"/>
        <item m="1" x="1618"/>
        <item m="1" x="1560"/>
        <item m="1" x="7605"/>
        <item m="1" x="2842"/>
        <item m="1" x="6944"/>
        <item m="1" x="4334"/>
        <item m="1" x="3014"/>
        <item m="1" x="1167"/>
        <item m="1" x="4778"/>
        <item m="1" x="5608"/>
        <item m="1" x="4750"/>
        <item m="1" x="6248"/>
        <item m="1" x="2776"/>
        <item m="1" x="1014"/>
        <item m="1" x="3393"/>
        <item m="1" x="7098"/>
        <item m="1" x="1838"/>
        <item m="1" x="577"/>
        <item m="1" x="606"/>
        <item m="1" x="1482"/>
        <item m="1" x="2158"/>
        <item m="1" x="2297"/>
        <item m="1" x="3670"/>
        <item m="1" x="4157"/>
        <item m="1" x="6595"/>
        <item m="1" x="2218"/>
        <item m="1" x="7165"/>
        <item m="1" x="821"/>
        <item m="1" x="2492"/>
        <item m="1" x="2007"/>
        <item m="1" x="1236"/>
        <item m="1" x="6177"/>
        <item m="1" x="3380"/>
        <item m="1" x="1591"/>
        <item m="1" x="599"/>
        <item m="1" x="1415"/>
        <item m="1" x="1183"/>
        <item m="1" x="4475"/>
        <item m="1" x="5793"/>
        <item m="1" x="3469"/>
        <item m="1" x="4006"/>
        <item m="1" x="4719"/>
        <item m="1" x="2668"/>
        <item m="1" x="7330"/>
        <item m="1" x="5803"/>
        <item m="1" x="3963"/>
        <item m="1" x="7225"/>
        <item m="1" x="7004"/>
        <item m="1" x="5771"/>
        <item m="1" x="3424"/>
        <item m="1" x="7726"/>
        <item m="1" x="1754"/>
        <item m="1" x="3538"/>
        <item m="1" x="1145"/>
        <item m="1" x="2463"/>
        <item m="1" x="234"/>
        <item m="1" x="2481"/>
        <item m="1" x="6813"/>
        <item m="1" x="2227"/>
        <item m="1" x="4548"/>
        <item m="1" x="4751"/>
        <item m="1" x="3651"/>
        <item m="1" x="4418"/>
        <item m="1" x="3294"/>
        <item m="1" x="2964"/>
        <item m="1" x="363"/>
        <item m="1" x="3660"/>
        <item m="1" x="6319"/>
        <item m="1" x="3562"/>
        <item m="1" x="4353"/>
        <item m="1" x="7585"/>
        <item m="1" x="5049"/>
        <item m="1" x="2261"/>
        <item m="1" x="4797"/>
        <item m="1" x="2454"/>
        <item m="1" x="7695"/>
        <item m="1" x="4931"/>
        <item m="1" x="5066"/>
        <item m="1" x="7388"/>
        <item m="1" x="1739"/>
        <item m="1" x="3866"/>
        <item m="1" x="3584"/>
        <item m="1" x="638"/>
        <item m="1" x="6459"/>
        <item m="1" x="4796"/>
        <item m="1" x="3331"/>
        <item m="1" x="3300"/>
        <item m="1" x="3135"/>
        <item m="1" x="6656"/>
        <item m="1" x="4268"/>
        <item m="1" x="984"/>
        <item m="1" x="6652"/>
        <item m="1" x="3471"/>
        <item m="1" x="2193"/>
        <item m="1" x="3104"/>
        <item m="1" x="7188"/>
        <item m="1" x="746"/>
        <item m="1" x="3029"/>
        <item m="1" x="5553"/>
        <item m="1" x="7375"/>
        <item m="1" x="2844"/>
        <item m="1" x="3903"/>
        <item m="1" x="1322"/>
        <item m="1" x="2186"/>
        <item m="1" x="2337"/>
        <item m="1" x="6909"/>
        <item m="1" x="3404"/>
        <item m="1" x="3445"/>
        <item m="1" x="2987"/>
        <item m="1" x="6151"/>
        <item m="1" x="5241"/>
        <item m="1" x="7696"/>
        <item m="1" x="6501"/>
        <item m="1" x="7634"/>
        <item m="1" x="6646"/>
        <item m="1" x="3099"/>
        <item m="1" x="4374"/>
        <item m="1" x="4756"/>
        <item m="1" x="1263"/>
        <item m="1" x="7035"/>
        <item m="1" x="6539"/>
        <item m="1" x="2163"/>
        <item m="1" x="5775"/>
        <item m="1" x="5724"/>
        <item m="1" x="275"/>
        <item m="1" x="7658"/>
        <item m="1" x="7239"/>
        <item m="1" x="895"/>
        <item m="1" x="3914"/>
        <item m="1" x="6888"/>
        <item m="1" x="6789"/>
        <item m="1" x="3248"/>
        <item m="1" x="5069"/>
        <item m="1" x="814"/>
        <item m="1" x="5832"/>
        <item m="1" x="3859"/>
        <item m="1" x="5184"/>
        <item m="1" x="7420"/>
        <item m="1" x="6928"/>
        <item m="1" x="3450"/>
        <item m="1" x="4717"/>
        <item m="1" x="1345"/>
        <item m="1" x="3996"/>
        <item m="1" x="4177"/>
        <item m="1" x="3326"/>
        <item m="1" x="827"/>
        <item m="1" x="5565"/>
        <item m="1" x="6070"/>
        <item m="1" x="1177"/>
        <item m="1" x="7918"/>
        <item m="1" x="6852"/>
        <item m="1" x="2980"/>
        <item m="1" x="308"/>
        <item m="1" x="5501"/>
        <item m="1" x="1696"/>
        <item m="1" x="7819"/>
        <item m="1" x="6300"/>
        <item m="1" x="4794"/>
        <item m="1" x="7596"/>
        <item m="1" x="889"/>
        <item m="1" x="5881"/>
        <item m="1" x="1835"/>
        <item m="1" x="3267"/>
        <item m="1" x="1209"/>
        <item m="1" x="3652"/>
        <item m="1" x="7151"/>
        <item m="1" x="272"/>
        <item m="1" x="339"/>
        <item m="1" x="7938"/>
        <item m="1" x="404"/>
        <item m="1" x="1719"/>
        <item m="1" x="398"/>
        <item m="1" x="6008"/>
        <item m="1" x="3930"/>
        <item m="1" x="5564"/>
        <item m="1" x="1712"/>
        <item m="1" x="436"/>
        <item m="1" x="4857"/>
        <item m="1" x="4401"/>
        <item m="1" x="582"/>
        <item m="1" x="5402"/>
        <item m="1" x="6757"/>
        <item m="1" x="1456"/>
        <item m="1" x="1740"/>
        <item m="1" x="7158"/>
        <item m="1" x="1748"/>
        <item m="1" x="3736"/>
        <item m="1" x="1281"/>
        <item m="1" x="7275"/>
        <item m="1" x="4148"/>
        <item m="1" x="1101"/>
        <item m="1" x="5614"/>
        <item m="1" x="2446"/>
        <item m="1" x="7442"/>
        <item m="1" x="4904"/>
        <item m="1" x="5181"/>
        <item m="1" x="5773"/>
        <item m="1" x="7286"/>
        <item m="1" x="1412"/>
        <item m="1" x="3318"/>
        <item m="1" x="6334"/>
        <item m="1" x="4909"/>
        <item m="1" x="3671"/>
        <item m="1" x="4246"/>
        <item m="1" x="3492"/>
        <item m="1" x="7285"/>
        <item m="1" x="5432"/>
        <item m="1" x="5421"/>
        <item m="1" x="2445"/>
        <item m="1" x="5633"/>
        <item m="1" x="4115"/>
        <item m="1" x="1397"/>
        <item m="1" x="7161"/>
        <item m="1" x="6180"/>
        <item m="1" x="6975"/>
        <item m="1" x="6021"/>
        <item m="1" x="6366"/>
        <item m="1" x="7643"/>
        <item m="1" x="5538"/>
        <item m="1" x="6953"/>
        <item m="1" x="1067"/>
        <item m="1" x="3902"/>
        <item m="1" x="4241"/>
        <item m="1" x="3535"/>
        <item m="1" x="5245"/>
        <item m="1" x="4888"/>
        <item m="1" x="5137"/>
        <item m="1" x="572"/>
        <item m="1" x="3174"/>
        <item m="1" x="4442"/>
        <item m="1" x="7129"/>
        <item m="1" x="728"/>
        <item m="1" x="1934"/>
        <item m="1" x="4137"/>
        <item m="1" x="6053"/>
        <item m="1" x="1233"/>
        <item m="1" x="1998"/>
        <item m="1" x="622"/>
        <item m="1" x="7890"/>
        <item m="1" x="1264"/>
        <item m="1" x="6607"/>
        <item m="1" x="3864"/>
        <item m="1" x="7680"/>
        <item m="1" x="6875"/>
        <item m="1" x="574"/>
        <item m="1" x="4052"/>
        <item m="1" x="3398"/>
        <item m="1" x="1198"/>
        <item m="1" x="3384"/>
        <item m="1" x="1730"/>
        <item m="1" x="1601"/>
        <item m="1" x="6141"/>
        <item m="1" x="430"/>
        <item m="1" x="2732"/>
        <item m="1" x="5189"/>
        <item m="1" x="5009"/>
        <item m="1" x="1507"/>
        <item m="1" x="3354"/>
        <item m="1" x="7131"/>
        <item m="1" x="4730"/>
        <item m="1" x="6218"/>
        <item m="1" x="6920"/>
        <item m="1" x="6126"/>
        <item m="1" x="3268"/>
        <item m="1" x="4138"/>
        <item m="1" x="3214"/>
        <item m="1" x="2669"/>
        <item m="1" x="3751"/>
        <item m="1" x="5274"/>
        <item m="1" x="6401"/>
        <item m="1" x="2807"/>
        <item m="1" x="6984"/>
        <item m="1" x="4389"/>
        <item m="1" x="2432"/>
        <item m="1" x="3805"/>
        <item m="1" x="3137"/>
        <item m="1" x="5088"/>
        <item m="1" x="4583"/>
        <item m="1" x="6208"/>
        <item m="1" x="7531"/>
        <item m="1" x="4315"/>
        <item m="1" x="2209"/>
        <item m="1" x="5945"/>
        <item m="1" x="975"/>
        <item m="1" x="5585"/>
        <item m="1" x="5877"/>
        <item m="1" x="654"/>
        <item m="1" x="7140"/>
        <item m="1" x="6041"/>
        <item m="1" x="1522"/>
        <item m="1" x="6710"/>
        <item m="1" x="908"/>
        <item m="1" x="798"/>
        <item m="1" x="7607"/>
        <item m="1" x="4720"/>
        <item m="1" x="618"/>
        <item m="1" x="5844"/>
        <item m="1" x="5969"/>
        <item m="1" x="2484"/>
        <item m="1" x="2415"/>
        <item m="1" x="7575"/>
        <item m="1" x="1199"/>
        <item m="1" x="957"/>
        <item m="1" x="5119"/>
        <item m="1" x="6942"/>
        <item m="1" x="1025"/>
        <item m="1" x="4410"/>
        <item m="1" x="4663"/>
        <item m="1" x="5921"/>
        <item m="1" x="4261"/>
        <item m="1" x="3633"/>
        <item m="1" x="4831"/>
        <item m="1" x="4078"/>
        <item m="1" x="3120"/>
        <item m="1" x="6157"/>
        <item m="1" x="1399"/>
        <item m="1" x="341"/>
        <item m="1" x="2558"/>
        <item m="1" x="1303"/>
        <item m="1" x="7755"/>
        <item m="1" x="1906"/>
        <item m="1" x="1038"/>
        <item m="1" x="4925"/>
        <item m="1" x="2147"/>
        <item m="1" x="4235"/>
        <item m="1" x="4764"/>
        <item m="1" x="5490"/>
        <item m="1" x="3760"/>
        <item m="1" x="513"/>
        <item m="1" x="2680"/>
        <item m="1" x="6107"/>
        <item m="1" x="6571"/>
        <item m="1" x="5270"/>
        <item m="1" x="6210"/>
        <item m="1" x="1244"/>
        <item m="1" x="7013"/>
        <item m="1" x="965"/>
        <item m="1" x="2540"/>
        <item m="1" x="7261"/>
        <item m="1" x="288"/>
        <item m="1" x="5389"/>
        <item m="1" x="3821"/>
        <item m="1" x="530"/>
        <item m="1" x="6873"/>
        <item m="1" x="5163"/>
        <item m="1" x="2760"/>
        <item m="1" x="1903"/>
        <item m="1" x="5246"/>
        <item m="1" x="7135"/>
        <item m="1" x="7934"/>
        <item m="1" x="6800"/>
        <item m="1" x="4224"/>
        <item m="1" x="7513"/>
        <item m="1" x="270"/>
        <item m="1" x="6320"/>
        <item m="1" x="7581"/>
        <item m="1" x="1402"/>
        <item m="1" x="5030"/>
        <item m="1" x="4976"/>
        <item m="1" x="2495"/>
        <item m="1" x="2674"/>
        <item m="1" x="1160"/>
        <item m="1" x="4200"/>
        <item m="1" x="2577"/>
        <item m="1" x="1960"/>
        <item m="1" x="4948"/>
        <item m="1" x="6515"/>
        <item m="1" x="5552"/>
        <item m="1" x="3375"/>
        <item m="1" x="7170"/>
        <item m="1" x="2389"/>
        <item m="1" x="2482"/>
        <item m="1" x="2809"/>
        <item m="1" x="2127"/>
        <item m="1" x="2311"/>
        <item m="1" x="3039"/>
        <item m="1" x="4226"/>
        <item m="1" x="7423"/>
        <item m="1" x="6563"/>
        <item m="1" x="2153"/>
        <item m="1" x="5291"/>
        <item m="1" x="5230"/>
        <item m="1" x="4952"/>
        <item m="1" x="7034"/>
        <item m="1" x="4806"/>
        <item m="1" x="4360"/>
        <item m="1" x="946"/>
        <item m="1" x="1613"/>
        <item m="1" x="4101"/>
        <item m="1" x="1908"/>
        <item m="1" x="5169"/>
        <item m="1" x="7676"/>
        <item m="1" x="7807"/>
        <item m="1" x="1669"/>
        <item m="1" x="7078"/>
        <item m="1" x="7232"/>
        <item m="1" x="576"/>
        <item m="1" x="546"/>
        <item m="1" x="6135"/>
        <item m="1" x="4431"/>
        <item m="1" x="6001"/>
        <item m="1" x="682"/>
        <item m="1" x="293"/>
        <item m="1" x="5979"/>
        <item m="1" x="5386"/>
        <item m="1" x="4438"/>
        <item m="1" x="4229"/>
        <item m="1" x="1922"/>
        <item m="1" x="1401"/>
        <item m="1" x="4849"/>
        <item m="1" x="5353"/>
        <item m="1" x="4812"/>
        <item m="1" x="3038"/>
        <item m="1" x="4117"/>
        <item m="1" x="4208"/>
        <item m="1" x="5818"/>
        <item m="1" x="4621"/>
        <item m="1" x="1641"/>
        <item m="1" x="7090"/>
        <item m="1" x="3753"/>
        <item m="1" x="6996"/>
        <item m="1" x="3727"/>
        <item m="1" x="3544"/>
        <item m="1" x="874"/>
        <item m="1" x="2534"/>
        <item m="1" x="5946"/>
        <item m="1" x="5062"/>
        <item m="1" x="450"/>
        <item m="1" x="245"/>
        <item m="1" x="3243"/>
        <item m="1" x="755"/>
        <item m="1" x="2602"/>
        <item m="1" x="4895"/>
        <item m="1" x="4286"/>
        <item m="1" x="3520"/>
        <item m="1" x="2036"/>
        <item m="1" x="4333"/>
        <item m="1" x="6934"/>
        <item m="1" x="1073"/>
        <item m="1" x="528"/>
        <item m="1" x="860"/>
        <item m="1" x="7809"/>
        <item m="1" x="2821"/>
        <item m="1" x="7010"/>
        <item m="1" x="1239"/>
        <item m="1" x="1471"/>
        <item m="1" x="5993"/>
        <item m="1" x="3721"/>
        <item m="1" x="4255"/>
        <item m="1" x="5407"/>
        <item m="1" x="4651"/>
        <item m="1" x="5280"/>
        <item m="1" x="1476"/>
        <item m="1" x="3203"/>
        <item m="1" x="5091"/>
        <item m="1" x="3178"/>
        <item m="1" x="3965"/>
        <item m="1" x="1477"/>
        <item m="1" x="3619"/>
        <item m="1" x="4652"/>
        <item m="1" x="2458"/>
        <item m="1" x="2749"/>
        <item m="1" x="5735"/>
        <item m="1" x="1690"/>
        <item m="1" x="2745"/>
        <item m="1" x="6804"/>
        <item m="1" x="7088"/>
        <item m="1" x="1479"/>
        <item m="1" x="1457"/>
        <item m="1" x="880"/>
        <item m="1" x="2192"/>
        <item m="1" x="1489"/>
        <item m="1" x="1355"/>
        <item m="1" x="2249"/>
        <item m="1" x="717"/>
        <item m="1" x="3030"/>
        <item m="1" x="6940"/>
        <item m="1" x="972"/>
        <item m="1" x="3945"/>
        <item m="1" x="5215"/>
        <item m="1" x="1688"/>
        <item m="1" x="5436"/>
        <item m="1" x="7740"/>
        <item m="1" x="4680"/>
        <item m="1" x="3102"/>
        <item m="1" x="1205"/>
        <item m="1" x="1396"/>
        <item m="1" x="6316"/>
        <item m="1" x="3495"/>
        <item m="1" x="6341"/>
        <item m="1" x="2706"/>
        <item m="1" x="4838"/>
        <item m="1" x="6795"/>
        <item m="1" x="3071"/>
        <item m="1" x="7384"/>
        <item m="1" x="1193"/>
        <item m="1" x="7139"/>
        <item m="1" x="1961"/>
        <item m="1" x="3351"/>
        <item m="1" x="7660"/>
        <item m="1" x="4127"/>
        <item m="1" x="6926"/>
        <item m="1" x="2439"/>
        <item m="1" x="2370"/>
        <item m="1" x="354"/>
        <item m="1" x="4322"/>
        <item m="1" x="7149"/>
        <item m="1" x="1832"/>
        <item m="1" x="4013"/>
        <item m="1" x="7401"/>
        <item m="1" x="7590"/>
        <item m="1" x="2767"/>
        <item m="1" x="4405"/>
        <item m="1" x="4395"/>
        <item m="1" x="6965"/>
        <item m="1" x="980"/>
        <item m="1" x="3897"/>
        <item m="1" x="5297"/>
        <item m="1" x="1151"/>
        <item m="1" x="447"/>
        <item m="1" x="6511"/>
        <item m="1" x="7303"/>
        <item m="1" x="5236"/>
        <item m="1" x="2225"/>
        <item m="1" x="3698"/>
        <item m="1" x="7763"/>
        <item m="1" x="7516"/>
        <item m="1" x="2203"/>
        <item m="1" x="4377"/>
        <item m="1" x="2151"/>
        <item m="1" x="3075"/>
        <item m="1" x="5589"/>
        <item m="1" x="6305"/>
        <item m="1" x="2546"/>
        <item m="1" x="6555"/>
        <item m="1" x="925"/>
        <item m="1" x="7368"/>
        <item m="1" x="1043"/>
        <item m="1" x="7648"/>
        <item m="1" x="3060"/>
        <item m="1" x="2532"/>
        <item m="1" x="2066"/>
        <item m="1" x="2875"/>
        <item m="1" x="6434"/>
        <item m="1" x="4492"/>
        <item m="1" x="6578"/>
        <item m="1" x="4149"/>
        <item m="1" x="2620"/>
        <item m="1" x="5004"/>
        <item m="1" x="2488"/>
        <item m="1" x="5559"/>
        <item m="1" x="6915"/>
        <item m="1" x="2865"/>
        <item m="1" x="3942"/>
        <item m="1" x="2658"/>
        <item m="1" x="6017"/>
        <item m="1" x="2152"/>
        <item m="1" x="5229"/>
        <item m="1" x="2498"/>
        <item m="1" x="478"/>
        <item m="1" x="775"/>
        <item m="1" x="1451"/>
        <item m="1" x="3906"/>
        <item m="1" x="3515"/>
        <item m="1" x="1001"/>
        <item m="1" x="1837"/>
        <item m="1" x="2576"/>
        <item m="1" x="7357"/>
        <item m="1" x="2826"/>
        <item m="1" x="7862"/>
        <item m="1" x="1663"/>
        <item m="1" x="5809"/>
        <item m="1" x="939"/>
        <item m="1" x="4594"/>
        <item m="1" x="6317"/>
        <item m="1" x="2440"/>
        <item m="1" x="7857"/>
        <item m="1" x="5558"/>
        <item m="1" x="7014"/>
        <item m="1" x="3020"/>
        <item m="1" x="2038"/>
        <item m="1" x="4551"/>
        <item m="1" x="4488"/>
        <item m="1" x="551"/>
        <item m="1" x="7207"/>
        <item m="1" x="795"/>
        <item m="1" x="2460"/>
        <item m="1" x="5812"/>
        <item m="1" x="6322"/>
        <item m="1" x="6960"/>
        <item m="1" x="1237"/>
        <item m="1" x="761"/>
        <item m="1" x="5036"/>
        <item m="1" x="5439"/>
        <item m="1" x="7906"/>
        <item m="1" x="2242"/>
        <item m="1" x="5165"/>
        <item m="1" x="7257"/>
        <item m="1" x="2525"/>
        <item m="1" x="7349"/>
        <item m="1" x="5955"/>
        <item m="1" x="2667"/>
        <item m="1" x="3604"/>
        <item m="1" x="3224"/>
        <item m="1" x="2754"/>
        <item m="1" x="6254"/>
        <item m="1" x="5465"/>
        <item m="1" x="2000"/>
        <item m="1" x="2033"/>
        <item m="1" x="3638"/>
        <item m="1" x="2258"/>
        <item m="1" x="1019"/>
        <item m="1" x="1194"/>
        <item m="1" x="7025"/>
        <item m="1" x="1788"/>
        <item m="1" x="2938"/>
        <item m="1" x="428"/>
        <item m="1" x="6482"/>
        <item m="1" x="4232"/>
        <item m="1" x="4748"/>
        <item m="1" x="1931"/>
        <item m="1" x="2922"/>
        <item m="1" x="6096"/>
        <item m="1" x="844"/>
        <item m="1" x="5958"/>
        <item m="1" x="7104"/>
        <item m="1" x="4455"/>
        <item m="1" x="4530"/>
        <item m="1" x="3757"/>
        <item m="1" x="500"/>
        <item m="1" x="5949"/>
        <item m="1" x="1433"/>
        <item m="1" x="2302"/>
        <item m="1" x="5460"/>
        <item m="1" x="725"/>
        <item m="1" x="7183"/>
        <item m="1" x="6751"/>
        <item m="1" x="2468"/>
        <item m="1" x="502"/>
        <item m="1" x="2744"/>
        <item m="1" x="2507"/>
        <item m="1" x="2130"/>
        <item m="1" x="494"/>
        <item m="1" x="6686"/>
        <item m="1" x="1900"/>
        <item m="1" x="3487"/>
        <item m="1" x="1078"/>
        <item m="1" x="7320"/>
        <item m="1" x="4863"/>
        <item m="1" x="1011"/>
        <item m="1" x="4633"/>
        <item m="1" x="1377"/>
        <item m="1" x="6394"/>
        <item m="1" x="1363"/>
        <item m="1" x="998"/>
        <item m="1" x="407"/>
        <item m="1" x="6701"/>
        <item m="1" x="2870"/>
        <item m="1" x="6906"/>
        <item m="1" x="2221"/>
        <item m="1" x="2705"/>
        <item m="1" x="6892"/>
        <item m="1" x="721"/>
        <item m="1" x="7546"/>
        <item m="1" x="6086"/>
        <item m="1" x="3573"/>
        <item m="1" x="6464"/>
        <item m="1" x="2295"/>
        <item m="1" x="750"/>
        <item m="1" x="915"/>
        <item m="1" x="2625"/>
        <item m="1" x="7154"/>
        <item m="1" x="3624"/>
        <item m="1" x="3800"/>
        <item m="1" x="4593"/>
        <item m="1" x="702"/>
        <item m="1" x="3803"/>
        <item m="1" x="5731"/>
        <item m="1" x="1892"/>
        <item m="1" x="7291"/>
        <item m="1" x="4993"/>
        <item m="1" x="911"/>
        <item m="1" x="5268"/>
        <item m="1" x="6274"/>
        <item m="1" x="2246"/>
        <item m="1" x="5395"/>
        <item m="1" x="6245"/>
        <item m="1" x="4810"/>
        <item m="1" x="7651"/>
        <item m="1" x="6792"/>
        <item m="1" x="731"/>
        <item m="1" x="5992"/>
        <item m="1" x="5534"/>
        <item m="1" x="5488"/>
        <item m="1" x="2426"/>
        <item m="1" x="3634"/>
        <item m="1" x="1134"/>
        <item m="1" x="7788"/>
        <item m="1" x="5047"/>
        <item m="1" x="7584"/>
        <item m="1" x="1096"/>
        <item m="1" x="387"/>
        <item m="1" x="1380"/>
        <item m="1" x="3798"/>
        <item m="1" x="4623"/>
        <item m="1" x="3728"/>
        <item m="1" x="4868"/>
        <item m="1" x="4754"/>
        <item m="1" x="2091"/>
        <item m="1" x="3526"/>
        <item m="1" x="4469"/>
        <item m="1" x="3997"/>
        <item m="1" x="6443"/>
        <item m="1" x="5117"/>
        <item m="1" x="1326"/>
        <item m="1" x="5448"/>
        <item m="1" x="6354"/>
        <item m="1" x="7352"/>
        <item m="1" x="3050"/>
        <item m="1" x="5083"/>
        <item m="1" x="1572"/>
        <item m="1" x="5087"/>
        <item m="1" x="5555"/>
        <item m="1" x="5316"/>
        <item m="1" x="647"/>
        <item m="1" x="7626"/>
        <item m="1" x="5339"/>
        <item m="1" x="4755"/>
        <item m="1" x="3397"/>
        <item m="1" x="4132"/>
        <item m="1" x="7930"/>
        <item m="1" x="5557"/>
        <item m="1" x="4743"/>
        <item m="1" x="2962"/>
        <item m="1" x="6326"/>
        <item m="1" x="2624"/>
        <item m="1" x="7206"/>
        <item m="1" x="3923"/>
        <item m="1" x="914"/>
        <item m="1" x="2746"/>
        <item m="1" x="2335"/>
        <item m="1" x="2839"/>
        <item m="1" x="3530"/>
        <item m="1" x="5726"/>
        <item m="1" x="997"/>
        <item m="1" x="7404"/>
        <item m="1" x="2365"/>
        <item m="1" x="2920"/>
        <item m="1" x="6931"/>
        <item m="1" x="612"/>
        <item m="1" x="7235"/>
        <item m="1" x="3111"/>
        <item m="1" x="3069"/>
        <item m="1" x="2613"/>
        <item m="1" x="4161"/>
        <item m="1" x="3293"/>
        <item m="1" x="5001"/>
        <item m="1" x="2676"/>
        <item m="1" x="5044"/>
        <item m="1" x="2529"/>
        <item m="1" x="4205"/>
        <item m="1" x="3370"/>
        <item m="1" x="268"/>
        <item m="1" x="6954"/>
        <item m="1" x="5173"/>
        <item m="1" x="4170"/>
        <item m="1" x="6251"/>
        <item m="1" x="2453"/>
        <item m="1" x="2695"/>
        <item m="1" x="7470"/>
        <item m="1" x="6295"/>
        <item m="1" x="4723"/>
        <item m="1" x="2243"/>
        <item m="1" x="2402"/>
        <item m="1" x="1616"/>
        <item m="1" x="7189"/>
        <item m="1" x="5588"/>
        <item m="1" x="7335"/>
        <item m="1" x="236"/>
        <item m="1" x="1049"/>
        <item m="1" x="1075"/>
        <item m="1" x="6011"/>
        <item m="1" x="6626"/>
        <item m="1" x="891"/>
        <item m="1" x="1211"/>
        <item m="1" x="2461"/>
        <item m="1" x="7803"/>
        <item m="1" x="256"/>
        <item m="1" x="5479"/>
        <item m="1" x="3829"/>
        <item m="1" x="7730"/>
        <item m="1" x="6050"/>
        <item m="1" x="5600"/>
        <item m="1" x="3855"/>
        <item m="1" x="3094"/>
        <item m="1" x="4087"/>
        <item m="1" x="1540"/>
        <item m="1" x="6298"/>
        <item m="1" x="6632"/>
        <item m="1" x="2030"/>
        <item m="1" x="833"/>
        <item m="1" x="6456"/>
        <item m="1" x="3266"/>
        <item m="1" x="4892"/>
        <item m="1" x="6012"/>
        <item m="1" x="619"/>
        <item m="1" x="405"/>
        <item m="1" x="6340"/>
        <item m="1" x="7504"/>
        <item m="1" x="2169"/>
        <item m="1" x="244"/>
        <item m="1" x="3522"/>
        <item m="1" x="753"/>
        <item m="1" x="5110"/>
        <item m="1" x="3365"/>
        <item m="1" x="5152"/>
        <item m="1" x="2784"/>
        <item m="1" x="4394"/>
        <item m="1" x="2113"/>
        <item m="1" x="4536"/>
        <item m="1" x="2969"/>
        <item m="1" x="6396"/>
        <item m="1" x="6139"/>
        <item m="1" x="3649"/>
        <item m="1" x="2406"/>
        <item m="1" x="5659"/>
        <item m="1" x="6711"/>
        <item m="1" x="4467"/>
        <item m="1" x="3578"/>
        <item m="1" x="2288"/>
        <item m="1" x="2233"/>
        <item m="1" x="6457"/>
        <item m="1" x="1128"/>
        <item m="1" x="5249"/>
        <item m="1" x="5317"/>
        <item m="1" x="7017"/>
        <item m="1" x="4538"/>
        <item m="1" x="2994"/>
        <item m="1" x="6879"/>
        <item m="1" x="3777"/>
        <item m="1" x="5956"/>
        <item m="1" x="7529"/>
        <item m="1" x="7374"/>
        <item m="1" x="3246"/>
        <item m="1" x="349"/>
        <item m="1" x="4803"/>
        <item m="1" x="7785"/>
        <item m="1" x="6745"/>
        <item m="1" x="7843"/>
        <item m="1" x="6987"/>
        <item m="1" x="1357"/>
        <item m="1" x="7319"/>
        <item m="1" x="5916"/>
        <item m="1" x="4612"/>
        <item m="1" x="2232"/>
        <item m="1" x="4439"/>
        <item m="1" x="5259"/>
        <item m="1" x="5232"/>
        <item m="1" x="3880"/>
        <item m="1" x="2820"/>
        <item m="1" x="2202"/>
        <item m="1" x="1863"/>
        <item m="1" x="2785"/>
        <item m="1" x="7869"/>
        <item m="1" x="1771"/>
        <item m="1" x="3141"/>
        <item m="1" x="3441"/>
        <item m="1" x="996"/>
        <item m="1" x="5609"/>
        <item m="1" x="887"/>
        <item m="1" x="1235"/>
        <item m="1" x="6589"/>
        <item m="1" x="4340"/>
        <item m="1" x="6143"/>
        <item m="1" x="2694"/>
        <item m="1" x="6307"/>
        <item m="1" x="5271"/>
        <item m="1" x="3322"/>
        <item m="1" x="633"/>
        <item m="1" x="4924"/>
        <item m="1" x="609"/>
        <item m="1" x="2485"/>
        <item m="1" x="4795"/>
        <item m="1" x="3276"/>
        <item m="1" x="4672"/>
        <item m="1" x="2044"/>
        <item m="1" x="6333"/>
        <item m="1" x="4390"/>
        <item m="1" x="6221"/>
        <item m="1" x="7112"/>
        <item m="1" x="353"/>
        <item m="1" x="3043"/>
        <item m="1" x="6691"/>
        <item m="1" x="4662"/>
        <item m="1" x="5607"/>
        <item m="1" x="1293"/>
        <item m="1" x="4382"/>
        <item m="1" x="3830"/>
        <item m="1" x="6381"/>
        <item m="1" x="7214"/>
        <item m="1" x="7280"/>
        <item m="1" x="7443"/>
        <item m="1" x="6170"/>
        <item m="1" x="474"/>
        <item m="1" x="6444"/>
        <item m="1" x="3847"/>
        <item m="1" x="4288"/>
        <item m="1" x="5193"/>
        <item m="1" x="4428"/>
        <item m="1" x="547"/>
        <item m="1" x="7267"/>
        <item m="1" x="802"/>
        <item m="1" x="3677"/>
        <item m="1" x="6071"/>
        <item m="1" x="6232"/>
        <item m="1" x="1113"/>
        <item m="1" x="1018"/>
        <item m="1" x="4447"/>
        <item m="1" x="1531"/>
        <item m="1" x="3110"/>
        <item m="1" x="6870"/>
        <item m="1" x="7849"/>
        <item m="1" x="3593"/>
        <item m="1" x="5423"/>
        <item m="1" x="5212"/>
        <item m="1" x="6448"/>
        <item m="1" x="7197"/>
        <item m="1" x="3754"/>
        <item m="1" x="4031"/>
        <item m="1" x="6516"/>
        <item m="1" x="7488"/>
        <item m="1" x="1678"/>
        <item m="1" x="5786"/>
        <item m="1" x="2135"/>
        <item m="1" x="6740"/>
        <item m="1" x="416"/>
        <item m="1" x="4199"/>
        <item m="1" x="3126"/>
        <item m="1" x="5531"/>
        <item m="1" x="1897"/>
        <item m="1" x="3701"/>
        <item m="1" x="2010"/>
        <item m="1" x="6982"/>
        <item m="1" x="1664"/>
        <item m="1" x="5691"/>
        <item m="1" x="6081"/>
        <item m="1" x="7121"/>
        <item m="1" x="5893"/>
        <item m="1" x="594"/>
        <item m="1" x="4511"/>
        <item m="1" x="4552"/>
        <item m="1" x="7741"/>
        <item m="1" x="2077"/>
        <item m="1" x="7540"/>
        <item m="1" x="2873"/>
        <item m="1" x="6463"/>
        <item m="1" x="222"/>
        <item m="1" x="4278"/>
        <item m="1" x="5701"/>
        <item m="1" x="5129"/>
        <item m="1" x="7888"/>
        <item m="1" x="4702"/>
        <item m="1" x="4460"/>
        <item m="1" x="4893"/>
        <item m="1" x="1975"/>
        <item m="1" x="7781"/>
        <item m="1" x="4183"/>
        <item m="1" x="4844"/>
        <item m="1" x="548"/>
        <item m="1" x="4432"/>
        <item m="1" x="6658"/>
        <item m="1" x="6884"/>
        <item m="1" x="4532"/>
        <item m="1" x="4130"/>
        <item m="1" x="412"/>
        <item m="1" x="4391"/>
        <item m="1" x="2582"/>
        <item m="1" x="7882"/>
        <item m="1" x="1046"/>
        <item m="1" x="3687"/>
        <item m="1" x="3395"/>
        <item m="1" x="4409"/>
        <item m="1" x="1107"/>
        <item m="1" x="6506"/>
        <item m="1" x="665"/>
        <item m="1" x="292"/>
        <item m="1" x="3936"/>
        <item m="1" x="848"/>
        <item m="1" x="1879"/>
        <item m="1" x="2954"/>
        <item m="1" x="7440"/>
        <item m="1" x="3193"/>
        <item m="1" x="7294"/>
        <item m="1" x="741"/>
        <item m="1" x="6034"/>
        <item m="1" x="6067"/>
        <item m="1" x="7508"/>
        <item m="1" x="2081"/>
        <item m="1" x="3086"/>
        <item m="1" x="2544"/>
        <item m="1" x="4260"/>
        <item m="1" x="3922"/>
        <item m="1" x="5968"/>
        <item m="1" x="1935"/>
        <item m="1" x="3476"/>
        <item m="1" x="567"/>
        <item m="1" x="3457"/>
        <item m="1" x="2593"/>
        <item m="1" x="5569"/>
        <item m="1" x="2600"/>
        <item m="1" x="940"/>
        <item m="1" x="3696"/>
        <item m="1" x="2079"/>
        <item m="1" x="5300"/>
        <item m="1" x="4522"/>
        <item m="1" x="5374"/>
        <item m="1" x="2496"/>
        <item m="1" x="5543"/>
        <item m="1" x="6612"/>
        <item m="1" x="6616"/>
        <item m="1" x="7081"/>
        <item m="1" x="4535"/>
        <item m="1" x="1306"/>
        <item m="1" x="6213"/>
        <item m="1" x="2704"/>
        <item m="1" x="4480"/>
        <item m="1" x="2456"/>
        <item m="1" x="6108"/>
        <item m="1" x="2502"/>
        <item m="1" x="2988"/>
        <item m="1" x="2235"/>
        <item m="1" x="4789"/>
        <item m="1" x="448"/>
        <item m="1" x="4396"/>
        <item m="1" x="7884"/>
        <item m="1" x="4272"/>
        <item m="1" x="1631"/>
        <item m="1" x="6060"/>
        <item m="1" x="6461"/>
        <item m="1" x="2340"/>
        <item m="1" x="4565"/>
        <item m="1" x="6971"/>
        <item m="1" x="5882"/>
        <item m="1" x="2183"/>
        <item m="1" x="2678"/>
        <item m="1" x="2607"/>
        <item m="1" x="1305"/>
        <item m="1" x="856"/>
        <item m="1" x="1037"/>
        <item m="1" x="6673"/>
        <item m="1" x="1447"/>
        <item m="1" x="4210"/>
        <item m="1" x="5853"/>
        <item m="1" x="432"/>
        <item m="1" x="5602"/>
        <item m="1" x="4813"/>
        <item m="1" x="6103"/>
        <item m="1" x="6469"/>
        <item m="1" x="2836"/>
        <item m="1" x="6689"/>
        <item m="1" x="762"/>
        <item m="1" x="6428"/>
        <item m="1" x="7284"/>
        <item m="1" x="4095"/>
        <item m="1" x="5933"/>
        <item m="1" x="5464"/>
        <item m="1" x="4775"/>
        <item m="1" x="4295"/>
        <item m="1" x="5616"/>
        <item m="1" x="1083"/>
        <item m="1" x="3335"/>
        <item m="1" x="1221"/>
        <item m="1" x="938"/>
        <item m="1" x="3352"/>
        <item m="1" x="2855"/>
        <item m="1" x="3409"/>
        <item m="1" x="2029"/>
        <item m="1" x="1039"/>
        <item m="1" x="6952"/>
        <item m="1" x="5358"/>
        <item m="1" x="6331"/>
        <item m="1" x="258"/>
        <item m="1" x="3536"/>
        <item m="1" x="4408"/>
        <item m="1" x="1440"/>
        <item m="1" x="7385"/>
        <item m="1" x="6185"/>
        <item m="1" x="239"/>
        <item m="1" x="5381"/>
        <item m="1" x="4943"/>
        <item m="1" x="1622"/>
        <item m="1" x="1703"/>
        <item m="1" x="5346"/>
        <item m="1" x="6959"/>
        <item m="1" x="5182"/>
        <item m="1" x="2124"/>
        <item m="1" x="1074"/>
        <item m="1" x="4017"/>
        <item m="1" x="5548"/>
        <item m="1" x="7548"/>
        <item m="1" x="6117"/>
        <item m="1" x="832"/>
        <item m="1" x="3703"/>
        <item m="1" x="2450"/>
        <item m="1" x="2230"/>
        <item m="1" x="1381"/>
        <item m="1" x="6166"/>
        <item m="1" x="7413"/>
        <item m="1" x="2022"/>
        <item m="1" x="4747"/>
        <item m="1" x="2032"/>
        <item m="1" x="7813"/>
        <item m="1" x="2266"/>
        <item m="1" x="344"/>
        <item m="1" x="7033"/>
        <item m="1" x="3531"/>
        <item m="1" x="7892"/>
        <item m="1" x="2253"/>
        <item m="1" x="3328"/>
        <item m="1" x="4463"/>
        <item m="1" x="2150"/>
        <item m="1" x="4326"/>
        <item m="1" x="6217"/>
        <item m="1" x="5371"/>
        <item m="1" x="962"/>
        <item m="1" x="2265"/>
        <item m="1" x="5507"/>
        <item m="1" x="6814"/>
        <item m="1" x="321"/>
        <item m="1" x="6358"/>
        <item m="1" x="2786"/>
        <item m="1" x="7255"/>
        <item m="1" x="640"/>
        <item m="1" x="2322"/>
        <item m="1" x="4930"/>
        <item m="1" x="5419"/>
        <item m="1" x="4934"/>
        <item m="1" x="7084"/>
        <item m="1" x="4050"/>
        <item m="1" x="7878"/>
        <item m="1" x="1886"/>
        <item m="1" x="2217"/>
        <item m="1" x="2903"/>
        <item m="1" x="1657"/>
        <item m="1" x="2726"/>
        <item m="1" x="7178"/>
        <item m="1" x="4735"/>
        <item m="1" x="7670"/>
        <item m="1" x="5948"/>
        <item m="1" x="4204"/>
        <item m="1" x="1607"/>
        <item m="1" x="1369"/>
        <item m="1" x="3399"/>
        <item m="1" x="1240"/>
        <item m="1" x="1292"/>
        <item m="1" x="323"/>
        <item m="1" x="7833"/>
        <item m="1" x="7393"/>
        <item m="1" x="6894"/>
        <item m="1" x="4453"/>
        <item m="1" x="649"/>
        <item m="1" x="5450"/>
        <item m="1" x="4465"/>
        <item m="1" x="2506"/>
        <item m="1" x="4741"/>
        <item m="1" x="5093"/>
        <item m="1" x="7790"/>
        <item m="1" x="3741"/>
        <item m="1" x="6958"/>
        <item m="1" x="710"/>
        <item m="1" x="3692"/>
        <item m="1" x="6534"/>
        <item m="1" x="1129"/>
        <item m="1" x="5335"/>
        <item m="1" x="3417"/>
        <item m="1" x="620"/>
        <item m="1" x="5043"/>
        <item m="1" x="511"/>
        <item m="1" x="3496"/>
        <item m="1" x="7561"/>
        <item m="1" x="2462"/>
        <item m="1" x="6339"/>
        <item m="1" x="6754"/>
        <item m="1" x="5468"/>
        <item m="1" x="5011"/>
        <item m="1" x="1597"/>
        <item m="1" x="5908"/>
        <item m="1" x="3740"/>
        <item m="1" x="7943"/>
        <item m="1" x="6485"/>
        <item m="1" x="7302"/>
        <item m="1" x="380"/>
        <item m="1" x="356"/>
        <item m="1" x="3813"/>
        <item m="1" x="3617"/>
        <item m="1" x="617"/>
        <item m="1" x="6810"/>
        <item m="1" x="1070"/>
        <item m="1" x="1166"/>
        <item m="1" x="5510"/>
        <item m="1" x="7641"/>
        <item m="1" x="3207"/>
        <item m="1" x="3199"/>
        <item m="1" x="3978"/>
        <item m="1" x="6682"/>
        <item m="1" x="2517"/>
        <item m="1" x="4882"/>
        <item m="1" x="3849"/>
        <item m="1" x="4279"/>
        <item m="1" x="6483"/>
        <item m="1" x="4630"/>
        <item m="1" x="6313"/>
        <item m="1" x="936"/>
        <item m="1" x="1530"/>
        <item m="1" x="5685"/>
        <item m="1" x="7391"/>
        <item m="1" x="4356"/>
        <item m="1" x="6816"/>
        <item m="1" x="1392"/>
        <item m="1" x="2795"/>
        <item m="1" x="3664"/>
        <item m="1" x="5267"/>
        <item m="1" x="1114"/>
        <item m="1" x="2447"/>
        <item m="1" x="3860"/>
        <item m="1" x="3957"/>
        <item m="1" x="1387"/>
        <item m="1" x="6398"/>
        <item m="1" x="4330"/>
        <item m="1" x="7723"/>
        <item m="1" x="7951"/>
        <item m="1" x="5604"/>
        <item m="1" x="6121"/>
        <item m="1" x="4213"/>
        <item m="1" x="4567"/>
        <item m="1" x="7100"/>
        <item m="1" x="3381"/>
        <item m="1" x="7816"/>
        <item m="1" x="4545"/>
        <item m="1" x="7201"/>
        <item m="1" x="4273"/>
        <item m="1" x="6110"/>
        <item m="1" x="1065"/>
        <item m="1" x="5392"/>
        <item m="1" x="6423"/>
        <item m="1" x="1027"/>
        <item m="1" x="1881"/>
        <item m="1" x="7602"/>
        <item m="1" x="7495"/>
        <item m="1" x="5822"/>
        <item m="1" x="5478"/>
        <item m="1" x="1619"/>
        <item m="1" x="7772"/>
        <item m="1" x="5081"/>
        <item m="1" x="1554"/>
        <item m="1" x="5375"/>
        <item m="1" x="7720"/>
        <item m="1" x="5484"/>
        <item m="1" x="5657"/>
        <item m="1" x="7402"/>
        <item m="1" x="309"/>
        <item m="1" x="6645"/>
        <item m="1" x="5723"/>
        <item m="1" x="2343"/>
        <item m="1" x="688"/>
        <item m="1" x="4277"/>
        <item m="1" x="7757"/>
        <item m="1" x="1980"/>
        <item m="1" x="5264"/>
        <item m="1" x="2469"/>
        <item m="1" x="4989"/>
        <item m="1" x="5623"/>
        <item m="1" x="834"/>
        <item m="1" x="902"/>
        <item m="1" x="4766"/>
        <item m="1" x="4258"/>
        <item m="1" x="6758"/>
        <item m="1" x="434"/>
        <item m="1" x="6005"/>
        <item m="1" x="873"/>
        <item m="1" x="752"/>
        <item m="1" x="4703"/>
        <item m="1" x="4502"/>
        <item m="1" x="5393"/>
        <item m="1" x="7827"/>
        <item m="1" x="1880"/>
        <item m="1" x="6936"/>
        <item m="1" x="850"/>
        <item m="1" x="7230"/>
        <item m="1" x="4371"/>
        <item m="1" x="3825"/>
        <item m="1" x="6165"/>
        <item m="1" x="6301"/>
        <item m="1" x="1558"/>
        <item m="1" x="3190"/>
        <item m="1" x="6921"/>
        <item m="1" x="5537"/>
        <item m="1" x="5281"/>
        <item m="1" x="5192"/>
        <item m="1" x="3132"/>
        <item m="1" x="7595"/>
        <item m="1" x="3160"/>
        <item m="1" x="6048"/>
        <item m="1" x="3439"/>
        <item m="1" x="2301"/>
        <item m="1" x="4678"/>
        <item m="1" x="6426"/>
        <item m="1" x="2831"/>
        <item m="1" x="247"/>
        <item m="1" x="3605"/>
        <item m="1" x="994"/>
        <item m="1" x="3273"/>
        <item m="1" x="4585"/>
        <item m="1" x="3317"/>
        <item m="1" x="1738"/>
        <item m="1" x="672"/>
        <item m="1" x="1431"/>
        <item m="1" x="3269"/>
        <item m="1" x="7549"/>
        <item m="1" x="5925"/>
        <item m="1" x="4003"/>
        <item m="1" x="5131"/>
        <item m="1" x="2606"/>
        <item m="1" x="7727"/>
        <item m="1" x="2657"/>
        <item m="1" x="7544"/>
        <item m="1" x="4445"/>
        <item m="1" x="7247"/>
        <item m="1" x="7138"/>
        <item m="1" x="1751"/>
        <item m="1" x="5864"/>
        <item m="1" x="4737"/>
        <item m="1" x="949"/>
        <item m="1" x="3321"/>
        <item m="1" x="1084"/>
        <item m="1" x="506"/>
        <item m="1" x="831"/>
        <item m="1" x="7750"/>
        <item m="1" x="5216"/>
        <item m="1" x="7453"/>
        <item m="1" x="6279"/>
        <item m="1" x="533"/>
        <item m="1" x="4116"/>
        <item m="1" x="907"/>
        <item m="1" x="7328"/>
        <item m="1" x="4075"/>
        <item m="1" x="2252"/>
        <item m="1" x="7512"/>
        <item m="1" x="3488"/>
        <item m="1" x="3229"/>
        <item m="1" x="7063"/>
        <item m="1" x="5899"/>
        <item m="1" x="4011"/>
        <item m="1" x="4324"/>
        <item m="1" x="7326"/>
        <item m="1" x="4179"/>
        <item m="1" x="3550"/>
        <item m="1" x="1894"/>
        <item m="1" x="699"/>
        <item m="1" x="6435"/>
        <item m="1" x="4939"/>
        <item m="1" x="2423"/>
        <item m="1" x="7405"/>
        <item m="1" x="3621"/>
        <item m="1" x="5481"/>
        <item m="1" x="512"/>
        <item m="1" x="1316"/>
        <item m="1" x="5145"/>
        <item m="1" x="7417"/>
        <item m="1" x="4091"/>
        <item m="1" x="1824"/>
        <item m="1" x="2892"/>
        <item m="1" x="6309"/>
        <item m="1" x="3053"/>
        <item m="1" x="6769"/>
        <item m="1" x="2318"/>
        <item m="1" x="4496"/>
        <item m="1" x="2256"/>
        <item m="1" x="4563"/>
        <item m="1" x="2769"/>
        <item m="1" x="6576"/>
        <item m="1" x="7145"/>
        <item m="1" x="2733"/>
        <item m="1" x="5975"/>
        <item m="1" x="2917"/>
        <item m="1" x="623"/>
        <item m="1" x="2143"/>
        <item m="1" x="2888"/>
        <item m="1" x="2585"/>
        <item m="1" x="718"/>
        <item m="1" x="461"/>
        <item m="1" x="6857"/>
        <item m="1" x="7636"/>
        <item m="1" x="1866"/>
        <item m="1" x="3972"/>
        <item m="1" x="7231"/>
        <item m="1" x="5668"/>
        <item m="1" x="5638"/>
        <item m="1" x="1137"/>
        <item m="1" x="1793"/>
        <item m="1" x="5360"/>
        <item m="1" x="1682"/>
        <item m="1" x="4967"/>
        <item m="1" x="7009"/>
        <item m="1" x="5797"/>
        <item m="1" x="4387"/>
        <item m="1" x="3143"/>
        <item m="1" x="3683"/>
        <item m="1" x="985"/>
        <item m="1" x="4842"/>
        <item m="1" x="7251"/>
        <item m="1" x="3932"/>
        <item m="1" x="3555"/>
        <item m="1" x="7621"/>
        <item m="1" x="1365"/>
        <item m="1" x="7613"/>
        <item m="1" x="3841"/>
        <item m="1" x="1398"/>
        <item m="1" x="1143"/>
        <item m="1" x="1630"/>
        <item m="1" x="2928"/>
        <item m="1" x="6455"/>
        <item m="1" x="6229"/>
        <item m="1" x="2850"/>
        <item m="1" x="297"/>
        <item m="1" x="1246"/>
        <item m="1" x="1317"/>
        <item m="1" x="7119"/>
        <item m="1" x="4918"/>
        <item m="1" x="522"/>
        <item m="1" x="7150"/>
        <item m="1" x="5711"/>
        <item m="1" x="6947"/>
        <item m="1" x="7538"/>
        <item m="1" x="3040"/>
        <item m="1" x="1720"/>
        <item m="1" x="791"/>
        <item m="1" x="2372"/>
        <item m="1" x="1086"/>
        <item m="1" x="6389"/>
        <item m="1" x="1632"/>
        <item m="1" x="5967"/>
        <item m="1" x="4897"/>
        <item m="1" x="735"/>
        <item m="1" x="6638"/>
        <item m="1" x="3079"/>
        <item m="1" x="393"/>
        <item m="1" x="3804"/>
        <item m="1" x="3410"/>
        <item m="1" x="4212"/>
        <item m="1" x="628"/>
        <item m="1" x="6203"/>
        <item m="1" x="7872"/>
        <item m="1" x="4073"/>
        <item m="1" x="357"/>
        <item m="1" x="6775"/>
        <item m="1" x="5074"/>
        <item m="1" x="4136"/>
        <item m="1" x="769"/>
        <item m="1" x="7639"/>
        <item m="1" x="7689"/>
        <item m="1" x="3814"/>
        <item m="1" x="870"/>
        <item m="1" x="2866"/>
        <item m="1" x="2589"/>
        <item m="1" x="4192"/>
        <item m="1" x="7238"/>
        <item m="1" x="537"/>
        <item m="1" x="648"/>
        <item m="1" x="1427"/>
        <item m="1" x="1118"/>
        <item m="1" x="7167"/>
        <item m="1" x="4164"/>
        <item m="1" x="2702"/>
        <item m="1" x="4894"/>
        <item m="1" x="3197"/>
        <item m="1" x="5410"/>
        <item m="1" x="7418"/>
        <item m="1" x="5718"/>
        <item m="1" x="6768"/>
        <item m="1" x="2907"/>
        <item m="1" x="6262"/>
        <item m="1" x="2711"/>
        <item m="1" x="414"/>
        <item m="1" x="3403"/>
        <item m="1" x="1408"/>
        <item m="1" x="7115"/>
        <item m="1" x="6256"/>
        <item m="1" x="3427"/>
        <item m="1" x="7650"/>
        <item m="1" x="5963"/>
        <item m="1" x="1251"/>
        <item m="1" x="1541"/>
        <item m="1" x="6450"/>
        <item m="1" x="4665"/>
        <item m="1" x="4504"/>
        <item m="1" x="5026"/>
        <item m="1" x="1411"/>
        <item m="1" x="1371"/>
        <item m="1" x="6193"/>
        <item m="1" x="4744"/>
        <item m="1" x="3271"/>
        <item m="1" x="652"/>
        <item m="1" x="1088"/>
        <item m="1" x="1628"/>
        <item m="1" x="5577"/>
        <item m="1" x="2906"/>
        <item m="1" x="1421"/>
        <item m="1" x="5712"/>
        <item m="1" x="7203"/>
        <item m="1" x="3512"/>
        <item m="1" x="6024"/>
        <item m="1" x="317"/>
        <item m="1" x="6368"/>
        <item m="1" x="257"/>
        <item m="1" x="3626"/>
        <item m="1" x="4089"/>
        <item m="1" x="2811"/>
        <item m="1" x="1437"/>
        <item m="1" x="1533"/>
        <item m="1" x="1932"/>
        <item m="1" x="3844"/>
        <item m="1" x="6150"/>
        <item m="1" x="7031"/>
        <item m="1" x="7655"/>
        <item m="1" x="7823"/>
        <item m="1" x="2283"/>
        <item m="1" x="4914"/>
        <item m="1" x="7514"/>
        <item m="1" x="6415"/>
        <item m="1" x="6347"/>
        <item m="1" x="3876"/>
        <item m="1" x="2612"/>
        <item m="1" x="4274"/>
        <item m="1" x="825"/>
        <item m="1" x="5170"/>
        <item m="1" x="6491"/>
        <item m="1" x="6716"/>
        <item m="1" x="5037"/>
        <item m="1" x="2762"/>
        <item m="1" x="6963"/>
        <item m="1" x="4555"/>
        <item m="1" x="496"/>
        <item m="1" x="1782"/>
        <item m="1" x="4526"/>
        <item m="1" x="7199"/>
        <item m="1" x="467"/>
        <item m="1" x="3119"/>
        <item m="1" x="4106"/>
        <item m="1" x="7510"/>
        <item m="1" x="1867"/>
        <item m="1" x="1590"/>
        <item m="1" x="4917"/>
        <item m="1" x="2069"/>
        <item m="1" x="1797"/>
        <item m="1" x="337"/>
        <item m="1" x="2471"/>
        <item m="1" x="6039"/>
        <item m="1" x="6360"/>
        <item m="1" x="7764"/>
        <item m="1" x="4804"/>
        <item m="1" x="4901"/>
        <item m="1" x="4714"/>
        <item m="1" x="3898"/>
        <item m="1" x="4512"/>
        <item m="1" x="306"/>
        <item m="1" x="4746"/>
        <item m="1" x="6176"/>
        <item m="1" x="4435"/>
        <item m="1" x="1763"/>
        <item m="1" x="723"/>
        <item m="1" x="4935"/>
        <item m="1" x="5678"/>
        <item m="1" x="3899"/>
        <item m="1" x="2162"/>
        <item m="1" x="4580"/>
        <item m="1" x="4808"/>
        <item m="1" x="5976"/>
        <item m="1" x="3998"/>
        <item m="1" x="1559"/>
        <item m="1" x="2438"/>
        <item m="1" x="7106"/>
        <item m="1" x="1254"/>
        <item m="1" x="2284"/>
        <item m="1" x="6743"/>
        <item m="1" x="7859"/>
        <item m="1" x="3215"/>
        <item m="1" x="1729"/>
        <item m="1" x="5499"/>
        <item m="1" x="7677"/>
        <item m="1" x="7535"/>
        <item m="1" x="3353"/>
        <item m="1" x="6074"/>
        <item m="1" x="3277"/>
        <item m="1" x="322"/>
        <item m="1" x="4964"/>
        <item m="1" x="2375"/>
        <item m="1" x="4215"/>
        <item m="1" x="5176"/>
        <item m="1" x="488"/>
        <item m="1" x="632"/>
        <item m="1" x="6412"/>
        <item m="1" x="2915"/>
        <item m="1" x="5089"/>
        <item m="1" x="1914"/>
        <item m="1" x="6898"/>
        <item m="1" x="385"/>
        <item m="1" x="5330"/>
        <item m="1" x="469"/>
        <item m="1" x="3656"/>
        <item m="1" x="5025"/>
        <item m="1" x="6853"/>
        <item m="1" x="3926"/>
        <item m="1" x="1060"/>
        <item m="1" x="7163"/>
        <item m="1" x="5079"/>
        <item m="1" x="6896"/>
        <item m="1" x="2325"/>
        <item m="1" x="3125"/>
        <item m="1" x="676"/>
        <item m="1" x="559"/>
        <item m="1" x="2551"/>
        <item m="1" x="1064"/>
        <item m="1" x="4343"/>
        <item m="1" x="4876"/>
        <item m="1" x="3438"/>
        <item m="1" x="4338"/>
        <item m="1" x="5942"/>
        <item m="1" x="5064"/>
        <item m="1" x="2018"/>
        <item m="1" x="7133"/>
        <item m="1" x="3042"/>
        <item m="1" x="1116"/>
        <item m="1" x="5917"/>
        <item m="1" x="2701"/>
        <item m="1" x="1464"/>
        <item m="1" x="5454"/>
        <item m="1" x="3988"/>
        <item m="1" x="6158"/>
        <item m="1" x="4974"/>
        <item m="1" x="3900"/>
        <item m="1" x="2825"/>
        <item m="1" x="1386"/>
        <item m="1" x="3521"/>
        <item m="1" x="2869"/>
        <item m="1" x="1514"/>
        <item m="1" x="7600"/>
        <item m="1" x="3645"/>
        <item m="1" x="7292"/>
        <item m="1" x="5116"/>
        <item m="1" x="4276"/>
        <item m="1" x="4049"/>
        <item m="1" x="7794"/>
        <item m="1" x="2082"/>
        <item m="1" x="4657"/>
        <item m="1" x="1413"/>
        <item m="1" x="7297"/>
        <item m="1" x="1044"/>
        <item m="1" x="3675"/>
        <item m="1" x="4668"/>
        <item m="1" x="7599"/>
        <item m="1" x="6562"/>
        <item m="1" x="5502"/>
        <item m="1" x="1658"/>
        <item m="1" x="7629"/>
        <item m="1" x="7835"/>
        <item m="1" x="7724"/>
        <item m="1" x="7728"/>
        <item m="1" x="2572"/>
        <item m="1" x="7325"/>
        <item m="1" x="6989"/>
        <item m="1" x="7331"/>
        <item m="1" x="7913"/>
        <item m="1" x="7895"/>
        <item m="1" x="7262"/>
        <item m="1" x="2914"/>
        <item m="1" x="7633"/>
        <item m="1" x="6838"/>
        <item m="1" x="1561"/>
        <item m="1" x="2494"/>
        <item m="1" x="3676"/>
        <item m="1" x="5406"/>
        <item m="1" x="1003"/>
        <item m="1" x="2493"/>
        <item m="1" x="3793"/>
        <item m="1" x="4221"/>
        <item m="1" x="4053"/>
        <item m="1" x="5228"/>
        <item m="1" x="5336"/>
        <item m="1" x="6030"/>
        <item m="1" x="6351"/>
        <item m="1" x="847"/>
        <item m="1" x="372"/>
        <item m="1" x="4610"/>
        <item m="1" x="5028"/>
        <item m="1" x="1468"/>
        <item m="1" x="6149"/>
        <item m="1" x="377"/>
        <item m="1" x="3051"/>
        <item m="1" x="3882"/>
        <item m="1" x="7559"/>
        <item m="1" x="6648"/>
        <item m="1" x="2027"/>
        <item m="1" x="4533"/>
        <item m="1" x="232"/>
        <item m="1" x="1323"/>
        <item m="1" x="2710"/>
        <item m="1" x="7622"/>
        <item m="1" x="299"/>
        <item m="1" x="6871"/>
        <item m="1" x="6549"/>
        <item m="1" x="3251"/>
        <item m="1" x="4569"/>
        <item m="1" x="1579"/>
        <item m="1" x="3315"/>
        <item m="1" x="2263"/>
        <item m="1" x="683"/>
        <item m="1" x="1157"/>
        <item m="1" x="3440"/>
        <item m="1" x="2561"/>
        <item m="1" x="5663"/>
        <item m="1" x="7954"/>
        <item m="1" x="3939"/>
        <item m="1" x="1611"/>
        <item m="1" x="6239"/>
        <item m="1" x="6269"/>
        <item m="1" x="6019"/>
        <item m="1" x="686"/>
        <item m="1" x="3616"/>
        <item m="1" x="366"/>
        <item m="1" x="6191"/>
        <item m="1" x="3870"/>
        <item m="1" x="1939"/>
        <item m="1" x="6130"/>
        <item m="1" x="2693"/>
        <item m="1" x="7052"/>
        <item m="1" x="3265"/>
        <item m="1" x="2984"/>
        <item m="1" x="3270"/>
        <item m="1" x="4884"/>
        <item m="1" x="1505"/>
        <item m="1" x="712"/>
        <item m="1" x="1378"/>
        <item m="1" x="779"/>
        <item m="1" x="6445"/>
        <item m="1" x="7110"/>
        <item m="1" x="3505"/>
        <item m="1" x="6119"/>
        <item m="1" x="1474"/>
        <item m="1" x="3320"/>
        <item m="1" x="1449"/>
        <item m="1" x="4249"/>
        <item m="1" x="5121"/>
        <item m="1" x="5032"/>
        <item m="1" x="6199"/>
        <item m="1" x="2688"/>
        <item m="1" x="7698"/>
        <item m="1" x="7577"/>
        <item m="1" x="5171"/>
        <item m="1" x="7411"/>
        <item m="1" x="4673"/>
        <item m="1" x="5133"/>
        <item m="1" x="495"/>
        <item m="1" x="1973"/>
        <item m="1" x="6614"/>
        <item m="1" x="3608"/>
        <item m="1" x="3021"/>
        <item m="1" x="2867"/>
        <item m="1" x="7656"/>
        <item m="1" x="1550"/>
        <item m="1" x="692"/>
        <item m="1" x="6766"/>
        <item m="1" x="7861"/>
        <item m="1" x="1367"/>
        <item m="1" x="5257"/>
        <item m="1" x="2491"/>
        <item m="1" x="4105"/>
        <item m="1" x="5447"/>
        <item m="1" x="2908"/>
        <item m="1" x="1794"/>
        <item m="1" x="7018"/>
        <item m="1" x="6327"/>
        <item m="1" x="7373"/>
        <item m="1" x="5305"/>
        <item m="1" x="3598"/>
        <item m="1" x="1978"/>
        <item m="1" x="3064"/>
        <item m="1" x="6016"/>
        <item m="1" x="6280"/>
        <item m="1" x="2808"/>
        <item m="1" x="1882"/>
        <item m="1" x="6282"/>
        <item m="1" x="4527"/>
        <item m="1" x="1911"/>
        <item m="1" x="7867"/>
        <item m="1" x="1728"/>
        <item m="1" x="433"/>
        <item m="1" x="4955"/>
        <item m="1" x="4067"/>
        <item m="1" x="4270"/>
        <item m="1" x="2184"/>
        <item m="1" x="4659"/>
        <item m="1" x="6197"/>
        <item m="1" x="503"/>
        <item m="1" x="7089"/>
        <item m="1" x="7055"/>
        <item m="1" x="823"/>
        <item m="1" x="521"/>
        <item m="1" x="7673"/>
        <item m="1" x="7769"/>
        <item m="1" x="4207"/>
        <item m="1" x="5279"/>
        <item m="1" x="3238"/>
        <item m="1" x="7542"/>
        <item m="1" x="329"/>
        <item m="1" x="7205"/>
        <item m="1" x="7243"/>
        <item m="1" x="5561"/>
        <item m="1" x="1324"/>
        <item m="1" x="830"/>
        <item m="1" x="7076"/>
        <item m="1" x="7910"/>
        <item m="1" x="2800"/>
        <item m="1" x="2686"/>
        <item m="1" x="4770"/>
        <item m="1" x="1850"/>
        <item m="1" x="6153"/>
        <item m="1" x="7586"/>
        <item m="1" x="7733"/>
        <item m="1" x="359"/>
        <item m="1" x="7713"/>
        <item m="1" x="2900"/>
        <item m="1" x="6088"/>
        <item m="1" x="2864"/>
        <item m="1" x="6593"/>
        <item m="1" x="5160"/>
        <item m="1" x="7925"/>
        <item m="1" x="6432"/>
        <item m="1" x="7844"/>
        <item m="1" x="6621"/>
        <item m="1" x="5086"/>
        <item m="1" x="327"/>
        <item m="1" x="2299"/>
        <item m="1" x="1216"/>
        <item m="1" x="1638"/>
        <item m="1" x="3295"/>
        <item m="1" x="498"/>
        <item m="1" x="422"/>
        <item m="1" x="6344"/>
        <item m="1" x="2910"/>
        <item m="1" x="977"/>
        <item m="1" x="1815"/>
        <item m="1" x="1295"/>
        <item m="1" x="2149"/>
        <item m="1" x="5801"/>
        <item m="1" x="3366"/>
        <item m="1" x="5549"/>
        <item m="1" x="5020"/>
        <item m="1" x="570"/>
        <item m="1" x="4133"/>
        <item m="1" x="1665"/>
        <item m="1" x="2371"/>
        <item m="1" x="6567"/>
        <item m="1" x="4436"/>
        <item m="1" x="5372"/>
        <item m="1" x="738"/>
        <item m="1" x="3557"/>
        <item m="1" x="3386"/>
        <item m="1" x="2640"/>
        <item m="1" x="1584"/>
        <item m="1" x="4950"/>
        <item m="1" x="5099"/>
        <item m="1" x="5207"/>
        <item m="1" x="3983"/>
        <item m="1" x="6759"/>
        <item m="1" x="4518"/>
        <item m="1" x="1723"/>
        <item m="1" x="553"/>
        <item m="1" x="6672"/>
        <item m="1" x="6392"/>
        <item m="1" x="4085"/>
        <item m="1" x="4509"/>
        <item m="1" x="3509"/>
        <item m="1" x="3134"/>
        <item m="1" x="961"/>
        <item m="1" x="4319"/>
        <item m="1" x="2314"/>
        <item m="1" x="2360"/>
        <item m="1" x="1407"/>
        <item m="1" x="7141"/>
        <item m="1" x="1843"/>
        <item m="1" x="1435"/>
        <item m="1" x="2231"/>
        <item m="1" x="2132"/>
        <item m="1" x="3245"/>
        <item m="1" x="5676"/>
        <item m="1" x="3596"/>
        <item m="1" x="700"/>
        <item m="1" x="4597"/>
        <item m="1" x="5584"/>
        <item m="1" x="5035"/>
        <item m="1" x="5186"/>
        <item m="1" x="6363"/>
        <item m="1" x="7683"/>
        <item m="1" x="4332"/>
        <item m="1" x="3631"/>
        <item m="1" x="6608"/>
        <item m="1" x="3394"/>
        <item m="1" x="4281"/>
        <item m="1" x="3710"/>
        <item m="1" x="1689"/>
        <item m="1" x="2527"/>
        <item m="1" x="2537"/>
        <item m="1" x="6038"/>
        <item m="1" x="944"/>
        <item m="1" x="6837"/>
        <item m="1" x="2275"/>
        <item m="1" x="413"/>
        <item m="1" x="4556"/>
        <item m="1" x="6633"/>
        <item m="1" x="333"/>
        <item m="1" x="6395"/>
        <item m="1" x="5503"/>
        <item m="1" x="6343"/>
        <item m="1" x="6172"/>
        <item m="1" x="1710"/>
        <item m="1" x="6946"/>
        <item m="1" x="6167"/>
        <item m="1" x="1102"/>
        <item m="1" x="5570"/>
        <item m="1" x="4695"/>
        <item m="1" x="4479"/>
        <item m="1" x="4059"/>
        <item m="1" x="1465"/>
        <item m="1" x="6355"/>
        <item m="1" x="1207"/>
        <item m="1" x="7657"/>
        <item m="1" x="5710"/>
        <item m="1" x="4486"/>
        <item m="1" x="5931"/>
        <item m="1" x="5005"/>
        <item m="1" x="5693"/>
        <item m="1" x="6224"/>
        <item m="1" x="1349"/>
        <item m="1" x="6548"/>
        <item m="1" x="667"/>
        <item m="1" x="4397"/>
        <item m="1" x="6378"/>
        <item m="1" x="532"/>
        <item m="1" x="5995"/>
        <item m="1" x="5140"/>
        <item m="1" x="2681"/>
        <item m="1" x="4929"/>
        <item m="1" x="5714"/>
        <item m="1" x="3258"/>
        <item m="1" x="3287"/>
        <item m="1" x="6833"/>
        <item m="1" x="4619"/>
        <item m="1" x="2684"/>
        <item m="1" x="5934"/>
        <item m="1" x="1779"/>
        <item m="1" x="2829"/>
        <item m="1" x="4172"/>
        <item m="1" x="3421"/>
        <item m="1" x="6862"/>
        <item m="1" x="1888"/>
        <item m="1" x="2136"/>
        <item m="1" x="3636"/>
        <item m="1" x="2921"/>
        <item m="1" x="6948"/>
        <item m="1" x="4819"/>
        <item m="1" x="3532"/>
        <item m="1" x="1168"/>
        <item m="1" x="1684"/>
        <item m="1" x="2257"/>
        <item m="1" x="1878"/>
        <item m="1" x="7467"/>
        <item m="1" x="7403"/>
        <item m="1" x="6577"/>
        <item m="1" x="5039"/>
        <item m="1" x="3216"/>
        <item m="1" x="5563"/>
        <item m="1" x="5951"/>
        <item m="1" x="2802"/>
        <item m="1" x="3875"/>
        <item m="1" x="7646"/>
        <item m="1" x="3167"/>
        <item m="1" x="1775"/>
        <item m="1" x="4650"/>
        <item m="1" x="6824"/>
        <item m="1" x="7248"/>
        <item m="1" x="2240"/>
        <item m="1" x="639"/>
        <item m="1" x="3591"/>
        <item m="1" x="7047"/>
        <item m="1" x="3497"/>
        <item m="1" x="1517"/>
        <item m="1" x="5234"/>
        <item m="1" x="5013"/>
        <item m="1" x="1854"/>
        <item m="1" x="4847"/>
        <item m="1" x="5150"/>
        <item m="1" x="5683"/>
        <item m="1" x="4029"/>
        <item m="1" x="6977"/>
        <item m="1" x="5576"/>
        <item m="1" x="7707"/>
        <item m="1" x="5052"/>
        <item m="1" x="2504"/>
        <item m="1" x="960"/>
        <item m="1" x="2392"/>
        <item m="1" x="6484"/>
        <item m="1" x="486"/>
        <item m="1" x="336"/>
        <item m="1" x="7044"/>
        <item m="1" x="3128"/>
        <item m="1" x="3745"/>
        <item m="1" x="1842"/>
        <item m="1" x="3221"/>
        <item m="1" x="4284"/>
        <item m="1" x="1691"/>
        <item m="1" x="2156"/>
        <item m="1" x="1308"/>
        <item m="1" x="7685"/>
        <item m="1" x="3858"/>
        <item m="1" x="5105"/>
        <item m="1" x="1330"/>
        <item m="1" x="4997"/>
        <item m="1" x="6964"/>
        <item m="1" x="4647"/>
        <item m="1" x="2847"/>
        <item m="1" x="5680"/>
        <item m="1" x="2741"/>
        <item m="1" x="3338"/>
        <item m="1" x="6109"/>
        <item m="1" x="4811"/>
        <item m="1" x="5440"/>
        <item m="1" x="5299"/>
        <item m="1" x="6634"/>
        <item m="1" x="3019"/>
        <item m="1" x="1624"/>
        <item m="1" x="3959"/>
        <item m="1" x="3837"/>
        <item m="1" x="7598"/>
        <item m="1" x="5413"/>
        <item m="1" x="4700"/>
        <item m="1" x="5755"/>
        <item m="1" x="4093"/>
        <item m="1" x="3422"/>
        <item m="1" x="6365"/>
        <item m="1" x="2633"/>
        <item m="1" x="2623"/>
        <item m="1" x="1640"/>
        <item m="1" x="452"/>
        <item m="1" x="6706"/>
        <item m="1" x="1711"/>
        <item m="1" x="4124"/>
        <item m="1" x="1230"/>
        <item m="1" x="3466"/>
        <item m="1" x="6877"/>
        <item m="1" x="2237"/>
        <item m="1" x="7624"/>
        <item m="1" x="1702"/>
        <item m="1" x="1612"/>
        <item m="1" x="314"/>
        <item m="1" x="2615"/>
        <item m="1" x="6490"/>
        <item m="1" x="5642"/>
        <item m="1" x="6214"/>
        <item m="1" x="1802"/>
        <item m="1" x="7398"/>
        <item m="1" x="5185"/>
        <item m="1" x="1859"/>
        <item m="1" x="7109"/>
        <item m="1" x="5128"/>
        <item m="1" x="1620"/>
        <item m="1" x="529"/>
        <item m="1" x="5605"/>
        <item m="1" x="4912"/>
        <item m="1" x="4317"/>
        <item m="1" x="5429"/>
        <item m="1" x="1862"/>
        <item m="1" x="3194"/>
        <item m="1" x="4160"/>
        <item m="1" x="7543"/>
        <item m="1" x="1855"/>
        <item m="1" x="3967"/>
        <item m="1" x="897"/>
        <item m="1" x="3679"/>
        <item m="1" x="3681"/>
        <item m="1" x="229"/>
        <item m="1" x="5134"/>
        <item m="1" x="7125"/>
        <item m="1" x="5813"/>
        <item m="1" x="4609"/>
        <item m="1" x="2982"/>
        <item m="1" x="3834"/>
        <item m="1" x="4722"/>
        <item m="1" x="6628"/>
        <item m="1" x="5869"/>
        <item m="1" x="2986"/>
        <item m="1" x="7208"/>
        <item m="1" x="4607"/>
        <item m="1" x="7027"/>
        <item m="1" x="1255"/>
        <item m="1" x="550"/>
        <item m="1" x="3334"/>
        <item m="1" x="5075"/>
        <item m="1" x="7603"/>
        <item m="1" x="906"/>
        <item m="1" x="316"/>
        <item m="1" x="343"/>
        <item m="1" x="1916"/>
        <item m="1" x="2433"/>
        <item m="1" x="5320"/>
        <item m="1" x="508"/>
        <item m="1" x="2123"/>
        <item m="1" x="1551"/>
        <item m="1" x="3078"/>
        <item m="1" x="2511"/>
        <item m="1" x="5248"/>
        <item m="1" x="5655"/>
        <item m="1" x="6052"/>
        <item m="1" x="6222"/>
        <item m="1" x="3364"/>
        <item m="1" x="6205"/>
        <item m="1" x="1108"/>
        <item m="1" x="2535"/>
        <item m="1" x="3657"/>
        <item m="1" x="4294"/>
        <item m="1" x="6289"/>
        <item m="1" x="6826"/>
        <item m="1" x="1527"/>
        <item m="1" x="4830"/>
        <item m="1" x="1490"/>
        <item m="1" x="1229"/>
        <item m="1" x="3307"/>
        <item m="1" x="4325"/>
        <item m="1" x="5855"/>
        <item m="1" x="3537"/>
        <item m="1" x="3782"/>
        <item m="1" x="4679"/>
        <item m="1" x="5006"/>
        <item m="1" x="2031"/>
        <item m="1" x="2596"/>
        <item m="1" x="7744"/>
        <item m="1" x="2818"/>
        <item m="1" x="5529"/>
        <item m="1" x="7057"/>
        <item m="1" x="3811"/>
        <item m="1" x="1686"/>
        <item m="1" x="230"/>
        <item m="1" x="3230"/>
        <item m="1" x="466"/>
        <item m="1" x="6042"/>
        <item m="1" x="7609"/>
        <item m="1" x="2220"/>
        <item m="1" x="5387"/>
        <item m="1" x="4135"/>
        <item m="1" x="1676"/>
        <item m="1" x="5927"/>
        <item m="1" x="4252"/>
        <item m="1" x="2955"/>
        <item m="1" x="7156"/>
        <item m="1" x="2816"/>
        <item m="1" x="6615"/>
        <item m="1" x="2121"/>
        <item m="1" x="2382"/>
        <item m="1" x="1741"/>
        <item m="1" x="1218"/>
        <item m="1" x="4562"/>
        <item m="1" x="2632"/>
        <item m="1" x="1942"/>
        <item m="1" x="7252"/>
        <item m="1" x="6120"/>
        <item m="1" x="4476"/>
        <item m="1" x="3893"/>
        <item m="1" x="332"/>
        <item m="1" x="4999"/>
        <item m="1" x="842"/>
        <item m="1" x="5199"/>
        <item m="1" x="1569"/>
        <item m="1" x="5323"/>
        <item m="1" x="3332"/>
        <item m="1" x="7525"/>
        <item m="1" x="4444"/>
        <item m="1" x="4641"/>
        <item m="1" x="4628"/>
        <item m="1" x="6237"/>
        <item m="1" x="4503"/>
        <item m="1" x="2238"/>
        <item m="1" x="6765"/>
        <item m="1" x="7767"/>
        <item m="1" x="437"/>
        <item m="1" x="2222"/>
        <item m="1" x="6241"/>
        <item m="1" x="6100"/>
        <item m="1" x="4861"/>
        <item m="1" x="7421"/>
        <item m="1" x="3233"/>
        <item m="1" x="6780"/>
        <item m="1" x="616"/>
        <item m="1" x="3989"/>
        <item m="1" x="7356"/>
        <item m="1" x="3493"/>
        <item m="1" x="4517"/>
        <item m="1" x="5781"/>
        <item m="1" x="4860"/>
        <item m="1" x="3850"/>
        <item m="1" x="3195"/>
        <item m="1" x="1637"/>
        <item m="1" x="1799"/>
        <item m="1" x="1284"/>
        <item m="1" x="4313"/>
        <item m="1" x="6216"/>
        <item m="1" x="490"/>
        <item m="1" x="6772"/>
        <item m="1" x="4903"/>
        <item m="1" x="6474"/>
        <item m="1" x="2972"/>
        <item m="1" x="6040"/>
        <item m="1" x="3886"/>
        <item m="1" x="5425"/>
        <item m="1" x="1812"/>
        <item m="1" x="1783"/>
        <item m="1" x="250"/>
        <item m="1" x="5483"/>
        <item m="1" x="6376"/>
        <item m="1" x="6303"/>
        <item m="1" x="2140"/>
        <item m="1" x="6830"/>
        <item m="1" x="1746"/>
        <item m="1" x="4188"/>
        <item m="1" x="1818"/>
        <item m="1" x="6552"/>
        <item m="1" x="924"/>
        <item m="1" x="6348"/>
        <item m="1" x="4355"/>
        <item m="1" x="7671"/>
        <item m="1" x="4234"/>
        <item m="1" x="598"/>
        <item m="1" x="6916"/>
        <item m="1" x="3601"/>
        <item m="1" x="4010"/>
        <item m="1" x="3091"/>
        <item m="1" x="1103"/>
        <item m="1" x="1391"/>
        <item m="1" x="5981"/>
        <item m="1" x="5936"/>
        <item m="1" x="4107"/>
        <item m="1" x="4727"/>
        <item m="1" x="6200"/>
        <item m="1" x="7832"/>
        <item m="1" x="1382"/>
        <item m="1" x="7820"/>
        <item m="1" x="3585"/>
        <item m="1" x="4194"/>
        <item m="1" x="4587"/>
        <item m="1" x="4256"/>
        <item m="1" x="3211"/>
        <item m="1" x="298"/>
        <item m="1" x="2999"/>
        <item m="1" x="643"/>
        <item m="1" x="3431"/>
        <item m="1" x="4061"/>
        <item m="1" x="3327"/>
        <item m="1" x="6850"/>
        <item m="1" x="818"/>
        <item m="1" x="6526"/>
        <item m="1" x="7344"/>
        <item m="1" x="4351"/>
        <item m="1" x="5798"/>
        <item m="1" x="781"/>
        <item m="1" x="7037"/>
        <item m="1" x="1150"/>
        <item m="1" x="4772"/>
        <item m="1" x="4559"/>
        <item m="1" x="2716"/>
        <item m="1" x="3635"/>
        <item m="1" x="1234"/>
        <item m="1" x="3284"/>
        <item m="1" x="579"/>
        <item m="1" x="7562"/>
        <item m="1" x="2403"/>
        <item m="1" x="6230"/>
        <item m="1" x="5519"/>
        <item m="1" x="4942"/>
        <item m="1" x="7725"/>
        <item m="1" x="6676"/>
        <item m="1" x="3179"/>
        <item m="1" x="2905"/>
        <item m="1" x="5295"/>
        <item m="1" x="2355"/>
        <item m="1" x="3035"/>
        <item m="1" x="5031"/>
        <item m="1" x="6405"/>
        <item m="1" x="3059"/>
        <item m="1" x="4689"/>
        <item m="1" x="6211"/>
        <item m="1" x="5957"/>
        <item m="1" x="6066"/>
        <item m="1" x="4982"/>
        <item m="1" x="4318"/>
        <item m="1" x="2871"/>
        <item m="1" x="3812"/>
        <item m="1" x="2390"/>
        <item m="1" x="383"/>
        <item m="1" x="6627"/>
        <item m="1" x="3024"/>
        <item m="1" x="5132"/>
        <item m="1" x="4128"/>
        <item m="1" x="6762"/>
        <item m="1" x="6076"/>
        <item m="1" x="2131"/>
        <item m="1" x="3147"/>
        <item m="1" x="6939"/>
        <item m="1" x="7347"/>
        <item m="1" x="5307"/>
        <item m="1" x="5238"/>
        <item m="1" x="7107"/>
        <item m="1" x="3264"/>
        <item m="1" x="3516"/>
        <item m="1" x="7850"/>
        <item m="1" x="5443"/>
        <item m="1" x="5774"/>
        <item m="1" x="2783"/>
        <item m="1" x="243"/>
        <item m="1" x="3103"/>
        <item m="1" x="7181"/>
        <item m="1" x="2068"/>
        <item m="1" x="3779"/>
        <item m="1" x="3474"/>
        <item m="1" x="4780"/>
        <item m="1" x="2935"/>
        <item m="1" x="2080"/>
        <item m="1" x="1269"/>
        <item m="1" x="6146"/>
        <item m="1" x="1425"/>
        <item m="1" x="4712"/>
        <item m="1" x="1181"/>
        <item m="1" x="520"/>
        <item m="1" x="6773"/>
        <item m="1" x="1400"/>
        <item m="1" x="7134"/>
        <item m="1" x="7477"/>
        <item m="1" x="7184"/>
        <item m="1" x="6393"/>
        <item m="1" x="233"/>
        <item m="1" x="797"/>
        <item m="1" x="2940"/>
        <item m="1" x="5796"/>
        <item m="1" x="3280"/>
        <item m="1" x="6544"/>
        <item m="1" x="1395"/>
        <item m="1" x="3255"/>
        <item m="1" x="4825"/>
        <item m="1" x="3523"/>
        <item m="1" x="3149"/>
        <item m="1" x="4514"/>
        <item m="1" x="5233"/>
        <item m="1" x="1724"/>
        <item m="1" x="1410"/>
        <item m="1" x="7126"/>
        <item m="1" x="5868"/>
        <item m="1" x="7099"/>
        <item m="1" x="3290"/>
        <item m="1" x="5649"/>
        <item m="1" x="4123"/>
        <item m="1" x="4159"/>
        <item m="1" x="7915"/>
        <item m="1" x="397"/>
        <item m="1" x="5513"/>
        <item m="1" x="4858"/>
        <item m="1" x="4275"/>
        <item m="1" x="5909"/>
        <item m="1" x="5791"/>
        <item m="1" x="3755"/>
        <item m="1" x="7092"/>
        <item m="1" x="7721"/>
        <item m="1" x="2272"/>
        <item m="1" x="6935"/>
        <item m="1" x="7219"/>
        <item m="1" x="7245"/>
        <item m="1" x="7221"/>
        <item m="1" x="4253"/>
        <item m="1" x="7498"/>
        <item m="1" x="2394"/>
        <item m="1" x="5139"/>
        <item m="1" x="5978"/>
        <item m="1" x="1035"/>
        <item m="1" x="5101"/>
        <item m="1" x="3090"/>
        <item m="1" x="3302"/>
        <item m="1" x="3781"/>
        <item m="1" x="7028"/>
        <item m="1" x="4280"/>
        <item m="1" x="2902"/>
        <item m="1" x="2167"/>
        <item m="1" x="2354"/>
        <item m="1" x="6782"/>
        <item m="1" x="7337"/>
        <item m="1" x="6268"/>
        <item m="1" x="4308"/>
        <item m="1" x="7625"/>
        <item m="1" x="4071"/>
        <item m="1" x="1483"/>
        <item m="1" x="1071"/>
        <item m="1" x="7632"/>
        <item m="1" x="4108"/>
        <item m="1" x="7164"/>
        <item m="1" x="523"/>
        <item m="1" x="4228"/>
        <item m="1" x="4752"/>
        <item m="1" x="4629"/>
        <item m="1" x="4141"/>
        <item m="1" x="6391"/>
        <item m="1" x="7288"/>
        <item m="1" x="4987"/>
        <item m="1" x="3857"/>
        <item m="1" x="2645"/>
        <item m="1" x="1830"/>
        <item m="1" x="7766"/>
        <item m="1" x="2420"/>
        <item m="1" x="2157"/>
        <item m="1" x="843"/>
        <item m="1" x="7306"/>
        <item m="1" x="4864"/>
        <item m="1" x="7038"/>
        <item m="1" x="7461"/>
        <item m="1" x="6590"/>
        <item m="1" x="2037"/>
        <item m="1" x="1307"/>
        <item m="1" x="2719"/>
        <item m="1" x="4366"/>
        <item m="1" x="7105"/>
        <item m="1" x="4739"/>
        <item m="1" x="1032"/>
        <item m="1" x="1417"/>
        <item m="1" x="7693"/>
        <item m="1" x="1987"/>
        <item m="1" x="3182"/>
        <item m="1" x="1709"/>
        <item m="1" x="6336"/>
        <item m="1" x="1648"/>
        <item m="1" x="5123"/>
        <item m="1" x="4090"/>
        <item m="1" x="5195"/>
        <item m="1" x="5214"/>
        <item m="1" x="4421"/>
        <item m="1" x="1405"/>
        <item m="1" x="7307"/>
        <item m="1" x="4637"/>
        <item m="1" x="4125"/>
        <item m="1" x="487"/>
        <item m="1" x="1538"/>
        <item m="1" x="2267"/>
        <item m="1" x="3594"/>
        <item m="1" x="740"/>
        <item m="1" x="580"/>
        <item m="1" x="6847"/>
        <item m="1" x="3350"/>
        <item m="1" x="1912"/>
        <item m="1" x="5092"/>
        <item m="1" x="2254"/>
        <item m="1" x="5972"/>
        <item m="1" x="1562"/>
        <item m="1" x="3220"/>
        <item m="1" x="5477"/>
        <item m="1" x="5782"/>
        <item m="1" x="2616"/>
        <item m="1" x="3890"/>
        <item m="1" x="507"/>
        <item m="1" x="5177"/>
        <item m="1" x="4014"/>
        <item m="1" x="854"/>
        <item m="1" x="5457"/>
        <item m="1" x="5438"/>
        <item m="1" x="1983"/>
        <item m="1" x="4043"/>
        <item m="1" x="2649"/>
        <item m="1" x="6095"/>
        <item m="1" x="2084"/>
        <item m="1" x="7758"/>
        <item m="1" x="7101"/>
        <item m="1" x="3786"/>
        <item m="1" x="5073"/>
        <item m="1" x="1927"/>
        <item m="1" x="4209"/>
        <item m="1" x="1662"/>
        <item m="1" x="419"/>
        <item m="1" x="7484"/>
        <item m="1" x="3023"/>
        <item m="1" x="5562"/>
        <item m="1" x="3711"/>
        <item m="1" x="1749"/>
        <item m="1" x="2364"/>
        <item m="1" x="1516"/>
        <item m="1" x="863"/>
        <item m="1" x="5135"/>
        <item m="1" x="3130"/>
        <item m="1" x="1304"/>
        <item m="1" x="392"/>
        <item m="1" x="6337"/>
        <item m="1" x="2418"/>
        <item m="1" x="2117"/>
        <item m="1" x="1208"/>
        <item m="1" x="1947"/>
        <item m="1" x="2430"/>
        <item m="1" x="7691"/>
        <item m="1" x="1362"/>
        <item m="1" x="1220"/>
        <item m="1" x="3288"/>
        <item m="1" x="5580"/>
        <item m="1" x="3437"/>
        <item m="1" x="2274"/>
        <item m="1" x="3235"/>
        <item m="1" x="3426"/>
        <item m="1" x="3454"/>
        <item m="1" x="882"/>
        <item m="1" x="7317"/>
        <item m="1" x="5208"/>
        <item m="1" x="2026"/>
        <item m="1" x="6236"/>
        <item m="1" x="4494"/>
        <item m="1" x="5046"/>
        <item m="1" x="3414"/>
        <item m="1" x="1384"/>
        <item m="1" x="4963"/>
        <item m="1" x="295"/>
        <item m="1" x="6644"/>
        <item m="1" x="2592"/>
        <item m="1" x="6104"/>
        <item m="1" x="7553"/>
        <item m="1" x="6311"/>
        <item m="1" x="5226"/>
        <item m="1" x="492"/>
        <item m="1" x="6226"/>
        <item m="1" x="2597"/>
        <item m="1" x="6591"/>
        <item m="1" x="6292"/>
        <item m="1" x="3127"/>
        <item m="1" x="6573"/>
        <item m="1" x="871"/>
        <item m="1" x="1262"/>
        <item m="1" x="3968"/>
        <item m="1" x="2618"/>
        <item m="1" x="4691"/>
        <item m="1" x="4809"/>
        <item m="1" x="3817"/>
        <item m="1" x="516"/>
        <item m="1" x="4262"/>
        <item m="1" x="5414"/>
        <item m="1" x="1840"/>
        <item m="1" x="7563"/>
        <item m="1" x="6133"/>
        <item m="1" x="5288"/>
        <item m="1" x="2104"/>
        <item m="1" x="5054"/>
        <item m="1" x="6020"/>
        <item m="1" x="4711"/>
        <item m="1" x="2885"/>
        <item m="1" x="2508"/>
        <item m="1" x="6584"/>
        <item m="1" x="4546"/>
        <item m="1" x="6524"/>
        <item m="1" x="5341"/>
        <item m="1" x="2287"/>
        <item m="1" x="4524"/>
        <item m="1" x="3881"/>
        <item m="1" x="5365"/>
        <item m="1" x="5146"/>
        <item m="1" x="7868"/>
        <item m="1" x="701"/>
        <item m="1" x="6083"/>
        <item m="1" x="3818"/>
        <item m="1" x="7909"/>
        <item m="1" x="3693"/>
        <item m="1" x="5627"/>
        <item m="1" x="7323"/>
        <item m="1" x="7072"/>
        <item m="1" x="3606"/>
        <item m="1" x="6480"/>
        <item m="1" x="7295"/>
        <item m="1" x="3494"/>
        <item m="1" x="6357"/>
        <item m="1" x="7160"/>
        <item m="1" x="4874"/>
        <item m="1" x="3115"/>
        <item m="1" x="4174"/>
        <item m="1" x="5670"/>
        <item m="1" x="4403"/>
        <item m="1" x="4019"/>
        <item m="1" x="331"/>
        <item m="1" x="4969"/>
        <item m="1" x="4114"/>
        <item m="1" x="884"/>
        <item m="1" x="4589"/>
        <item m="1" x="2178"/>
        <item m="1" x="5977"/>
        <item m="1" x="3432"/>
        <item m="1" x="7732"/>
        <item m="1" x="4452"/>
        <item m="1" x="3499"/>
        <item m="1" x="1339"/>
        <item m="1" x="2655"/>
        <item m="1" x="4670"/>
        <item m="1" x="6914"/>
        <item m="1" x="1570"/>
        <item m="1" x="1336"/>
        <item m="1" x="4655"/>
        <item m="1" x="7736"/>
        <item m="1" x="1816"/>
        <item m="1" x="2594"/>
        <item m="1" x="2107"/>
        <item m="1" x="4591"/>
        <item m="1" x="3937"/>
        <item m="1" x="3587"/>
        <item m="1" x="986"/>
        <item m="1" x="6613"/>
        <item m="1" x="3470"/>
        <item m="1" x="2514"/>
        <item m="1" x="389"/>
        <item m="1" x="894"/>
        <item m="1" x="6727"/>
        <item m="1" x="4100"/>
        <item m="1" x="1329"/>
        <item m="1" x="4434"/>
        <item m="1" x="5383"/>
        <item m="1" x="729"/>
        <item m="1" x="2772"/>
        <item m="1" x="2294"/>
        <item m="1" x="2513"/>
        <item m="1" x="1677"/>
        <item m="1" x="3678"/>
        <item m="1" x="5903"/>
        <item m="1" x="3500"/>
        <item m="1" x="4416"/>
        <item m="1" x="2041"/>
        <item m="1" x="4570"/>
        <item m="1" x="6328"/>
        <item m="1" x="7826"/>
        <item m="1" x="6715"/>
        <item m="1" x="429"/>
        <item m="1" x="3036"/>
        <item m="1" x="578"/>
        <item m="1" x="3234"/>
        <item m="1" x="253"/>
        <item m="1" x="1136"/>
        <item m="1" x="5283"/>
        <item m="1" x="6127"/>
        <item m="1" x="4577"/>
        <item m="1" x="5645"/>
        <item m="1" x="7246"/>
        <item m="1" x="2747"/>
        <item m="1" x="1340"/>
        <item m="1" x="7824"/>
        <item m="1" x="539"/>
        <item m="1" x="2804"/>
        <item m="1" x="3022"/>
        <item m="1" x="2329"/>
        <item m="1" x="4446"/>
        <item m="1" x="4660"/>
        <item m="1" x="1146"/>
        <item m="1" x="2660"/>
        <item m="1" x="7039"/>
        <item m="1" x="7649"/>
        <item m="1" x="7662"/>
        <item m="1" x="3342"/>
        <item m="1" x="7079"/>
        <item m="1" x="1826"/>
        <item m="1" x="3770"/>
        <item m="1" x="6771"/>
        <item m="1" x="6659"/>
        <item m="1" x="6519"/>
        <item m="1" x="4688"/>
        <item m="1" x="6863"/>
        <item m="1" x="2361"/>
        <item m="1" x="3096"/>
        <item m="1" x="7058"/>
        <item m="1" x="918"/>
        <item m="1" x="6116"/>
        <item m="1" x="4854"/>
        <item m="1" x="1990"/>
        <item m="1" x="6318"/>
        <item m="1" x="4927"/>
        <item m="1" x="5554"/>
        <item m="1" x="1661"/>
        <item m="1" x="2573"/>
        <item m="1" x="698"/>
        <item m="1" x="5632"/>
        <item m="1" x="6905"/>
        <item m="1" x="4131"/>
        <item m="1" x="3776"/>
        <item m="1" x="5285"/>
        <item m="1" x="2197"/>
        <item m="1" x="6818"/>
        <item m="1" x="4724"/>
        <item m="1" x="759"/>
        <item m="1" x="1891"/>
        <item m="1" x="3802"/>
        <item m="1" x="7446"/>
        <item m="1" x="6183"/>
        <item m="1" x="4237"/>
        <item m="1" x="2861"/>
        <item m="1" x="2313"/>
        <item m="1" x="754"/>
        <item m="1" x="5658"/>
        <item m="1" x="7399"/>
        <item m="1" x="5260"/>
        <item m="1" x="4378"/>
        <item m="1" x="662"/>
        <item m="1" x="4561"/>
        <item m="1" x="6929"/>
        <item m="1" x="1272"/>
        <item m="1" x="395"/>
        <item m="1" x="4877"/>
        <item m="1" x="3044"/>
        <item m="1" x="6131"/>
        <item m="1" x="5597"/>
        <item m="1" x="7093"/>
        <item m="1" x="5471"/>
        <item m="1" x="7825"/>
        <item m="1" x="3668"/>
        <item m="1" x="7571"/>
        <item m="1" x="5453"/>
        <item m="1" x="1267"/>
        <item m="1" x="4400"/>
        <item m="1" x="1279"/>
        <item m="1" x="3088"/>
        <item m="1" x="7569"/>
        <item m="1" x="2967"/>
        <item m="1" x="6707"/>
        <item m="1" x="1393"/>
        <item m="1" x="5913"/>
        <item m="1" x="4335"/>
        <item m="1" x="5688"/>
        <item m="1" x="3097"/>
        <item m="1" x="7942"/>
        <item m="1" x="5762"/>
        <item m="1" x="7182"/>
        <item m="1" x="3868"/>
        <item m="1" x="6572"/>
        <item m="1" x="4845"/>
        <item m="1" x="2692"/>
        <item m="1" x="4151"/>
        <item m="1" x="7597"/>
        <item m="1" x="2421"/>
        <item m="1" x="3355"/>
        <item m="1" x="4414"/>
        <item m="1" x="2001"/>
        <item m="1" x="2819"/>
        <item m="1" x="969"/>
        <item m="1" x="794"/>
        <item m="1" x="4297"/>
        <item m="1" x="1503"/>
        <item m="1" x="2949"/>
        <item m="1" x="3561"/>
        <item m="1" x="7175"/>
        <item m="1" x="2321"/>
        <item m="1" x="4339"/>
        <item m="1" x="5512"/>
        <item m="1" x="6283"/>
        <item m="1" x="7653"/>
        <item m="1" x="5886"/>
        <item m="1" x="367"/>
        <item m="1" x="3921"/>
        <item m="1" x="5980"/>
        <item m="1" x="6272"/>
        <item m="1" x="6402"/>
        <item m="1" x="1940"/>
        <item m="1" x="6542"/>
        <item m="1" x="7250"/>
        <item m="1" x="722"/>
        <item m="1" x="1868"/>
        <item m="1" x="4632"/>
        <item m="1" x="2380"/>
        <item m="1" x="7762"/>
        <item m="1" x="3145"/>
        <item m="1" x="6442"/>
        <item m="1" x="1576"/>
        <item m="1" x="4960"/>
        <item m="1" x="7445"/>
        <item m="1" x="7324"/>
        <item m="1" x="4448"/>
        <item m="1" x="1999"/>
        <item m="1" x="7437"/>
        <item m="1" x="5201"/>
        <item m="1" x="4544"/>
        <item m="1" x="7212"/>
        <item m="1" x="1428"/>
        <item m="1" x="4613"/>
        <item m="1" x="4687"/>
        <item m="1" x="858"/>
        <item m="1" x="7372"/>
        <item m="1" x="2347"/>
        <item m="1" x="6196"/>
        <item m="1" x="7240"/>
        <item m="1" x="6734"/>
        <item m="1" x="7668"/>
        <item m="1" x="3785"/>
        <item m="1" x="7366"/>
        <item m="1" x="2959"/>
        <item m="1" x="6073"/>
        <item m="1" x="6028"/>
        <item m="1" x="7054"/>
        <item m="1" x="4855"/>
        <item m="1" x="399"/>
        <item m="1" x="5109"/>
        <item m="1" x="374"/>
        <item m="1" x="3369"/>
        <item m="1" x="7168"/>
        <item m="1" x="4922"/>
        <item m="1" x="2110"/>
        <item m="1" x="7003"/>
        <item m="1" x="3123"/>
        <item m="1" x="3752"/>
        <item m="1" x="1105"/>
        <item m="1" x="2170"/>
        <item m="1" x="4891"/>
        <item m="1" x="707"/>
        <item m="1" x="5420"/>
        <item m="1" x="5273"/>
        <item m="1" x="7464"/>
        <item m="1" x="6111"/>
        <item m="1" x="378"/>
        <item m="1" x="7350"/>
        <item m="1" x="7113"/>
        <item m="1" x="555"/>
        <item m="1" x="3929"/>
        <item m="1" x="3632"/>
        <item m="1" x="7042"/>
        <item m="1" x="2307"/>
        <item m="1" x="6069"/>
        <item m="1" x="7797"/>
        <item m="1" x="2486"/>
        <item m="1" x="1484"/>
        <item m="1" x="4541"/>
        <item m="1" x="6669"/>
        <item m="1" x="1846"/>
        <item m="1" x="6925"/>
        <item m="1" x="1653"/>
        <item m="1" x="6779"/>
        <item m="1" x="7630"/>
        <item m="1" x="440"/>
        <item m="1" x="1829"/>
        <item m="1" x="7122"/>
        <item m="1" x="4921"/>
        <item m="1" x="6681"/>
        <item m="1" x="5736"/>
        <item m="1" x="7359"/>
        <item m="1" x="1644"/>
        <item m="1" x="635"/>
        <item m="1" x="6137"/>
        <item m="1" x="1649"/>
        <item m="1" x="1273"/>
        <item m="1" x="3015"/>
        <item m="1" x="4062"/>
        <item m="1" x="5204"/>
        <item m="1" x="1634"/>
        <item m="1" x="3358"/>
        <item m="1" x="7187"/>
        <item m="1" x="788"/>
        <item m="1" x="5784"/>
        <item m="1" x="5816"/>
        <item m="1" x="2687"/>
        <item m="1" x="470"/>
        <item m="1" x="1857"/>
        <item m="1" x="1849"/>
        <item m="1" x="6625"/>
        <item m="1" x="4424"/>
        <item m="1" x="2764"/>
        <item m="1" x="259"/>
        <item m="1" x="1984"/>
        <item m="1" x="1792"/>
        <item m="1" x="7851"/>
        <item m="1" x="445"/>
        <item m="1" x="5765"/>
        <item m="1" x="5560"/>
        <item m="1" x="6974"/>
        <item m="1" x="5309"/>
        <item m="1" x="917"/>
        <item m="1" x="4483"/>
        <item m="1" x="3815"/>
        <item m="1" x="2773"/>
        <item m="1" x="3794"/>
        <item m="1" x="3690"/>
        <item m="1" x="5629"/>
        <item m="1" x="5907"/>
        <item m="1" x="1081"/>
        <item m="1" x="3842"/>
        <item m="1" x="3253"/>
        <item m="1" x="7006"/>
        <item m="1" x="5247"/>
        <item m="1" x="1532"/>
        <item m="1" x="6527"/>
        <item m="1" x="4988"/>
        <item m="1" x="7734"/>
        <item m="1" x="2569"/>
        <item m="1" x="5252"/>
        <item m="1" x="1210"/>
        <item m="1" x="7431"/>
        <item m="1" x="1445"/>
        <item m="1" x="6750"/>
        <item m="1" x="3453"/>
        <item m="1" x="565"/>
        <item m="1" x="3477"/>
        <item m="1" x="1869"/>
        <item m="1" x="1082"/>
        <item m="1" x="2112"/>
        <item m="1" x="7480"/>
        <item m="1" x="1459"/>
        <item m="1" x="2916"/>
        <item m="1" x="1718"/>
        <item m="1" x="3600"/>
        <item m="1" x="2852"/>
        <item m="1" x="5526"/>
        <item m="1" x="4946"/>
        <item m="1" x="3970"/>
        <item m="1" x="7444"/>
        <item m="1" x="3184"/>
        <item m="1" x="3961"/>
        <item m="1" x="2878"/>
        <item m="1" x="5648"/>
        <item m="1" x="5894"/>
        <item m="1" x="3768"/>
        <item m="1" x="1759"/>
        <item m="1" x="5334"/>
        <item m="1" x="5759"/>
        <item m="1" x="6728"/>
        <item m="1" x="2788"/>
        <item m="1" x="1925"/>
        <item m="1" x="271"/>
        <item m="1" x="4464"/>
        <item m="1" x="4932"/>
        <item m="1" x="3732"/>
        <item m="1" x="5674"/>
        <item m="1" x="666"/>
        <item m="1" x="1297"/>
        <item m="1" x="4881"/>
        <item m="1" x="3101"/>
        <item m="1" x="2932"/>
        <item m="1" x="973"/>
        <item m="1" x="877"/>
        <item m="1" x="6976"/>
        <item m="1" x="4287"/>
        <item m="1" x="5342"/>
        <item m="1" x="2604"/>
        <item m="1" x="5615"/>
        <item m="1" x="1725"/>
        <item m="1" x="6719"/>
        <item m="1" x="7269"/>
        <item m="1" x="1536"/>
        <item m="1" x="7271"/>
        <item m="1" x="5298"/>
        <item m="1" x="3872"/>
        <item m="1" x="6102"/>
        <item m="1" x="5397"/>
        <item m="1" x="800"/>
        <item m="1" x="7236"/>
        <item m="1" x="1310"/>
        <item m="1" x="2120"/>
        <item m="1" x="3883"/>
        <item m="1" x="1633"/>
        <item m="1" x="6032"/>
        <item m="1" x="4074"/>
        <item m="1" x="646"/>
        <item m="1" x="2350"/>
        <item m="1" x="6489"/>
        <item m="1" x="4941"/>
        <item m="1" x="2097"/>
        <item m="1" x="7304"/>
        <item m="1" x="4528"/>
        <item m="1" x="7085"/>
        <item m="1" x="2757"/>
        <item m="1" x="2515"/>
        <item m="1" x="7897"/>
        <item m="1" x="4368"/>
        <item m="1" x="7390"/>
        <item m="1" x="5045"/>
        <item m="1" x="3136"/>
        <item m="1" x="2385"/>
        <item m="1" x="926"/>
        <item m="1" x="5296"/>
        <item m="1" x="6247"/>
        <item m="1" x="2195"/>
        <item m="1" x="4740"/>
        <item m="1" x="1119"/>
        <item m="1" x="6702"/>
        <item m="1" x="4664"/>
        <item m="1" x="5373"/>
        <item m="1" x="739"/>
        <item m="1" x="2813"/>
        <item m="1" x="7799"/>
        <item m="1" x="1874"/>
        <item m="1" x="573"/>
        <item m="1" x="5462"/>
        <item m="1" x="6602"/>
        <item m="1" x="674"/>
        <item m="1" x="2562"/>
        <item m="1" x="5354"/>
        <item m="1" x="3910"/>
        <item m="1" x="6617"/>
        <item m="1" x="5376"/>
        <item m="1" x="1426"/>
        <item m="1" x="7268"/>
        <item m="1" x="7681"/>
        <item m="1" x="736"/>
        <item m="1" x="4251"/>
        <item m="1" x="4015"/>
        <item m="1" x="571"/>
        <item m="1" x="5098"/>
        <item m="1" x="5721"/>
        <item m="1" x="3133"/>
        <item m="1" x="6518"/>
        <item m="1" x="3188"/>
        <item m="1" x="6420"/>
        <item m="1" x="6219"/>
        <item m="1" x="7545"/>
        <item m="1" x="3707"/>
        <item m="1" x="950"/>
        <item m="1" x="6207"/>
        <item m="1" x="1986"/>
        <item m="1" x="3163"/>
        <item m="1" x="1185"/>
        <item m="1" x="2998"/>
        <item m="1" x="1258"/>
        <item m="1" x="5190"/>
        <item m="1" x="2383"/>
        <item m="1" x="7864"/>
        <item m="1" x="680"/>
        <item m="1" x="4493"/>
        <item m="1" x="240"/>
        <item m="1" x="4110"/>
        <item m="1" x="4225"/>
        <item m="1" x="5707"/>
        <item m="1" x="7722"/>
        <item m="1" x="563"/>
        <item m="1" x="1954"/>
        <item m="1" x="2422"/>
        <item m="1" x="2792"/>
        <item m="1" x="7069"/>
        <item m="1" x="1077"/>
        <item m="1" x="1635"/>
        <item m="1" x="4592"/>
        <item m="1" x="4077"/>
        <item m="1" x="1201"/>
        <item m="1" x="7829"/>
        <item m="1" x="5167"/>
        <item m="1" x="4771"/>
        <item m="1" x="1574"/>
        <item m="1" x="2002"/>
        <item m="1" x="5941"/>
        <item m="1" x="6741"/>
        <item m="1" x="5644"/>
        <item m="1" x="3407"/>
        <item m="1" x="3212"/>
        <item m="1" x="7518"/>
        <item m="1" x="1564"/>
        <item m="1" x="7308"/>
        <item m="1" x="6314"/>
        <item m="1" x="4112"/>
        <item m="1" x="6864"/>
        <item m="1" x="4364"/>
        <item m="1" x="5024"/>
        <item m="1" x="5544"/>
        <item m="1" x="3498"/>
        <item m="1" x="2542"/>
        <item m="1" x="852"/>
        <item m="1" x="5939"/>
        <item m="1" x="3433"/>
        <item m="1" x="2505"/>
        <item m="1" x="1186"/>
        <item m="1" x="1679"/>
        <item m="1" x="2351"/>
        <item m="1" x="1158"/>
        <item m="1" x="2105"/>
        <item m="1" x="2626"/>
        <item m="1" x="4026"/>
        <item m="1" x="6118"/>
        <item m="1" x="893"/>
        <item m="1" x="2891"/>
        <item m="1" x="6574"/>
        <item m="1" x="7945"/>
        <item m="1" x="4035"/>
        <item m="1" x="1383"/>
        <item m="1" x="4862"/>
        <item m="1" x="706"/>
        <item m="1" x="7146"/>
        <item m="1" x="4267"/>
        <item m="1" x="7900"/>
        <item m="1" x="6991"/>
        <item m="1" x="1575"/>
        <item m="1" x="1917"/>
        <item m="1" x="5862"/>
        <item m="1" x="6918"/>
        <item m="1" x="7574"/>
        <item m="1" x="1766"/>
        <item m="1" x="3655"/>
        <item m="1" x="421"/>
        <item m="1" x="4878"/>
        <item m="1" x="394"/>
        <item m="1" x="1012"/>
        <item m="1" x="767"/>
        <item m="1" x="2088"/>
        <item m="1" x="4216"/>
        <item m="1" x="5511"/>
        <item m="1" x="2630"/>
        <item m="1" x="1809"/>
        <item m="1" x="1390"/>
        <item m="1" x="4176"/>
        <item m="1" x="7209"/>
        <item m="1" x="7362"/>
        <item m="1" x="1106"/>
        <item m="1" x="3025"/>
        <item m="1" x="3824"/>
        <item m="1" x="7332"/>
        <item m="1" x="7493"/>
        <item m="1" x="6278"/>
        <item m="1" x="7070"/>
        <item m="1" x="3689"/>
        <item m="1" x="2634"/>
        <item m="1" x="3742"/>
        <item m="1" x="3952"/>
        <item m="1" x="922"/>
        <item m="1" x="6416"/>
        <item m="1" x="4790"/>
        <item m="1" x="4870"/>
        <item m="1" x="1758"/>
        <item m="1" x="2550"/>
        <item m="1" x="3694"/>
        <item m="1" x="4458"/>
        <item m="1" x="4604"/>
        <item m="1" x="7831"/>
        <item m="1" x="898"/>
        <item m="1" x="4451"/>
        <item m="1" x="2843"/>
        <item m="1" x="851"/>
        <item m="1" x="6446"/>
        <item m="1" x="5057"/>
        <item m="1" x="4008"/>
        <item m="1" x="3836"/>
        <item m="1" x="2796"/>
        <item m="1" x="4144"/>
        <item m="1" x="6049"/>
        <item m="1" x="7666"/>
        <item m="1" x="1416"/>
        <item m="1" x="2115"/>
        <item m="1" x="5041"/>
        <item m="1" x="6479"/>
        <item m="1" x="4037"/>
        <item m="1" x="1772"/>
        <item m="1" x="7272"/>
        <item m="1" x="514"/>
        <item m="1" x="5205"/>
        <item m="1" x="3028"/>
        <item m="1" x="2715"/>
        <item m="1" x="7274"/>
        <item m="1" x="7059"/>
        <item m="1" x="3084"/>
        <item m="1" x="6140"/>
        <item m="1" x="3316"/>
        <item m="1" x="5251"/>
        <item m="1" x="5578"/>
        <item m="1" x="4485"/>
        <item m="1" x="2985"/>
        <item m="1" x="2899"/>
        <item m="1" x="2289"/>
        <item m="1" x="1458"/>
        <item m="1" x="5361"/>
        <item m="1" x="6899"/>
        <item m="1" x="3592"/>
        <item m="1" x="7886"/>
        <item m="1" x="5900"/>
        <item m="1" x="6181"/>
        <item m="1" x="5779"/>
        <item m="1" x="2190"/>
        <item m="1" x="554"/>
        <item m="1" x="1346"/>
        <item m="1" x="5961"/>
        <item m="1" x="4902"/>
        <item m="1" x="796"/>
        <item m="1" x="4039"/>
        <item m="1" x="1660"/>
        <item m="1" x="6742"/>
        <item m="1" x="4900"/>
        <item m="1" x="5566"/>
        <item m="1" x="7944"/>
        <item m="1" x="7688"/>
        <item m="1" x="3790"/>
        <item m="1" x="2971"/>
        <item m="1" x="3002"/>
        <item m="1" x="7447"/>
        <item m="1" x="2285"/>
        <item m="1" x="4165"/>
        <item m="1" x="4933"/>
        <item m="1" x="7458"/>
        <item m="1" x="7355"/>
        <item m="1" x="6350"/>
        <item m="1" x="7394"/>
        <item m="1" x="4704"/>
        <item m="1" x="5038"/>
        <item m="1" x="839"/>
        <item m="1" x="2224"/>
        <item m="1" x="4827"/>
        <item m="1" x="1497"/>
        <item m="1" x="260"/>
        <item m="1" x="5198"/>
        <item m="1" x="4310"/>
        <item m="1" x="1104"/>
        <item m="1" x="2697"/>
        <item m="1" x="4648"/>
        <item m="1" x="7875"/>
        <item m="1" x="7432"/>
        <item m="1" x="5396"/>
        <item m="1" x="2614"/>
        <item m="1" x="1010"/>
        <item m="1" x="4958"/>
        <item m="1" x="4311"/>
        <item m="1" x="4843"/>
        <item m="1" x="3904"/>
        <item m="1" x="3037"/>
        <item m="1" x="790"/>
        <item m="1" x="5106"/>
        <item m="1" x="3999"/>
        <item m="1" x="1542"/>
        <item m="1" x="4055"/>
        <item m="1" x="5746"/>
        <item m="1" x="1072"/>
        <item m="1" x="4098"/>
        <item m="1" x="6865"/>
        <item m="1" x="1013"/>
        <item m="1" x="2331"/>
        <item m="1" x="7669"/>
        <item m="1" x="604"/>
        <item m="1" x="614"/>
        <item m="1" x="7020"/>
        <item m="1" x="4350"/>
        <item m="1" x="1681"/>
        <item m="1" x="3623"/>
        <item m="1" x="805"/>
        <item m="1" x="6859"/>
        <item m="1" x="1528"/>
        <item m="1" x="4713"/>
        <item m="1" x="3576"/>
        <item m="1" x="1756"/>
        <item m="1" x="970"/>
        <item m="1" x="1063"/>
        <item m="1" x="5698"/>
        <item m="1" x="5136"/>
        <item m="1" x="4636"/>
        <item m="1" x="6575"/>
        <item m="1" x="1734"/>
        <item m="1" x="426"/>
        <item m="1" x="6225"/>
        <item m="1" x="3283"/>
        <item m="1" x="2937"/>
        <item m="1" x="4574"/>
        <item m="1" x="3376"/>
        <item m="1" x="4899"/>
        <item m="1" x="4316"/>
        <item m="1" x="5757"/>
        <item m="1" x="2901"/>
        <item m="1" x="6680"/>
        <item m="1" x="4459"/>
        <item m="1" x="817"/>
        <item m="1" x="3659"/>
        <item m="1" x="3367"/>
        <item m="1" x="1656"/>
        <item m="1" x="1936"/>
        <item m="1" x="5530"/>
        <item m="1" x="4736"/>
        <item m="1" x="6603"/>
        <item m="1" x="3810"/>
        <item m="1" x="2368"/>
        <item m="1" x="1965"/>
        <item m="1" x="5094"/>
        <item m="1" x="1404"/>
        <item m="1" x="3165"/>
        <item m="1" x="5567"/>
        <item m="1" x="4718"/>
        <item m="1" x="3282"/>
        <item m="1" x="5385"/>
        <item m="1" x="6430"/>
        <item m="1" x="2435"/>
        <item m="1" x="4705"/>
        <item m="1" x="6321"/>
        <item m="1" x="6388"/>
        <item m="1" x="2782"/>
        <item m="1" x="813"/>
        <item m="1" x="5306"/>
        <item m="1" x="2338"/>
        <item m="1" x="4699"/>
        <item m="1" x="3981"/>
        <item m="1" x="7195"/>
        <item m="1" x="7682"/>
        <item m="1" x="2063"/>
        <item m="1" x="6700"/>
        <item m="1" x="2327"/>
        <item m="1" x="5838"/>
        <item m="1" x="2638"/>
        <item m="1" x="4757"/>
        <item m="1" x="2376"/>
        <item m="1" x="703"/>
        <item m="1" x="6660"/>
        <item m="1" x="758"/>
        <item m="1" x="4940"/>
        <item m="1" x="1242"/>
        <item m="1" x="3139"/>
        <item m="1" x="838"/>
        <item m="1" x="7792"/>
        <item m="1" x="2890"/>
        <item m="1" x="5351"/>
        <item m="1" x="7457"/>
        <item m="1" x="1224"/>
        <item m="1" x="2103"/>
        <item m="1" x="6581"/>
        <item m="1" x="3908"/>
        <item m="1" x="4837"/>
        <item m="1" x="7102"/>
        <item m="1" x="7532"/>
        <item m="1" x="4817"/>
        <item m="1" x="6791"/>
        <item m="1" x="4096"/>
        <item m="1" x="4244"/>
        <item m="1" x="7336"/>
        <item m="1" x="1811"/>
        <item m="1" x="4375"/>
        <item m="1" x="6968"/>
        <item m="1" x="7114"/>
        <item m="1" x="7735"/>
        <item m="1" x="4588"/>
        <item m="1" x="7854"/>
        <item m="1" x="5019"/>
        <item m="1" x="1486"/>
        <item m="1" x="2996"/>
        <item m="1" x="6722"/>
        <item m="1" x="2789"/>
        <item m="1" x="345"/>
        <item m="1" x="1197"/>
        <item m="1" x="5720"/>
        <item m="1" x="4046"/>
        <item m="1" x="2622"/>
        <item m="1" x="3052"/>
        <item m="1" x="5324"/>
        <item m="1" x="7282"/>
        <item m="1" x="1343"/>
        <item m="1" x="2326"/>
        <item m="1" x="3082"/>
        <item m="1" x="4626"/>
        <item m="1" x="3974"/>
        <item m="1" x="1241"/>
        <item m="1" x="6882"/>
        <item m="1" x="1294"/>
        <item m="1" x="6970"/>
        <item m="1" x="6077"/>
        <item m="1" x="6860"/>
        <item m="1" x="671"/>
        <item m="1" x="7066"/>
        <item m="1" x="2013"/>
        <item m="1" x="7273"/>
        <item m="1" x="1926"/>
        <item m="1" x="7450"/>
        <item m="1" x="1979"/>
        <item m="1" x="948"/>
        <item m="1" x="2443"/>
        <item m="1" x="727"/>
        <item m="1" x="4928"/>
        <item m="1" x="3140"/>
        <item m="1" x="3738"/>
        <item m="1" x="7087"/>
        <item m="1" x="5415"/>
        <item m="1" x="5469"/>
        <item m="1" x="5311"/>
        <item m="1" x="5492"/>
        <item m="1" x="7118"/>
        <item m="1" x="2761"/>
        <item m="1" x="5063"/>
        <item m="1" x="6749"/>
        <item m="1" x="3808"/>
        <item m="1" x="1823"/>
        <item m="1" x="4121"/>
        <item m="1" x="1061"/>
        <item m="1" x="7298"/>
        <item m="1" x="868"/>
        <item m="1" x="4094"/>
        <item m="1" x="2810"/>
        <item m="1" x="6696"/>
        <item m="1" x="2797"/>
        <item m="1" x="4840"/>
        <item m="1" x="1608"/>
        <item m="1" x="6498"/>
        <item m="1" x="2588"/>
        <item m="1" x="6517"/>
        <item m="1" x="518"/>
        <item m="1" x="2812"/>
        <item m="1" x="2021"/>
        <item m="1" x="3389"/>
        <item m="1" x="2102"/>
        <item m="1" x="6125"/>
        <item m="1" x="2400"/>
        <item m="1" x="5989"/>
        <item m="1" x="2857"/>
        <item m="1" x="7040"/>
        <item m="1" x="1721"/>
        <item m="1" x="7619"/>
        <item m="1" x="1319"/>
        <item m="1" x="1636"/>
        <item m="1" x="7460"/>
        <item m="1" x="1331"/>
        <item m="1" x="2911"/>
        <item m="1" x="7465"/>
        <item m="1" x="1448"/>
        <item m="1" x="5641"/>
        <item m="1" x="1385"/>
        <item m="1" x="2396"/>
        <item m="1" x="5187"/>
        <item m="1" x="7747"/>
        <item m="1" x="2239"/>
        <item m="1" x="3686"/>
        <item m="1" x="4643"/>
        <item m="1" x="1368"/>
        <item m="1" x="5158"/>
        <item m="1" x="471"/>
        <item m="1" x="7075"/>
        <item m="1" x="857"/>
        <item m="1" x="6910"/>
        <item m="1" x="2352"/>
        <item m="1" x="6325"/>
        <item m="1" x="3217"/>
        <item m="1" x="5149"/>
        <item m="1" x="2207"/>
        <item m="1" x="4911"/>
        <item m="1" x="5753"/>
        <item m="1" x="2883"/>
        <item m="1" x="3931"/>
        <item m="1" x="4516"/>
        <item m="1" x="7096"/>
        <item m="1" x="5999"/>
        <item m="1" x="2296"/>
        <item m="1" x="3483"/>
        <item m="1" x="2129"/>
        <item m="1" x="6507"/>
        <item m="1" x="4990"/>
        <item m="1" x="5225"/>
        <item m="1" x="1424"/>
        <item m="1" x="1196"/>
        <item m="1" x="3158"/>
        <item m="1" x="4359"/>
        <item m="1" x="5485"/>
        <item m="1" x="248"/>
        <item m="1" x="3261"/>
        <item m="1" x="4966"/>
        <item m="1" x="6231"/>
        <item m="1" x="2014"/>
        <item m="1" x="2061"/>
        <item m="1" x="2305"/>
        <item m="1" x="627"/>
        <item m="1" x="2685"/>
        <item m="1" x="2780"/>
        <item m="1" x="1655"/>
        <item m="1" x="5880"/>
        <item m="1" x="4972"/>
        <item m="1" x="1547"/>
        <item m="1" x="7902"/>
        <item m="1" x="6849"/>
        <item m="1" x="2876"/>
        <item m="1" x="505"/>
        <item m="1" x="1744"/>
        <item m="1" x="7012"/>
        <item m="1" x="7191"/>
        <item m="1" x="5748"/>
        <item m="1" x="2739"/>
        <item m="1" x="5540"/>
        <item m="1" x="5821"/>
        <item m="1" x="6704"/>
        <item m="1" x="607"/>
        <item m="1" x="2707"/>
        <item m="1" x="6159"/>
        <item m="1" x="3196"/>
        <item m="1" x="7127"/>
        <item m="1" x="3625"/>
        <item m="1" x="7279"/>
        <item m="1" x="4581"/>
        <item m="1" x="3663"/>
        <item m="1" x="7174"/>
        <item m="1" x="3733"/>
        <item m="1" x="5343"/>
        <item m="1" x="1996"/>
        <item m="1" x="5076"/>
        <item m="1" x="342"/>
        <item m="1" x="2571"/>
        <item m="1" x="7551"/>
        <item m="1" x="7929"/>
        <item m="1" x="2437"/>
        <item m="1" x="6275"/>
        <item m="1" x="1170"/>
        <item m="1" x="2251"/>
        <item m="1" x="990"/>
        <item m="1" x="2689"/>
        <item m="1" x="5138"/>
        <item m="1" x="968"/>
        <item m="1" x="1469"/>
        <item m="1" x="5883"/>
        <item m="1" x="5715"/>
        <item m="1" x="2837"/>
        <item m="1" x="6999"/>
        <item m="1" x="2185"/>
        <item m="1" x="2455"/>
        <item m="1" x="7889"/>
        <item m="1" x="1455"/>
        <item m="1" x="7176"/>
        <item m="1" x="1810"/>
        <item m="1" x="4620"/>
        <item m="1" x="3826"/>
        <item m="1" x="1245"/>
        <item m="1" x="5912"/>
        <item m="1" x="2983"/>
        <item m="1" x="3425"/>
        <item m="1" x="6738"/>
        <item m="1" x="4217"/>
        <item m="1" x="3173"/>
        <item m="1" x="4419"/>
        <item m="1" x="2039"/>
        <item m="1" x="6375"/>
        <item m="1" x="2557"/>
        <item m="1" x="5112"/>
        <item m="1" x="6453"/>
        <item m="1" x="2817"/>
        <item m="1" x="5810"/>
        <item m="1" x="6023"/>
        <item m="1" x="954"/>
        <item m="1" x="7822"/>
        <item m="1" x="1261"/>
        <item m="1" x="613"/>
        <item m="1" x="3343"/>
        <item m="1" x="6569"/>
        <item m="1" x="5050"/>
        <item m="1" x="976"/>
        <item m="1" x="1695"/>
        <item m="1" x="3416"/>
        <item m="1" x="687"/>
        <item m="1" x="1005"/>
        <item m="1" x="5902"/>
        <item m="1" x="5825"/>
        <item m="1" x="1461"/>
        <item m="1" x="5628"/>
        <item m="1" x="591"/>
        <item m="1" x="5172"/>
        <item m="1" x="6504"/>
        <item m="1" x="5416"/>
        <item m="1" x="5344"/>
        <item m="1" x="1066"/>
        <item m="1" x="5888"/>
        <item m="1" x="3980"/>
        <item m="1" x="991"/>
        <item m="1" x="255"/>
        <item m="1" x="5895"/>
        <item m="1" x="3356"/>
        <item m="1" x="1704"/>
        <item m="1" x="3791"/>
        <item m="1" x="2930"/>
        <item m="1" x="1950"/>
        <item m="1" x="6175"/>
        <item m="1" x="3419"/>
        <item m="1" x="6178"/>
        <item m="1" x="3543"/>
        <item m="1" x="792"/>
        <item m="1" x="6046"/>
        <item m="1" x="3153"/>
        <item m="1" x="4731"/>
        <item m="1" x="4667"/>
        <item m="1" x="2947"/>
        <item m="1" x="423"/>
        <item m="1" x="6057"/>
        <item m="1" x="5915"/>
        <item m="1" x="7496"/>
        <item m="1" x="5626"/>
        <item m="1" x="569"/>
        <item m="1" x="7507"/>
        <item m="1" x="2057"/>
        <item m="1" x="6723"/>
        <item m="1" x="524"/>
        <item m="1" x="510"/>
        <item m="1" x="1175"/>
        <item m="1" x="2619"/>
        <item m="1" x="2391"/>
        <item m="1" x="7456"/>
        <item m="1" x="4092"/>
        <item m="1" x="4097"/>
        <item m="1" x="6594"/>
        <item m="1" x="3463"/>
        <item m="1" x="2690"/>
        <item m="1" x="1982"/>
        <item m="1" x="4753"/>
        <item m="1" x="745"/>
        <item m="1" x="4883"/>
        <item m="1" x="1997"/>
        <item m="1" x="3628"/>
        <item m="1" x="2078"/>
        <item m="1" x="6846"/>
        <item m="1" x="6683"/>
        <item m="1" x="2979"/>
        <item m="1" x="1249"/>
        <item m="1" x="5937"/>
        <item m="1" x="4129"/>
        <item m="1" x="3848"/>
        <item m="1" x="373"/>
        <item m="1" x="7880"/>
        <item m="1" x="3513"/>
        <item m="1" x="6000"/>
        <item m="1" x="6997"/>
        <item m="1" x="5617"/>
        <item m="1" x="3559"/>
        <item m="1" x="5487"/>
        <item m="1" x="663"/>
        <item m="1" x="6547"/>
        <item m="1" x="2146"/>
        <item m="1" x="4690"/>
        <item m="1" x="2835"/>
        <item m="1" x="2353"/>
        <item m="1" x="1487"/>
        <item m="1" x="1586"/>
        <item m="1" x="7396"/>
        <item m="1" x="7299"/>
        <item m="1" x="1509"/>
        <item m="1" x="1956"/>
        <item m="1" x="1667"/>
        <item m="1" x="865"/>
        <item m="1" x="6169"/>
        <item m="1" x="328"/>
        <item m="1" x="952"/>
        <item m="1" x="1795"/>
        <item m="1" x="3444"/>
        <item m="1" x="6545"/>
        <item m="1" x="5197"/>
        <item m="1" x="1981"/>
        <item m="1" x="3180"/>
        <item m="1" x="2753"/>
        <item m="1" x="3975"/>
        <item m="1" x="1496"/>
        <item m="1" x="3378"/>
        <item m="1" x="7144"/>
        <item m="1" x="3684"/>
        <item m="1" x="6324"/>
        <item m="1" x="872"/>
        <item m="1" x="6310"/>
        <item m="1" x="4007"/>
        <item m="1" x="6059"/>
        <item m="1" x="6907"/>
        <item m="1" x="5224"/>
        <item m="1" x="1595"/>
        <item m="1" x="1877"/>
        <item m="1" x="7811"/>
        <item m="1" x="5042"/>
        <item m="1" x="5505"/>
        <item m="1" x="1332"/>
        <item m="1" x="600"/>
        <item m="1" x="1466"/>
        <item m="1" x="6979"/>
        <item m="1" x="3773"/>
        <item m="1" x="878"/>
        <item m="1" x="7796"/>
        <item m="1" x="3614"/>
        <item m="1" x="4824"/>
        <item m="1" x="7667"/>
        <item m="1" x="7408"/>
        <item m="1" x="6709"/>
        <item m="1" x="3603"/>
        <item m="1" x="760"/>
        <item m="1" x="5223"/>
        <item m="1" x="4259"/>
        <item m="1" x="5696"/>
        <item m="1" x="5292"/>
        <item m="1" x="6002"/>
        <item m="1" x="5820"/>
        <item m="1" x="2598"/>
        <item m="1" x="1278"/>
        <item m="1" x="3144"/>
        <item m="1" x="2720"/>
        <item m="1" x="438"/>
        <item m="1" x="4081"/>
        <item m="1" x="3956"/>
        <item m="1" x="4646"/>
        <item m="1" x="4328"/>
        <item m="1" x="6198"/>
        <item m="1" x="6937"/>
        <item m="1" x="4506"/>
        <item m="1" x="1094"/>
        <item m="1" x="5286"/>
        <item m="1" x="2497"/>
        <item m="1" x="3541"/>
        <item m="1" x="4582"/>
        <item m="1" x="3518"/>
        <item m="1" x="2216"/>
        <item m="1" x="3528"/>
        <item m="1" x="1537"/>
        <item m="1" x="1338"/>
        <item m="1" x="2278"/>
        <item m="1" x="7365"/>
        <item m="1" x="4064"/>
        <item m="1" x="1085"/>
        <item m="1" x="3106"/>
        <item m="1" x="5218"/>
        <item m="1" x="4823"/>
        <item m="1" x="656"/>
        <item m="1" x="6778"/>
        <item m="1" x="4821"/>
        <item m="1" x="1016"/>
        <item m="1" x="6536"/>
        <item m="1" x="3105"/>
        <item m="1" x="5988"/>
        <item m="1" x="2919"/>
        <item m="1" x="7482"/>
        <item m="1" x="3308"/>
        <item m="1" x="1556"/>
        <item m="1" x="4725"/>
        <item m="1" x="7341"/>
        <item m="1" x="6399"/>
        <item m="1" x="7400"/>
        <item m="1" x="1006"/>
        <item m="1" x="2198"/>
        <item m="1" x="2968"/>
        <item m="1" x="7468"/>
        <item m="1" x="4908"/>
        <item m="1" x="3674"/>
        <item m="1" x="7692"/>
        <item m="1" x="5463"/>
        <item m="1" x="2728"/>
        <item m="1" x="7801"/>
        <item m="1" x="515"/>
        <item m="1" x="4069"/>
        <item m="1" x="2260"/>
        <item m="1" x="3296"/>
        <item m="1" x="1360"/>
        <item m="1" x="4850"/>
        <item m="1" x="684"/>
        <item m="1" x="1568"/>
        <item m="1" x="1031"/>
        <item m="1" x="5240"/>
        <item m="1" x="6822"/>
        <item m="1" x="3583"/>
        <item m="1" x="6642"/>
        <item m="1" x="1781"/>
        <item m="1" x="6072"/>
        <item m="1" x="2330"/>
        <item m="1" x="3905"/>
        <item m="1" x="5284"/>
        <item m="1" x="7866"/>
        <item m="1" x="1785"/>
        <item m="1" x="2303"/>
        <item m="1" x="5996"/>
        <item m="1" x="6291"/>
        <item m="1" x="2856"/>
        <item m="1" x="403"/>
        <item m="1" x="3359"/>
        <item m="1" x="2679"/>
        <item m="1" x="2279"/>
        <item m="1" x="540"/>
        <item m="1" x="1587"/>
        <item m="1" x="7259"/>
        <item m="1" x="1041"/>
        <item m="1" x="4686"/>
        <item m="1" x="2478"/>
        <item m="1" x="6510"/>
        <item m="1" x="7846"/>
        <item m="1" x="7430"/>
        <item m="1" x="4729"/>
        <item m="1" x="4866"/>
        <item m="1" x="2428"/>
        <item m="1" x="3166"/>
        <item m="1" x="1008"/>
        <item m="1" x="5579"/>
        <item m="1" x="5799"/>
        <item m="1" x="3012"/>
        <item m="1" x="3406"/>
        <item m="1" x="4024"/>
        <item m="1" x="1796"/>
        <item m="1" x="3451"/>
        <item m="1" x="5411"/>
        <item m="1" x="608"/>
        <item m="1" x="6827"/>
        <item m="1" x="6777"/>
        <item m="1" x="2401"/>
        <item m="1" x="4491"/>
        <item m="1" x="1953"/>
        <item m="1" x="3113"/>
        <item m="1" x="4471"/>
        <item m="1" x="6481"/>
        <item m="1" x="1033"/>
        <item m="1" x="5174"/>
        <item m="1" x="1646"/>
        <item m="1" x="3809"/>
        <item m="1" x="1928"/>
        <item m="1" x="6409"/>
        <item m="1" x="888"/>
        <item m="1" x="7466"/>
        <item m="1" x="5114"/>
        <item m="1" x="3846"/>
        <item m="1" x="2324"/>
        <item m="1" x="2533"/>
        <item m="1" x="3428"/>
        <item m="1" x="1200"/>
        <item m="1" x="6015"/>
        <item m="1" x="5090"/>
        <item m="1" x="5901"/>
        <item m="1" x="1856"/>
        <item m="1" x="3962"/>
        <item m="1" x="5891"/>
        <item m="1" x="642"/>
        <item m="1" x="7953"/>
        <item m="1" x="806"/>
        <item m="1" x="5666"/>
        <item m="1" x="228"/>
        <item m="1" x="3502"/>
        <item m="1" x="1506"/>
        <item m="1" x="2062"/>
        <item m="1" x="4001"/>
        <item m="1" x="1861"/>
        <item m="1" x="2518"/>
        <item m="1" x="1844"/>
        <item m="1" x="5085"/>
        <item m="1" x="4341"/>
        <item m="1" x="1189"/>
        <item m="1" x="7198"/>
        <item m="1" x="3459"/>
        <item m="1" x="4510"/>
        <item m="1" x="2219"/>
        <item m="1" x="2255"/>
        <item m="1" x="7856"/>
        <item m="1" x="6828"/>
        <item m="1" x="6566"/>
        <item m="1" x="2051"/>
        <item m="1" x="6372"/>
        <item m="1" x="4158"/>
        <item m="1" x="7051"/>
        <item m="1" x="2109"/>
        <item m="1" x="716"/>
        <item m="1" x="2114"/>
        <item m="1" x="6128"/>
        <item m="1" x="846"/>
        <item m="1" x="2309"/>
        <item m="1" x="2599"/>
        <item m="1" x="1905"/>
        <item m="1" x="5845"/>
        <item m="1" x="3806"/>
        <item m="1" x="7348"/>
        <item m="1" x="263"/>
        <item m="1" x="7483"/>
        <item m="1" x="7697"/>
        <item m="1" x="4706"/>
        <item m="1" x="3756"/>
        <item m="1" x="7147"/>
        <item m="1" x="2845"/>
        <item m="1" x="504"/>
        <item m="1" x="657"/>
        <item m="1" x="3973"/>
        <item m="1" x="2449"/>
        <item m="1" x="5188"/>
        <item m="1" x="1353"/>
        <item m="1" x="4787"/>
        <item m="1" x="2887"/>
        <item m="1" x="7672"/>
        <item m="1" x="1277"/>
        <item m="1" x="7932"/>
        <item m="1" x="661"/>
        <item m="1" x="3549"/>
        <item m="1" x="5061"/>
        <item m="1" x="1582"/>
        <item m="1" x="7220"/>
        <item m="1" x="7086"/>
        <item m="1" x="5997"/>
        <item m="1" x="1825"/>
        <item m="1" x="3912"/>
        <item m="1" x="1192"/>
        <item m="1" x="4661"/>
        <item m="1" x="3408"/>
        <item m="1" x="1079"/>
        <item m="1" x="5078"/>
        <item m="1" x="6025"/>
        <item m="1" x="1313"/>
        <item m="1" x="7628"/>
        <item m="1" x="6286"/>
        <item m="1" x="7080"/>
        <item m="1" x="2579"/>
        <item m="1" x="1937"/>
        <item m="1" x="6134"/>
        <item m="1" x="7173"/>
        <item m="1" x="5636"/>
        <item m="1" x="2523"/>
        <item m="1" x="1839"/>
        <item m="1" x="1976"/>
        <item m="1" x="5474"/>
        <item m="1" x="7142"/>
        <item m="1" x="5222"/>
        <item m="1" x="5794"/>
        <item m="1" x="2610"/>
        <item m="1" x="4521"/>
        <item m="1" x="743"/>
        <item m="1" x="2858"/>
        <item m="1" x="3065"/>
        <item m="1" x="3313"/>
        <item m="1" x="4529"/>
        <item m="1" x="1467"/>
        <item m="1" x="6670"/>
        <item m="1" x="1767"/>
        <item m="1" x="3843"/>
        <item m="1" x="7226"/>
        <item m="1" x="7858"/>
        <item m="1" x="6619"/>
        <item m="1" x="7103"/>
        <item m="1" x="5665"/>
        <item m="1" x="3189"/>
        <item m="1" x="2388"/>
        <item m="1" x="3580"/>
        <item m="1" x="475"/>
        <item m="1" x="6703"/>
        <item m="1" x="5444"/>
        <item m="1" x="1493"/>
        <item m="1" x="6315"/>
        <item m="1" x="235"/>
        <item m="1" x="6883"/>
        <item m="1" x="4873"/>
        <item m="1" x="1535"/>
        <item m="1" x="2708"/>
        <item m="1" x="6352"/>
        <item m="1" x="4905"/>
        <item m="1" x="1020"/>
        <item m="1" x="4656"/>
        <item m="1" x="3861"/>
        <item m="1" x="4553"/>
        <item m="1" x="7406"/>
        <item m="1" x="808"/>
        <item m="1" x="5153"/>
        <item m="1" x="3447"/>
        <item m="1" x="5734"/>
        <item m="1" x="920"/>
        <item m="1" x="2643"/>
        <item m="1" x="3361"/>
        <item m="1" x="5960"/>
        <item m="1" x="355"/>
        <item m="1" x="7611"/>
        <item m="1" x="4072"/>
        <item m="1" x="3612"/>
        <item m="1" x="6836"/>
        <item m="1" x="3430"/>
        <item m="1" x="1163"/>
        <item m="1" x="1004"/>
        <item m="1" x="6858"/>
        <item m="1" x="6671"/>
        <item m="1" x="5772"/>
        <item m="1" x="5625"/>
        <item m="1" x="1603"/>
        <item m="1" x="6661"/>
        <item m="1" x="3759"/>
        <item m="1" x="3705"/>
        <item m="1" x="6635"/>
        <item m="1" x="5789"/>
        <item m="1" x="5829"/>
        <item m="1" x="6433"/>
        <item m="1" x="4291"/>
        <item m="1" x="6620"/>
        <item m="1" x="3918"/>
        <item m="1" x="7645"/>
        <item m="1" x="6543"/>
        <item m="1" x="4238"/>
        <item m="1" x="5835"/>
        <item m="1" x="5103"/>
        <item m="1" x="1288"/>
        <item m="1" x="6783"/>
        <item m="1" x="227"/>
        <item m="1" x="2003"/>
        <item m="1" x="3083"/>
        <item m="1" x="5827"/>
        <item m="1" x="7159"/>
        <item m="1" x="6872"/>
        <item m="1" x="2412"/>
        <item m="1" x="7407"/>
        <item m="1" x="4230"/>
        <item m="1" x="7905"/>
        <item m="1" x="5244"/>
        <item m="1" x="6564"/>
        <item m="1" x="3840"/>
        <item m="1" x="7091"/>
        <item m="1" x="3702"/>
        <item m="1" x="1670"/>
        <item m="1" x="2734"/>
        <item m="1" x="5422"/>
        <item m="1" x="6861"/>
        <item m="1" x="928"/>
        <item m="1" x="362"/>
        <item m="1" x="912"/>
        <item m="1" x="1757"/>
        <item m="1" x="6972"/>
        <item m="1" x="6784"/>
        <item m="1" x="3066"/>
        <item m="1" x="3579"/>
        <item m="1" x="4352"/>
        <item m="1" x="4331"/>
        <item m="1" x="4171"/>
        <item m="1" x="3484"/>
        <item m="1" x="7903"/>
        <item m="1" x="3373"/>
        <item m="1" x="2280"/>
        <item m="1" x="6190"/>
        <item m="1" x="7094"/>
        <item m="1" x="6994"/>
        <item m="1" x="4788"/>
        <item m="1" x="5412"/>
        <item m="1" x="4102"/>
        <item m="1" x="1893"/>
        <item m="1" x="2628"/>
        <item m="1" x="3250"/>
        <item m="1" x="1841"/>
        <item m="1" x="6528"/>
        <item m="1" x="2417"/>
        <item m="1" x="2567"/>
        <item m="1" x="2559"/>
        <item m="1" x="2691"/>
        <item m="1" x="2636"/>
        <item m="1" x="4645"/>
        <item m="1" x="1895"/>
        <item m="1" x="1139"/>
        <item m="1" x="1156"/>
        <item m="1" x="6618"/>
        <item m="1" x="2727"/>
        <item m="1" x="1299"/>
        <item m="1" x="463"/>
        <item m="1" x="2509"/>
        <item m="1" x="3581"/>
        <item m="1" x="4682"/>
        <item m="1" x="3896"/>
        <item m="1" x="6805"/>
        <item m="1" x="2609"/>
        <item m="1" x="811"/>
        <item m="1" x="3333"/>
        <item m="1" x="3387"/>
        <item m="1" x="1499"/>
        <item m="1" x="1420"/>
        <item m="1" x="1463"/>
        <item m="1" x="1974"/>
        <item m="1" x="3832"/>
        <item m="1" x="734"/>
        <item m="1" x="4047"/>
        <item m="1" x="2404"/>
        <item m="1" x="388"/>
        <item m="1" x="1666"/>
        <item m="1" x="2700"/>
        <item m="1" x="6945"/>
        <item m="1" x="6692"/>
        <item m="1" x="4021"/>
        <item m="1" x="3299"/>
        <item m="1" x="501"/>
        <item m="1" x="279"/>
        <item m="1" x="6781"/>
        <item m="1" x="3461"/>
        <item m="1" x="2359"/>
        <item m="1" x="1394"/>
        <item m="1" x="2122"/>
        <item m="1" x="6637"/>
        <item m="1" x="3000"/>
        <item m="1" x="1287"/>
        <item m="1" x="2006"/>
        <item m="1" x="2827"/>
        <item m="1" x="1836"/>
        <item m="1" x="4848"/>
        <item m="1" x="3838"/>
        <item m="1" x="6714"/>
        <item m="1" x="1672"/>
        <item m="1" x="4906"/>
        <item m="1" x="6717"/>
        <item m="1" x="5369"/>
        <item m="1" x="1764"/>
        <item m="1" x="2621"/>
        <item m="1" x="4501"/>
        <item m="1" x="2868"/>
        <item m="1" x="4758"/>
        <item m="1" x="5399"/>
        <item m="1" x="7479"/>
        <item m="1" x="1187"/>
        <item m="1" x="4304"/>
        <item m="1" x="774"/>
        <item m="1" x="1970"/>
        <item m="1" x="3819"/>
        <item m="1" x="6908"/>
        <item m="1" x="4829"/>
        <item m="1" x="4193"/>
        <item m="1" x="5427"/>
        <item m="1" x="4038"/>
        <item m="1" x="1943"/>
        <item m="1" x="4271"/>
        <item m="1" x="3249"/>
        <item m="1" x="5646"/>
        <item m="1" x="4481"/>
        <item m="1" x="4147"/>
        <item m="1" x="1276"/>
        <item m="1" x="2065"/>
        <item m="1" x="1026"/>
        <item m="1" x="439"/>
        <item m="1" x="3455"/>
        <item m="1" x="3164"/>
        <item m="1" x="901"/>
        <item m="1" x="4440"/>
        <item m="1" x="4211"/>
        <item m="1" x="4086"/>
        <item m="1" x="3478"/>
        <item m="1" x="7354"/>
        <item m="1" x="3006"/>
        <item m="1" x="6400"/>
        <item m="1" x="4513"/>
        <item m="1" x="5727"/>
        <item m="1" x="3009"/>
        <item m="1" x="3262"/>
        <item m="1" x="3688"/>
        <item m="1" x="7787"/>
        <item m="1" x="1801"/>
        <item m="1" x="2009"/>
        <item m="1" x="6468"/>
        <item m="1" x="2768"/>
        <item m="1" x="2472"/>
        <item m="1" x="777"/>
        <item m="1" x="5859"/>
        <item m="1" x="4461"/>
        <item m="1" x="543"/>
        <item m="1" x="3629"/>
        <item m="1" x="1847"/>
        <item m="1" x="6917"/>
        <item m="1" x="6227"/>
        <item m="1" x="3551"/>
        <item m="1" x="4674"/>
        <item m="1" x="4564"/>
        <item m="1" x="3415"/>
        <item m="1" x="2503"/>
        <item m="1" x="4954"/>
        <item m="1" x="869"/>
        <item m="1" x="2060"/>
        <item m="1" x="7840"/>
        <item m="1" x="3602"/>
        <item m="1" x="7434"/>
        <item m="1" x="2963"/>
        <item m="1" x="3944"/>
        <item m="1" x="945"/>
        <item m="1" x="6856"/>
        <item m="1" x="3729"/>
        <item m="1" x="6651"/>
        <item m="1" x="5697"/>
        <item m="1" x="6122"/>
        <item m="1" x="3176"/>
        <item m="1" x="458"/>
        <item m="1" x="3511"/>
        <item m="1" x="7791"/>
        <item m="1" x="1056"/>
        <item m="1" x="3385"/>
        <item m="1" x="6985"/>
        <item m="1" x="910"/>
        <item m="1" x="5455"/>
        <item m="1" x="364"/>
        <item m="1" x="3680"/>
        <item m="1" x="1964"/>
        <item m="1" x="1515"/>
        <item m="1" x="1808"/>
        <item m="1" x="3205"/>
        <item m="1" x="6798"/>
        <item m="1" x="3281"/>
        <item m="1" x="7414"/>
        <item m="1" x="6667"/>
        <item m="1" x="708"/>
        <item m="1" x="1492"/>
        <item m="1" x="2011"/>
        <item m="1" x="1132"/>
        <item m="1" x="1848"/>
        <item m="1" x="2580"/>
        <item m="1" x="2863"/>
        <item m="1" x="6132"/>
        <item m="1" x="246"/>
        <item m="1" x="5313"/>
        <item m="1" x="6753"/>
        <item m="1" x="541"/>
        <item m="1" x="5451"/>
        <item m="1" x="5651"/>
        <item m="1" x="6235"/>
        <item m="1" x="6802"/>
        <item m="1" x="417"/>
        <item m="1" x="3547"/>
        <item m="1" x="5879"/>
        <item m="1" x="3177"/>
        <item m="1" x="5127"/>
        <item m="1" x="6541"/>
        <item m="1" x="967"/>
        <item m="1" x="5329"/>
        <item m="1" x="1247"/>
        <item m="1" x="5982"/>
        <item m="1" x="951"/>
        <item m="1" x="837"/>
        <item m="1" x="1176"/>
        <item m="1" x="1121"/>
        <item m="1" x="2367"/>
        <item m="1" x="1301"/>
        <item m="1" x="3784"/>
        <item m="1" x="4285"/>
        <item m="1" x="7686"/>
        <item m="1" x="963"/>
        <item m="1" x="4920"/>
        <item m="1" x="2981"/>
        <item m="1" x="3795"/>
        <item m="1" x="6532"/>
        <item m="1" x="5852"/>
        <item m="1" x="5211"/>
        <item m="1" x="1518"/>
        <item m="1" x="2144"/>
        <item m="1" x="4571"/>
        <item m="1" x="6037"/>
        <item m="1" x="1048"/>
        <item m="1" x="4363"/>
        <item m="1" x="5368"/>
        <item m="1" x="2952"/>
        <item m="1" x="3297"/>
        <item m="1" x="5815"/>
        <item m="1" x="7874"/>
        <item m="1" x="5918"/>
        <item m="1" x="7436"/>
        <item m="1" x="5551"/>
        <item m="1" x="4084"/>
        <item m="1" x="3560"/>
        <item m="1" x="6553"/>
        <item m="1" x="4250"/>
        <item m="1" x="2714"/>
        <item m="1" x="1566"/>
        <item m="1" x="6293"/>
        <item m="1" x="7565"/>
        <item m="1" x="4887"/>
        <item m="1" x="6080"/>
        <item m="1" x="5082"/>
        <item m="1" x="636"/>
        <item m="1" x="6624"/>
        <item m="1" x="3443"/>
        <item m="1" x="5023"/>
        <item m="1" x="446"/>
        <item m="1" x="2976"/>
        <item m="1" x="5059"/>
        <item m="1" x="3951"/>
        <item m="1" x="1015"/>
        <item m="1" x="6404"/>
        <item m="1" x="1583"/>
        <item m="1" x="277"/>
        <item m="1" x="7557"/>
        <item m="1" x="1967"/>
        <item m="1" x="7419"/>
        <item m="1" x="6951"/>
        <item m="1" x="5067"/>
        <item m="1" x="3909"/>
        <item m="1" x="4998"/>
        <item m="1" x="7227"/>
        <item m="1" x="5007"/>
        <item m="1" x="4761"/>
        <item m="1" x="1993"/>
        <item m="1" x="3081"/>
        <item m="1" x="4070"/>
        <item m="1" x="545"/>
        <item m="1" x="1491"/>
        <item m="1" x="7852"/>
        <item m="1" x="4805"/>
        <item m="1" x="650"/>
        <item m="1" x="5667"/>
        <item m="1" x="2586"/>
        <item m="1" x="1529"/>
        <item m="1" x="1870"/>
        <item m="1" x="7019"/>
        <item m="1" x="4947"/>
        <item m="1" x="5378"/>
        <item m="1" x="7067"/>
        <item m="1" x="7674"/>
        <item m="1" x="7804"/>
        <item m="1" x="6512"/>
        <item m="1" x="2070"/>
        <item m="1" x="6174"/>
        <item m="1" x="824"/>
        <item m="1" x="4696"/>
        <item m="1" x="319"/>
        <item m="1" x="4139"/>
        <item m="1" x="5971"/>
        <item m="1" x="3845"/>
        <item m="1" x="3272"/>
        <item m="1" x="7552"/>
        <item m="1" x="5391"/>
        <item m="1" x="4118"/>
        <item m="1" x="6369"/>
        <item m="1" x="3241"/>
        <item m="1" x="732"/>
        <item m="1" x="966"/>
        <item m="1" x="2342"/>
        <item m="1" x="312"/>
        <item m="1" x="5527"/>
        <item m="1" x="2631"/>
        <item m="1" x="5294"/>
        <item m="1" x="5445"/>
        <item m="1" x="1919"/>
        <item m="1" x="2541"/>
        <item m="1" x="2568"/>
        <item m="1" x="6323"/>
        <item m="1" x="6767"/>
        <item m="1" x="7894"/>
        <item m="1" x="2743"/>
        <item m="1" x="3390"/>
        <item m="1" x="410"/>
        <item m="1" x="631"/>
        <item m="1" x="7258"/>
        <item m="1" x="2755"/>
        <item m="1" x="3542"/>
        <item m="1" x="7947"/>
        <item m="1" x="400"/>
        <item m="1" x="340"/>
        <item m="1" x="6957"/>
        <item m="1" x="4456"/>
        <item m="1" x="3054"/>
        <item m="1" x="4760"/>
        <item m="1" x="3964"/>
        <item m="1" x="3971"/>
        <item m="1" x="5315"/>
        <item m="1" x="4616"/>
        <item m="1" x="7523"/>
        <item m="1" x="1945"/>
        <item m="1" x="1270"/>
        <item m="1" x="7987"/>
        <item m="1" x="2020"/>
        <item m="1" x="5514"/>
        <item m="1" x="3208"/>
        <item m="1" x="7582"/>
        <item m="1" x="2210"/>
        <item m="1" x="6538"/>
        <item m="1" x="4489"/>
        <item m="1" x="7471"/>
        <item m="1" x="7322"/>
        <item m="1" x="5237"/>
        <item m="1" x="2101"/>
        <item m="1" x="334"/>
        <item m="1" x="5841"/>
        <item m="1" x="1051"/>
        <item m="1" x="7652"/>
        <item m="1" x="3749"/>
        <item m="1" x="4490"/>
        <item m="1" x="3413"/>
        <item m="1" x="2459"/>
        <item m="1" x="5603"/>
        <item m="1" x="566"/>
        <item m="1" x="7848"/>
        <item m="1" x="3068"/>
        <item m="1" x="5033"/>
        <item m="1" x="6938"/>
        <item m="1" x="538"/>
        <item m="1" x="7491"/>
        <item m="1" x="7381"/>
        <item m="1" x="6955"/>
        <item m="1" x="2499"/>
        <item m="1" x="352"/>
        <item m="1" x="4605"/>
        <item m="1" x="958"/>
        <item m="1" x="5776"/>
        <item m="1" x="1388"/>
        <item m="1" x="303"/>
        <item m="1" x="4520"/>
        <item m="1" x="5359"/>
        <item m="1" x="2378"/>
        <item m="1" x="7570"/>
        <item m="1" x="5003"/>
        <item m="1" x="5111"/>
        <item m="1" x="491"/>
        <item m="1" x="4146"/>
        <item m="1" x="853"/>
        <item m="1" x="595"/>
        <item m="1" x="4915"/>
        <item m="1" x="7487"/>
        <item m="1" x="2539"/>
        <item m="1" x="4956"/>
        <item m="1" x="733"/>
        <item m="1" x="3347"/>
        <item m="1" x="2841"/>
        <item m="1" x="1325"/>
        <item m="1" x="4300"/>
        <item m="1" x="6447"/>
        <item m="1" x="5733"/>
        <item m="1" x="4040"/>
        <item m="1" x="4372"/>
        <item m="1" x="4945"/>
        <item m="1" x="2552"/>
        <item m="1" x="5885"/>
        <item m="1" x="4361"/>
        <item m="1" x="7786"/>
        <item m="1" x="3911"/>
        <item m="1" x="7351"/>
        <item m="1" x="2823"/>
        <item m="1" x="881"/>
        <item m="1" x="782"/>
        <item m="1" x="5730"/>
        <item m="1" x="2874"/>
        <item m="1" x="4572"/>
        <item m="1" x="3719"/>
        <item m="1" x="6427"/>
        <item m="1" x="1629"/>
        <item m="1" x="6509"/>
        <item m="1" x="5747"/>
        <item m="1" x="3894"/>
        <item m="1" x="5183"/>
        <item m="1" x="6678"/>
        <item m="1" x="742"/>
        <item m="1" x="3867"/>
        <item m="1" x="4242"/>
        <item m="1" x="3514"/>
        <item m="1" x="3653"/>
        <item m="1" x="3098"/>
        <item m="1" x="5763"/>
        <item m="1" x="4875"/>
        <item m="1" x="418"/>
        <item m="1" x="3723"/>
        <item m="1" x="4596"/>
        <item m="1" x="7841"/>
        <item m="1" x="3955"/>
        <item m="1" x="931"/>
        <item m="1" x="4910"/>
        <item m="1" x="3213"/>
        <item m="1" x="7046"/>
        <item m="1" x="4600"/>
        <item m="1" x="6956"/>
        <item m="1" x="6195"/>
        <item m="1" x="1300"/>
        <item m="1" x="7476"/>
        <item m="1" x="6922"/>
        <item m="1" x="7948"/>
        <item m="1" x="531"/>
        <item m="1" x="6843"/>
        <item m="1" x="7517"/>
        <item m="1" x="1225"/>
        <item m="1" x="7435"/>
        <item m="1" x="2489"/>
        <item m="1" x="7836"/>
        <item m="1" x="1606"/>
        <item m="1" x="7798"/>
        <item m="1" x="2590"/>
        <item m="1" x="1250"/>
        <item m="1" x="3491"/>
        <item m="1" x="7911"/>
        <item m="1" x="6364"/>
        <item m="1" x="1604"/>
        <item m="1" x="3222"/>
        <item m="1" x="5124"/>
        <item m="1" x="953"/>
        <item m="1" x="1214"/>
        <item m="1" x="6786"/>
        <item m="1" x="4383"/>
        <item m="1" x="3285"/>
        <item m="1" x="6787"/>
        <item m="1" x="2520"/>
        <item m="1" x="5973"/>
        <item m="1" x="7428"/>
        <item m="1" x="4290"/>
        <item m="1" x="943"/>
        <item m="1" x="2095"/>
        <item m="1" x="1076"/>
        <item m="1" x="2696"/>
        <item m="1" x="4398"/>
        <item m="1" x="4642"/>
        <item m="1" x="5932"/>
        <item m="1" x="2050"/>
        <item m="1" x="849"/>
        <item m="1" x="3672"/>
        <item m="1" x="1610"/>
        <item m="1" x="2750"/>
        <item m="1" x="6708"/>
        <item m="1" x="7642"/>
        <item m="1" x="7353"/>
        <item m="1" x="1921"/>
        <item m="1" x="1804"/>
        <item m="1" x="5348"/>
        <item m="1" x="6414"/>
        <item m="1" x="1952"/>
        <item m="1" x="4111"/>
        <item m="1" x="3722"/>
        <item m="1" x="2141"/>
        <item m="1" x="4283"/>
        <item m="1" x="2889"/>
        <item m="1" x="1366"/>
        <item m="1" x="2180"/>
        <item m="1" x="5892"/>
        <item m="1" x="4985"/>
        <item m="1" x="3360"/>
        <item m="1" x="7751"/>
        <item m="1" x="509"/>
        <item m="1" x="1154"/>
        <item m="1" x="603"/>
        <item m="1" x="6497"/>
        <item m="1" x="587"/>
        <item m="1" x="5012"/>
        <item m="1" x="932"/>
        <item m="1" x="4381"/>
        <item m="1" x="1327"/>
        <item m="1" x="2656"/>
        <item m="1" x="3960"/>
        <item m="1" x="7614"/>
        <item m="1" x="1109"/>
        <item m="1" x="3947"/>
        <item m="1" x="5581"/>
        <item m="1" x="2563"/>
        <item m="1" x="2089"/>
        <item m="1" x="982"/>
        <item m="1" x="6044"/>
        <item m="1" x="1951"/>
        <item m="1" x="3259"/>
        <item m="1" x="5914"/>
        <item m="1" x="7360"/>
        <item m="1" x="1860"/>
        <item m="1" x="4879"/>
        <item m="1" x="2654"/>
        <item m="1" x="3892"/>
        <item m="1" x="3236"/>
        <item m="1" x="2543"/>
        <item m="1" x="2160"/>
        <item m="1" x="861"/>
        <item m="1" x="2957"/>
        <item m="1" x="4457"/>
        <item m="1" x="7215"/>
        <item m="1" x="4169"/>
        <item m="1" x="6677"/>
        <item m="1" x="5858"/>
        <item m="1" x="5985"/>
        <item m="1" x="3254"/>
        <item m="1" x="1596"/>
        <item m="1" x="3056"/>
        <item m="1" x="2765"/>
        <item m="1" x="5107"/>
        <item m="1" x="4437"/>
        <item m="1" x="2798"/>
        <item m="1" x="5539"/>
        <item m="1" x="7635"/>
        <item m="1" x="330"/>
        <item m="1" x="3940"/>
        <item m="1" x="4088"/>
        <item m="1" x="5077"/>
        <item m="1" x="5227"/>
        <item m="1" x="5568"/>
        <item m="1" x="6383"/>
        <item m="1" x="6240"/>
        <item m="1" x="1563"/>
        <item m="1" x="4505"/>
        <item m="1" x="2766"/>
        <item m="1" x="1645"/>
        <item m="1" x="6171"/>
        <item m="1" x="1122"/>
        <item m="1" x="5055"/>
        <item m="1" x="4178"/>
        <item m="1" x="4042"/>
        <item m="1" x="3150"/>
        <item m="1" x="3865"/>
        <item m="1" x="7939"/>
        <item m="1" x="2894"/>
        <item m="1" x="2465"/>
        <item m="1" x="793"/>
        <item m="1" x="5974"/>
        <item m="1" x="7815"/>
        <item m="1" x="1543"/>
        <item m="1" x="5180"/>
        <item m="1" x="1871"/>
        <item m="1" x="3172"/>
        <item m="1" x="3895"/>
        <item m="1" x="5452"/>
        <item m="1" x="7283"/>
        <item m="1" x="7233"/>
        <item m="1" x="7313"/>
        <item m="1" x="6419"/>
        <item m="1" x="5209"/>
        <item m="1" x="3462"/>
        <item m="1" x="7817"/>
        <item m="1" x="7026"/>
        <item m="1" x="605"/>
        <item m="1" x="7615"/>
        <item m="1" x="4068"/>
        <item m="1" x="6465"/>
        <item m="1" x="4187"/>
        <item m="1" x="409"/>
        <item m="1" x="3257"/>
        <item m="1" x="3772"/>
        <item m="1" x="2397"/>
        <item m="1" x="3925"/>
        <item m="1" x="6460"/>
        <item m="1" x="4301"/>
        <item m="1" x="5122"/>
        <item m="1" x="3566"/>
        <item m="1" x="287"/>
        <item m="1" x="6373"/>
        <item m="1" x="2500"/>
        <item m="1" x="4677"/>
        <item m="1" x="4980"/>
        <item m="1" x="2975"/>
        <item m="1" x="7777"/>
        <item m="1" x="776"/>
        <item m="1" x="4721"/>
        <item m="1" x="6152"/>
        <item m="1" x="3510"/>
        <item m="1" x="7469"/>
        <item m="1" x="5766"/>
        <item m="1" x="4807"/>
        <item m="1" x="5814"/>
        <item m="1" x="5433"/>
        <item m="1" x="7526"/>
        <item m="1" x="264"/>
        <item m="1" x="4767"/>
        <item m="1" x="2083"/>
        <item m="1" x="4140"/>
        <item m="1" x="4065"/>
        <item m="1" x="4716"/>
        <item m="1" x="4937"/>
        <item m="1" x="3618"/>
        <item m="1" x="1089"/>
        <item m="1" x="5618"/>
        <item m="1" x="1589"/>
        <item m="1" x="365"/>
        <item m="1" x="2348"/>
        <item m="1" x="1750"/>
        <item m="1" x="2483"/>
        <item m="1" x="7192"/>
        <item m="1" x="6312"/>
        <item m="1" x="1179"/>
        <item m="1" x="3232"/>
        <item m="1" x="3275"/>
        <item m="1" x="6540"/>
        <item m="1" x="4150"/>
        <item m="1" x="6969"/>
        <item m="1" x="4201"/>
        <item m="1" x="1029"/>
        <item m="1" x="7580"/>
        <item m="1" x="1024"/>
        <item m="1" x="3853"/>
        <item m="1" x="3122"/>
        <item m="1" x="1321"/>
        <item m="1" x="7124"/>
        <item m="1" x="7474"/>
        <item m="1" x="3913"/>
        <item m="1" x="4996"/>
        <item m="1" x="1057"/>
        <item m="1" x="6424"/>
        <item m="1" x="3774"/>
        <item m="1" x="7541"/>
        <item m="1" x="1202"/>
        <item m="1" x="6500"/>
        <item m="1" x="6425"/>
        <item m="1" x="4180"/>
        <item m="1" x="810"/>
        <item m="1" x="5695"/>
        <item m="1" x="4994"/>
        <item m="1" x="2466"/>
        <item m="1" x="7171"/>
        <item m="1" x="4143"/>
        <item m="1" x="5819"/>
        <item m="1" x="1971"/>
        <item m="1" x="7426"/>
        <item m="1" x="2431"/>
        <item m="1" x="4762"/>
        <item m="1" x="1446"/>
        <item m="1" x="5293"/>
        <item m="1" x="7937"/>
        <item m="1" x="1333"/>
        <item m="1" x="3171"/>
        <item m="1" x="3992"/>
        <item m="1" x="6730"/>
        <item m="1" x="3314"/>
        <item m="1" x="4218"/>
        <item m="1" x="1992"/>
        <item m="1" x="7015"/>
        <item m="1" x="6565"/>
        <item m="1" x="4871"/>
        <item m="1" x="5428"/>
        <item m="1" x="2814"/>
        <item m="1" x="226"/>
        <item m="1" x="5671"/>
        <item m="1" x="5303"/>
        <item m="1" x="5258"/>
        <item m="1" x="5377"/>
        <item m="1" x="625"/>
        <item m="1" x="7073"/>
        <item m="1" x="3643"/>
        <item m="1" x="7277"/>
        <item m="1" x="6919"/>
        <item m="1" x="3856"/>
        <item m="1" x="1052"/>
        <item m="1" x="7749"/>
        <item m="1" x="2047"/>
        <item m="1" x="2575"/>
        <item m="1" x="7425"/>
        <item m="1" x="890"/>
        <item m="1" x="1504"/>
        <item m="1" x="2247"/>
        <item m="1" x="1443"/>
        <item m="1" x="7989"/>
        <item m="1" x="3391"/>
        <item m="1" x="2601"/>
        <item m="1" x="3501"/>
        <item m="1" x="7973"/>
        <item m="1" x="799"/>
        <item m="1" x="7610"/>
        <item m="1" x="391"/>
        <item m="1" x="5768"/>
        <item m="1" x="6695"/>
        <item m="1" x="6748"/>
        <item m="1" x="4992"/>
        <item m="1" x="5800"/>
        <item m="1" x="5653"/>
        <item m="1" x="6470"/>
        <item m="1" x="3935"/>
        <item m="1" x="7218"/>
        <item m="1" x="6097"/>
        <item m="1" x="4708"/>
        <item m="1" x="4002"/>
        <item m="1" x="444"/>
        <item m="1" x="1580"/>
        <item m="1" x="7397"/>
        <item m="1" x="1698"/>
        <item m="1" x="1599"/>
        <item m="1" x="1827"/>
        <item m="1" x="5506"/>
        <item m="1" x="4798"/>
        <item m="1" x="7950"/>
        <item m="1" x="5515"/>
        <item m="1" x="6851"/>
        <item m="1" x="302"/>
        <item m="1" x="7644"/>
        <item m="1" x="3907"/>
        <item m="1" x="5242"/>
        <item m="1" x="5700"/>
        <item m="1" x="3074"/>
        <item m="1" x="6639"/>
        <item m="1" x="7814"/>
        <item m="1" x="5015"/>
        <item m="1" x="1585"/>
        <item m="1" x="6900"/>
        <item m="1" x="3715"/>
        <item m="1" x="2046"/>
        <item m="1" x="1131"/>
        <item m="1" x="4202"/>
        <item m="1" x="585"/>
        <item m="1" x="899"/>
        <item m="1" x="6161"/>
        <item m="1" x="5876"/>
        <item m="1" x="4365"/>
        <item m="1" x="1291"/>
        <item m="1" x="3801"/>
        <item m="1" x="4676"/>
        <item m="1" x="4197"/>
        <item m="1" x="5326"/>
        <item m="1" x="4782"/>
        <item m="1" x="1872"/>
        <item m="1" x="526"/>
        <item m="1" x="1494"/>
        <item m="1" x="4634"/>
        <item m="1" x="4312"/>
        <item m="1" x="6429"/>
        <item m="1" x="876"/>
        <item m="1" x="338"/>
        <item m="1" x="2956"/>
        <item m="1" x="2698"/>
        <item m="1" x="6233"/>
        <item m="1" x="2204"/>
        <item m="1" x="7311"/>
        <item m="1" x="6418"/>
        <item m="1" x="1406"/>
        <item m="1" x="442"/>
        <item m="1" x="6204"/>
        <item m="1" x="5861"/>
        <item m="1" x="4292"/>
        <item m="1" x="2248"/>
        <item m="1" x="1058"/>
        <item m="1" x="7056"/>
        <item m="1" x="4853"/>
        <item m="1" x="5952"/>
        <item m="1" x="1902"/>
        <item m="1" x="7166"/>
        <item m="1" x="2425"/>
        <item m="1" x="7380"/>
        <item m="1" x="4685"/>
        <item m="1" x="7345"/>
        <item m="1" x="5966"/>
        <item m="1" x="1259"/>
        <item m="1" x="3574"/>
        <item m="1" x="3665"/>
        <item m="1" x="4801"/>
        <item m="1" x="768"/>
        <item m="1" x="6904"/>
        <item m="1" x="5875"/>
        <item m="1" x="3372"/>
        <item m="1" x="1498"/>
        <item m="1" x="7810"/>
        <item m="1" x="7229"/>
        <item m="1" x="4433"/>
        <item m="1" x="300"/>
        <item m="1" x="7314"/>
        <item m="1" x="1820"/>
        <item m="1" x="6903"/>
        <item m="1" x="2751"/>
        <item m="1" x="2099"/>
        <item m="1" x="7130"/>
        <item m="1" x="655"/>
        <item m="1" x="5808"/>
        <item m="1" x="3401"/>
        <item m="1" x="2666"/>
        <item m="1" x="6192"/>
        <item m="1" x="350"/>
        <item m="1" x="2339"/>
        <item m="1" x="3341"/>
        <item m="1" x="2647"/>
        <item m="1" x="2234"/>
        <item m="1" x="5833"/>
        <item m="1" x="2849"/>
        <item m="1" x="1765"/>
        <item m="1" x="7560"/>
        <item m="1" x="7455"/>
        <item m="1" x="2490"/>
        <item m="1" x="2074"/>
        <item m="1" x="3771"/>
        <item m="1" x="3820"/>
        <item m="1" x="7062"/>
        <item m="1" x="6403"/>
        <item m="1" x="1110"/>
        <item m="1" x="3480"/>
        <item m="1" x="7300"/>
        <item m="1" x="5434"/>
        <item m="1" x="6874"/>
        <item m="1" x="1215"/>
        <item m="1" x="1337"/>
        <item m="1" x="2989"/>
        <item m="1" x="4254"/>
        <item m="1" x="3744"/>
        <item m="1" x="1909"/>
        <item m="1" x="7463"/>
        <item m="1" x="1924"/>
        <item m="1" x="4547"/>
        <item m="1" x="7281"/>
        <item m="1" x="1283"/>
        <item m="1" x="6182"/>
        <item m="1" x="1588"/>
        <item m="1" x="2398"/>
        <item m="1" x="4420"/>
        <item m="1" x="2377"/>
        <item m="1" x="5764"/>
        <item m="1" x="5919"/>
        <item m="1" x="2317"/>
        <item m="1" x="6930"/>
        <item m="1" x="1615"/>
        <item m="1" x="1097"/>
        <item m="1" x="772"/>
        <item m="1" x="7244"/>
        <item m="1" x="4606"/>
        <item m="1" x="4622"/>
        <item m="1" x="3073"/>
        <item m="1" x="5489"/>
        <item m="1" x="2961"/>
        <item m="1" x="1162"/>
        <item m="1" x="4404"/>
        <item m="1" x="1376"/>
        <item m="1" x="4321"/>
        <item m="1" x="375"/>
        <item m="1" x="5301"/>
        <item m="1" x="2366"/>
        <item m="1" x="311"/>
        <item m="1" x="7881"/>
        <item m="1" x="6439"/>
        <item m="1" x="7608"/>
        <item m="1" x="6276"/>
        <item m="1" x="7505"/>
        <item m="1" x="2067"/>
        <item m="1" x="1700"/>
        <item m="1" x="6129"/>
        <item m="1" x="1654"/>
        <item m="1" x="2648"/>
        <item m="1" x="5472"/>
        <item m="1" x="2748"/>
        <item m="1" x="5650"/>
        <item m="1" x="5874"/>
        <item m="1" x="1045"/>
        <item m="1" x="1946"/>
        <item m="1" x="6296"/>
        <item m="1" x="5571"/>
        <item m="1" x="1774"/>
        <item m="1" x="1594"/>
        <item m="1" x="5606"/>
        <item m="1" x="2319"/>
        <item m="1" x="472"/>
        <item m="1" x="6123"/>
        <item m="1" x="3916"/>
        <item m="1" x="7376"/>
        <item m="1" x="7439"/>
        <item m="1" x="6335"/>
        <item m="1" x="4759"/>
        <item m="1" x="1626"/>
        <item m="1" x="1784"/>
        <item m="1" x="5347"/>
        <item m="1" x="1342"/>
        <item m="1" x="1557"/>
        <item m="1" x="2637"/>
        <item m="1" x="3349"/>
        <item m="1" x="6941"/>
        <item m="1" x="2076"/>
        <item m="1" x="3919"/>
        <item m="1" x="2277"/>
        <item m="1" x="5321"/>
        <item m="1" x="6609"/>
        <item m="1" x="615"/>
        <item m="1" x="1296"/>
        <item m="1" x="3202"/>
        <item m="1" x="2942"/>
        <item m="1" x="6587"/>
        <item m="1" x="6105"/>
        <item m="1" x="4919"/>
        <item m="1" x="7041"/>
        <item m="1" x="2553"/>
        <item m="1" x="1991"/>
        <item m="1" x="3109"/>
        <item m="1" x="4733"/>
        <item m="1" x="6250"/>
        <item m="1" x="2475"/>
        <item m="1" x="7409"/>
        <item m="1" x="1481"/>
        <item m="1" x="1683"/>
        <item m="1" x="2308"/>
        <item m="1" x="6220"/>
        <item m="1" x="7853"/>
        <item m="1" x="1567"/>
        <item m="1" x="2642"/>
        <item m="1" x="6027"/>
        <item m="1" x="1100"/>
        <item m="1" x="6829"/>
        <item m="1" x="6186"/>
        <item m="1" x="1472"/>
        <item m="1" x="7663"/>
        <item m="1" x="5717"/>
        <item m="1" x="1286"/>
        <item m="1" x="4066"/>
        <item m="1" x="4786"/>
        <item m="1" x="6725"/>
        <item m="1" x="6890"/>
        <item m="1" x="443"/>
        <item m="1" x="1755"/>
        <item m="1" x="3609"/>
        <item m="1" x="1770"/>
        <item m="1" x="5964"/>
        <item m="1" x="6693"/>
        <item m="1" x="1549"/>
        <item m="1" x="5780"/>
        <item m="1" x="921"/>
        <item m="1" x="765"/>
        <item m="1" x="1238"/>
        <item m="1" x="7278"/>
        <item m="1" x="2405"/>
        <item m="1" x="542"/>
        <item m="1" x="5962"/>
        <item m="1" x="1957"/>
        <item m="1" x="6568"/>
        <item m="1" x="1510"/>
        <item m="1" x="318"/>
        <item m="1" x="4745"/>
        <item m="1" x="4573"/>
        <item m="1" x="3765"/>
        <item m="1" x="7132"/>
        <item m="1" x="2310"/>
        <item m="1" x="5884"/>
        <item m="1" x="7254"/>
        <item m="1" x="6891"/>
        <item m="1" x="1907"/>
        <item m="1" x="2526"/>
        <item m="1" x="1778"/>
        <item m="1" x="3485"/>
        <item m="1" x="1092"/>
        <item m="1" x="3517"/>
        <item m="1" x="751"/>
        <item m="1" x="360"/>
        <item m="1" x="2292"/>
        <item m="1" x="1173"/>
        <item m="1" x="6736"/>
        <item m="1" x="4799"/>
        <item m="1" x="2133"/>
        <item m="1" x="820"/>
        <item m="1" x="3620"/>
        <item m="1" x="5239"/>
        <item m="1" x="2016"/>
        <item m="1" x="1519"/>
        <item m="1" x="6823"/>
        <item m="1" x="6610"/>
        <item m="1" x="3329"/>
        <item m="1" x="1773"/>
        <item m="1" x="937"/>
        <item m="1" x="5806"/>
        <item m="1" x="4846"/>
        <item m="1" x="6101"/>
        <item m="1" x="2805"/>
        <item m="1" x="7137"/>
        <item m="1" x="2763"/>
        <item m="1" x="7949"/>
        <item m="1" x="4949"/>
        <item m="1" x="7148"/>
        <item m="1" x="7661"/>
        <item m="1" x="6367"/>
        <item m="1" x="6273"/>
        <item m="1" x="7338"/>
        <item m="1" x="7000"/>
        <item m="1" x="3242"/>
        <item m="1" x="1581"/>
        <item m="1" x="6655"/>
        <item m="1" x="1152"/>
        <item m="1" x="2332"/>
        <item m="1" x="6064"/>
        <item m="1" x="5056"/>
        <item m="1" x="284"/>
        <item m="1" x="7714"/>
        <item m="1" x="1962"/>
        <item m="1" x="2226"/>
        <item m="1" x="1302"/>
        <item m="1" x="7343"/>
        <item m="1" x="885"/>
        <item m="1" x="964"/>
        <item m="1" x="6698"/>
        <item m="1" x="1260"/>
        <item m="1" x="427"/>
        <item m="1" x="3186"/>
        <item m="1" x="7253"/>
        <item m="1" x="310"/>
        <item m="1" x="6349"/>
        <item m="1" x="3244"/>
        <item m="1" x="1726"/>
        <item m="1" x="6013"/>
        <item m="1" x="7485"/>
        <item m="1" x="3969"/>
        <item m="1" x="6356"/>
        <item m="1" x="3920"/>
        <item m="1" x="4649"/>
        <item m="1" x="6091"/>
        <item m="1" x="784"/>
        <item m="1" x="1178"/>
        <item m="1" x="1884"/>
        <item m="1" x="1414"/>
        <item m="1" x="2043"/>
        <item m="1" x="5640"/>
        <item m="1" x="1315"/>
        <item m="1" x="5959"/>
        <item m="1" x="7664"/>
        <item m="1" x="691"/>
        <item m="1" x="2161"/>
        <item m="1" x="2411"/>
        <item m="1" x="5598"/>
        <item m="1" x="916"/>
        <item m="1" x="3340"/>
        <item m="1" x="2927"/>
        <item m="1" x="6685"/>
        <item m="1" x="2646"/>
        <item m="1" x="4560"/>
        <item m="1" x="6788"/>
        <item m="1" x="4971"/>
        <item m="1" x="7920"/>
        <item m="1" x="4715"/>
        <item m="1" x="2501"/>
        <item m="1" x="5500"/>
        <item m="1" x="3891"/>
        <item m="1" x="4190"/>
        <item m="1" x="4299"/>
        <item m="1" x="7838"/>
        <item m="1" x="1745"/>
        <item m="1" x="3985"/>
        <item m="1" x="379"/>
        <item m="1" x="879"/>
        <item m="1" x="6009"/>
        <item m="1" x="2407"/>
        <item m="1" x="6623"/>
        <item m="1" x="5332"/>
        <item m="1" x="1578"/>
        <item m="1" x="4441"/>
        <item m="1" x="3979"/>
        <item m="1" x="6752"/>
        <item m="1" x="3993"/>
        <item m="1" x="5130"/>
        <item m="1" x="2464"/>
        <item m="1" x="2336"/>
        <item m="1" x="1320"/>
        <item m="1" x="320"/>
        <item m="1" x="1923"/>
        <item m="1" x="7564"/>
        <item m="1" x="3192"/>
        <item m="1" x="4425"/>
        <item m="1" x="5446"/>
        <item m="1" x="361"/>
        <item m="1" x="237"/>
        <item m="1" x="6154"/>
        <item m="1" x="4981"/>
        <item m="1" x="812"/>
        <item m="1" x="2759"/>
        <item m="1" x="711"/>
        <item m="1" x="5072"/>
        <item m="1" x="3077"/>
        <item m="1" x="3155"/>
        <item m="1" x="7001"/>
        <item m="1" x="4134"/>
        <item m="1" x="1845"/>
        <item m="1" x="5151"/>
        <item m="1" x="645"/>
        <item m="1" x="1789"/>
        <item m="1" x="5159"/>
        <item m="1" x="6881"/>
        <item m="1" x="6747"/>
        <item m="1" x="6893"/>
        <item m="1" x="590"/>
        <item m="1" x="1212"/>
        <item m="1" x="5108"/>
        <item m="1" x="3256"/>
        <item m="1" x="1217"/>
        <item m="1" x="1617"/>
        <item m="1" x="4373"/>
        <item m="1" x="2023"/>
        <item m="1" x="3226"/>
        <item m="1" x="4835"/>
        <item m="1" x="4257"/>
        <item m="1" x="7327"/>
        <item m="1" x="5622"/>
        <item m="1" x="2717"/>
        <item m="1" x="7812"/>
        <item m="1" x="3976"/>
        <item m="1" x="3080"/>
        <item m="1" x="2072"/>
        <item m="1" x="7556"/>
        <item m="1" x="2822"/>
        <item m="1" x="4443"/>
        <item m="1" x="4427"/>
        <item m="1" x="4542"/>
        <item m="1" x="3286"/>
        <item m="1" x="905"/>
        <item m="1" x="1513"/>
        <item m="1" x="7060"/>
        <item m="1" x="7700"/>
        <item m="1" x="624"/>
        <item m="1" x="2245"/>
        <item m="1" x="4231"/>
        <item m="1" x="6993"/>
        <item m="1" x="3724"/>
        <item m="1" x="6811"/>
        <item m="1" x="549"/>
        <item m="1" x="2166"/>
        <item m="1" x="6647"/>
        <item m="1" x="5920"/>
        <item m="1" x="7701"/>
        <item m="1" x="6522"/>
        <item m="1" x="2683"/>
        <item m="1" x="1111"/>
        <item m="1" x="5363"/>
        <item m="1" x="7005"/>
        <item m="1" x="6201"/>
        <item m="1" x="1834"/>
        <item m="1" x="2939"/>
        <item m="1" x="7459"/>
        <item m="1" x="5837"/>
        <item m="1" x="4245"/>
        <item m="1" x="3005"/>
        <item m="1" x="6950"/>
        <item m="1" x="7806"/>
        <item m="1" x="7117"/>
        <item m="1" x="6007"/>
        <item m="1" x="489"/>
        <item m="1" x="1265"/>
        <item m="1" x="6385"/>
        <item m="1" x="6554"/>
        <item m="1" x="6876"/>
        <item m="1" x="5778"/>
        <item m="1" x="3747"/>
        <item m="1" x="4342"/>
        <item m="1" x="348"/>
        <item m="1" x="2661"/>
        <item m="1" x="3076"/>
        <item m="1" x="1099"/>
        <item m="1" x="909"/>
        <item m="1" x="4851"/>
        <item m="1" x="6770"/>
        <item m="1" x="7715"/>
        <item m="1" x="4681"/>
        <item m="1" x="7438"/>
        <item m="1" x="6923"/>
        <item m="1" x="5599"/>
        <item m="1" x="1989"/>
        <item m="1" x="5924"/>
        <item m="1" x="5476"/>
        <item m="1" x="3468"/>
        <item m="1" x="7509"/>
        <item m="1" x="1389"/>
        <item m="1" x="1036"/>
        <item m="1" x="4608"/>
        <item m="1" x="4841"/>
        <item m="1" x="6668"/>
        <item m="1" x="3699"/>
        <item m="1" x="6467"/>
        <item m="1" x="5289"/>
        <item m="1" x="7200"/>
        <item m="1" x="3168"/>
        <item m="1" x="5048"/>
        <item m="1" x="5923"/>
        <item m="1" x="4478"/>
        <item m="1" x="1890"/>
        <item m="1" x="1141"/>
        <item m="1" x="2709"/>
        <item m="1" x="6726"/>
        <item m="1" x="1887"/>
        <item m="1" x="6407"/>
        <item m="1" x="1153"/>
        <item m="1" x="1715"/>
        <item m="1" x="7860"/>
        <item m="1" x="1289"/>
        <item m="1" x="2793"/>
        <item m="1" x="5156"/>
        <item m="1" x="6550"/>
        <item m="1" x="3206"/>
        <item m="1" x="2281"/>
        <item m="1" x="7342"/>
        <item m="1" x="6622"/>
        <item m="1" x="2205"/>
        <item m="1" x="5770"/>
        <item m="1" x="4968"/>
        <item m="1" x="2236"/>
        <item m="1" x="5729"/>
        <item m="1" x="3057"/>
        <item m="1" x="6649"/>
        <item m="1" x="2004"/>
        <item m="1" x="1314"/>
        <item m="1" x="1174"/>
        <item m="1" x="1733"/>
        <item m="1" x="290"/>
        <item m="1" x="370"/>
        <item m="1" x="7554"/>
        <item m="1" x="7186"/>
        <item m="1" x="4575"/>
        <item m="1" x="6601"/>
        <item m="1" x="6897"/>
        <item m="1" x="7162"/>
        <item m="1" x="325"/>
        <item m="1" x="1023"/>
        <item m="1" x="2487"/>
        <item m="1" x="7082"/>
        <item m="1" x="6265"/>
        <item m="1" x="5947"/>
        <item m="1" x="5431"/>
        <item m="1" x="4792"/>
        <item m="1" x="947"/>
        <item m="1" x="5287"/>
        <item m="1" x="5302"/>
        <item m="1" x="282"/>
        <item m="1" x="1534"/>
        <item m="1" x="5357"/>
        <item m="1" x="4344"/>
        <item m="1" x="283"/>
        <item m="1" x="4694"/>
        <item m="1" x="5842"/>
        <item m="1" x="386"/>
        <item m="1" x="5155"/>
        <item m="1" x="3198"/>
        <item m="1" x="5677"/>
        <item m="1" x="3887"/>
        <item m="1" x="3648"/>
        <item m="1" x="1372"/>
        <item m="1" x="1614"/>
        <item m="1" x="7684"/>
        <item m="1" x="3611"/>
        <item m="1" x="4473"/>
        <item m="1" x="6223"/>
        <item m="1" x="2997"/>
        <item m="1" x="519"/>
        <item m="1" x="5911"/>
        <item m="1" x="7316"/>
        <item m="1" x="4742"/>
        <item m="1" x="7617"/>
        <item m="1" x="3644"/>
        <item m="1" x="2125"/>
        <item m="1" x="4584"/>
        <item m="1" x="5664"/>
        <item m="1" x="6206"/>
        <item m="1" x="1002"/>
        <item m="1" x="6502"/>
        <item m="1" x="6978"/>
        <item m="1" x="4296"/>
        <item m="1" x="254"/>
        <item m="1" x="1762"/>
        <item m="1" x="3157"/>
        <item m="1" x="3927"/>
        <item m="1" x="4025"/>
        <item m="1" x="5409"/>
        <item m="1" x="7061"/>
        <item m="1" x="4426"/>
        <item m="1" x="5850"/>
        <item m="1" x="1918"/>
        <item m="1" x="7837"/>
        <item m="1" x="3100"/>
        <item m="1" x="1159"/>
        <item m="1" x="5681"/>
        <item m="1" x="3888"/>
        <item m="1" x="1161"/>
        <item m="1" x="4376"/>
        <item m="1" x="5178"/>
        <item m="1" x="2413"/>
        <item m="1" x="4880"/>
        <item m="1" x="6785"/>
        <item m="1" x="4833"/>
        <item m="1" x="2862"/>
        <item m="1" x="7537"/>
        <item m="1" x="3467"/>
        <item m="1" x="3816"/>
        <item m="1" x="2659"/>
        <item m="1" x="7994"/>
        <item m="1" x="5380"/>
        <item m="1" x="4472"/>
        <item m="1" x="5689"/>
        <item m="1" x="4639"/>
        <item m="1" x="3011"/>
        <item m="1" x="6390"/>
        <item m="1" x="4152"/>
        <item m="1" x="629"/>
        <item m="1" x="1124"/>
        <item m="1" x="1898"/>
        <item m="1" x="3934"/>
        <item m="1" x="3662"/>
        <item m="1" x="7588"/>
        <item m="1" x="3310"/>
        <item m="1" x="1864"/>
        <item m="1" x="6054"/>
        <item m="1" x="7946"/>
        <item m="1" x="6973"/>
        <item m="1" x="3481"/>
        <item m="1" x="4898"/>
        <item m="1" x="7842"/>
        <item m="1" x="3639"/>
        <item m="1" x="1539"/>
        <item m="1" x="2386"/>
        <item m="1" x="1155"/>
        <item m="1" x="3642"/>
        <item m="1" x="1865"/>
        <item m="1" x="5400"/>
        <item m="1" x="6306"/>
        <item m="1" x="6417"/>
        <item m="1" x="7984"/>
        <item m="1" x="7996"/>
        <item m="1" x="5965"/>
        <item m="1" x="5333"/>
        <item m="1" x="3159"/>
        <item m="1" x="2429"/>
        <item m="1" x="6653"/>
        <item m="1" x="7729"/>
        <item m="1" x="7986"/>
        <item m="1" x="4120"/>
        <item m="1" x="479"/>
        <item m="1" x="2528"/>
        <item m="1" x="3007"/>
        <item m="1" x="3691"/>
        <item m="1" x="2188"/>
        <item m="1" x="5388"/>
        <item m="1" x="4265"/>
        <item m="1" x="5660"/>
        <item m="1" x="7979"/>
        <item m="1" x="3990"/>
        <item m="1" x="2951"/>
        <item m="1" x="7202"/>
        <item m="1" x="955"/>
        <item m="1" x="3569"/>
        <item m="1" x="3595"/>
        <item m="1" x="3953"/>
        <item m="1" x="7074"/>
        <item m="1" x="7260"/>
        <item m="1" x="7968"/>
        <item m="1" x="2092"/>
        <item m="1" x="3382"/>
        <item m="1" x="2522"/>
        <item m="1" x="4869"/>
        <item m="1" x="5542"/>
        <item m="1" x="1944"/>
        <item m="1" x="3718"/>
        <item m="1" x="2675"/>
        <item m="1" x="7865"/>
        <item m="1" x="7196"/>
        <item m="1" x="6508"/>
        <item m="1" x="484"/>
        <item m="1" x="6259"/>
        <item m="1" x="1593"/>
        <item m="1" x="3396"/>
        <item m="1" x="7452"/>
        <item m="1" x="6611"/>
        <item m="1" x="7960"/>
        <item m="1" x="7521"/>
        <item m="1" x="5654"/>
        <item m="1" x="6145"/>
        <item m="1" x="4601"/>
        <item m="1" x="3654"/>
        <item m="1" x="2672"/>
        <item m="1" x="6089"/>
        <item m="1" x="7743"/>
        <item m="1" x="4839"/>
        <item m="1" x="4189"/>
        <item m="1" x="1609"/>
        <item m="1" x="3878"/>
        <item m="1" x="2071"/>
        <item m="1" x="3797"/>
        <item m="1" x="7369"/>
        <item m="1" x="1266"/>
        <item m="1" x="7955"/>
        <item m="1" x="7008"/>
        <item m="1" x="5847"/>
        <item m="1" x="5719"/>
        <item m="1" x="2138"/>
        <item m="1" x="1348"/>
        <item m="1" x="2154"/>
        <item m="1" x="1485"/>
        <item m="1" x="2848"/>
        <item m="1" x="3490"/>
        <item m="1" x="7914"/>
        <item m="1" x="3388"/>
        <item m="1" x="5202"/>
        <item m="1" x="3661"/>
        <item m="1" x="7346"/>
        <item m="1" x="6867"/>
        <item m="1" x="626"/>
        <item m="1" x="326"/>
        <item m="1" x="468"/>
        <item m="1" x="6078"/>
        <item m="1" x="4638"/>
        <item m="1" x="978"/>
        <item m="1" x="6966"/>
        <item m="1" x="564"/>
        <item m="1" x="3026"/>
        <item m="1" x="4995"/>
        <item m="1" x="2304"/>
        <item m="1" x="7997"/>
        <item m="1" x="815"/>
        <item m="1" x="3879"/>
        <item m="1" x="3917"/>
        <item m="1" x="2671"/>
        <item m="1" x="6478"/>
        <item m="1" x="3958"/>
        <item m="1" x="4203"/>
        <item m="1" x="6839"/>
        <item m="1" x="4624"/>
        <item m="1" x="7687"/>
        <item m="1" x="6520"/>
        <item m="1" x="3789"/>
        <item m="1" x="1140"/>
        <item m="1" x="2244"/>
        <item m="1" x="276"/>
        <item m="1" x="1087"/>
        <item m="1" x="7049"/>
        <item m="1" x="2106"/>
        <item m="1" x="3783"/>
        <item m="1" x="1480"/>
        <item m="1" x="4508"/>
        <item m="1" x="5836"/>
        <item m="1" x="6477"/>
        <item m="1" x="2182"/>
        <item m="1" x="6287"/>
        <item m="1" x="5669"/>
        <item m="1" x="6487"/>
        <item m="1" x="6299"/>
        <item m="1" x="3187"/>
        <item m="1" x="7481"/>
        <item m="1" x="7917"/>
        <item m="1" x="7169"/>
        <item m="1" x="6596"/>
        <item m="1" x="7290"/>
        <item m="1" x="7873"/>
        <item m="1" x="4240"/>
        <item m="1" x="7985"/>
        <item m="1" x="1123"/>
        <item m="1" x="2174"/>
        <item m="1" x="1169"/>
        <item m="1" x="4329"/>
        <item m="1" x="2934"/>
        <item m="1" x="2830"/>
        <item m="1" x="7594"/>
        <item m="1" x="896"/>
        <item m="1" x="1889"/>
        <item m="1" x="7045"/>
        <item m="1" x="7964"/>
        <item m="1" x="2159"/>
        <item m="1" x="5524"/>
        <item m="1" x="5467"/>
        <item m="1" x="3041"/>
        <item m="1" x="6136"/>
        <item m="1" x="5848"/>
        <item m="1" x="1876"/>
        <item m="1" x="1753"/>
        <item m="1" x="4385"/>
        <item m="1" x="1439"/>
        <item m="1" x="1361"/>
        <item m="1" x="1958"/>
        <item m="1" x="7927"/>
        <item m="1" x="1358"/>
        <item m="1" x="1512"/>
        <item m="1" x="6330"/>
        <item m="1" x="1938"/>
        <item m="1" x="3884"/>
        <item m="1" x="4539"/>
        <item m="1" x="7896"/>
        <item m="1" x="5000"/>
        <item m="1" x="1206"/>
        <item m="1" x="6267"/>
        <item m="1" x="6746"/>
        <item m="1" x="4707"/>
        <item m="1" x="5148"/>
        <item m="1" x="7980"/>
        <item m="1" x="4220"/>
        <item m="1" x="1545"/>
        <item m="1" x="5070"/>
        <item m="1" x="7977"/>
        <item m="1" x="1309"/>
        <item m="1" x="1652"/>
        <item m="1" x="305"/>
        <item m="1" x="4380"/>
        <item m="1" x="1354"/>
        <item m="1" x="4018"/>
        <item m="1" x="7370"/>
        <item m="1" x="7318"/>
        <item m="1" x="1226"/>
        <item m="1" x="4820"/>
        <item m="1" x="4415"/>
        <item m="1" x="3392"/>
        <item m="1" x="3412"/>
        <item m="1" x="1706"/>
        <item m="1" x="4566"/>
        <item m="1" x="1776"/>
        <item m="1" x="4163"/>
        <item m="1" x="3720"/>
        <item m="1" x="499"/>
        <item m="1" x="7287"/>
        <item m="1" x="5910"/>
        <item m="1" x="4384"/>
        <item m="1" x="3871"/>
        <item m="1" x="6408"/>
        <item m="1" x="1352"/>
        <item m="1" x="3429"/>
        <item m="1" x="1737"/>
        <item m="1" x="4836"/>
        <item m="1" x="7489"/>
        <item m="1" x="659"/>
        <item m="1" x="7966"/>
        <item m="1" x="5097"/>
        <item m="1" x="1149"/>
        <item m="1" x="2860"/>
        <item m="1" x="2229"/>
        <item m="1" x="7382"/>
        <item m="1" x="3828"/>
        <item m="1" x="7998"/>
        <item m="1" x="3291"/>
        <item m="1" x="7887"/>
        <item m="1" x="451"/>
        <item m="1" x="5851"/>
        <item m="1" x="7834"/>
        <item m="1" x="5220"/>
        <item m="1" x="1577"/>
        <item m="1" x="1548"/>
        <item m="1" x="3240"/>
        <item m="1" x="6561"/>
        <item m="1" x="5751"/>
        <item m="1" x="7623"/>
        <item m="1" x="2799"/>
        <item m="1" x="7071"/>
        <item m="1" x="3716"/>
        <item m="1" x="3567"/>
        <item m="1" x="3032"/>
        <item m="1" x="1511"/>
        <item m="1" x="2729"/>
        <item m="1" x="4698"/>
        <item m="1" x="7981"/>
        <item m="1" x="989"/>
        <item m="1" x="4362"/>
        <item m="1" x="2627"/>
        <item m="1" x="7462"/>
        <item m="1" x="2019"/>
        <item m="1" x="4162"/>
        <item m="1" x="927"/>
        <item m="1" x="5647"/>
        <item m="1" x="1030"/>
        <item m="1" x="3950"/>
        <item m="1" x="7982"/>
        <item m="1" x="1271"/>
        <item m="1" x="5839"/>
        <item m="1" x="2139"/>
        <item m="1" x="1571"/>
        <item m="1" x="5403"/>
        <item m="1" x="2574"/>
        <item m="1" x="780"/>
        <item m="1" x="2086"/>
        <item m="1" x="2119"/>
        <item m="1" x="4519"/>
        <item m="1" x="6188"/>
        <item m="1" x="6471"/>
        <item m="1" x="7217"/>
        <item m="1" x="3175"/>
        <item m="1" x="6790"/>
        <item m="1" x="1117"/>
        <item m="1" x="2549"/>
        <item m="1" x="2290"/>
        <item m="1" x="6492"/>
        <item m="1" x="7971"/>
        <item m="1" x="5756"/>
        <item m="1" x="2924"/>
        <item m="1" x="5213"/>
        <item m="1" x="4578"/>
        <item m="1" x="3169"/>
        <item m="1" x="7991"/>
        <item m="1" x="6033"/>
        <item m="1" x="4781"/>
        <item m="1" x="2363"/>
        <item m="1" x="4697"/>
        <item m="1" x="1125"/>
        <item m="1" x="6854"/>
        <item m="1" x="7043"/>
        <item m="1" x="4236"/>
        <item m="1" x="3546"/>
        <item m="1" x="7361"/>
        <item m="1" x="2565"/>
        <item m="1" x="7988"/>
        <item m="1" x="7962"/>
        <item m="1" x="5497"/>
        <item m="1" x="2990"/>
        <item m="1" x="5788"/>
        <item m="1" x="5741"/>
        <item m="1" x="4852"/>
        <item m="1" x="3525"/>
        <item m="1" x="4000"/>
        <item m="1" x="1693"/>
        <item m="1" x="610"/>
        <item m="1" x="6062"/>
        <item m="1" x="238"/>
        <item m="1" x="3545"/>
        <item m="1" x="6386"/>
        <item m="1" x="3984"/>
        <item m="1" x="7111"/>
        <item m="1" x="1165"/>
        <item m="1" x="6688"/>
        <item m="1" x="2886"/>
        <item m="1" x="2300"/>
        <item m="1" x="6163"/>
        <item m="1" x="7990"/>
        <item m="1" x="7392"/>
        <item m="1" x="7935"/>
        <item m="1" x="6006"/>
        <item m="1" x="7475"/>
        <item m="1" x="6586"/>
        <item m="1" x="7717"/>
        <item m="1" x="2155"/>
        <item m="1" x="4693"/>
        <item m="1" x="6115"/>
        <item m="1" x="5590"/>
        <item m="1" x="3218"/>
        <item m="1" x="3017"/>
        <item m="1" x="4056"/>
        <item m="1" x="1090"/>
        <item m="1" x="1787"/>
        <item m="1" x="611"/>
        <item m="1" x="7922"/>
        <item m="1" x="4022"/>
        <item m="1" x="2670"/>
        <item m="1" x="1091"/>
        <item m="1" x="5034"/>
        <item m="1" x="5221"/>
        <item m="1" x="5682"/>
        <item m="1" x="7959"/>
        <item m="1" x="5613"/>
        <item m="1" x="7970"/>
        <item m="1" x="425"/>
        <item m="1" x="7983"/>
        <item m="1" x="3116"/>
        <item m="1" x="7995"/>
        <item m="1" x="1182"/>
        <item m="1" x="5679"/>
        <item m="1" x="7975"/>
        <item m="1" x="2181"/>
        <item m="1" x="5878"/>
        <item m="1" x="7358"/>
        <item m="1" x="6756"/>
        <item m="1" x="7473"/>
        <item m="1" x="2165"/>
        <item m="1" x="749"/>
        <item m="1" x="1555"/>
        <item m="1" x="5817"/>
        <item m="1" x="7097"/>
        <item m="1" x="1913"/>
        <item m="1" x="3758"/>
        <item m="1" x="7969"/>
        <item m="1" x="2548"/>
        <item m="1" x="7978"/>
        <item m="1" x="1098"/>
        <item m="1" x="3456"/>
        <item m="1" x="5235"/>
        <item m="1" x="685"/>
        <item m="1" x="803"/>
        <item m="1" x="4167"/>
        <item m="1" x="2409"/>
        <item m="1" x="525"/>
        <item m="1" x="4282"/>
        <item m="1" x="7965"/>
        <item m="1" x="2399"/>
        <item m="1" x="709"/>
        <item m="1" x="4938"/>
        <item m="1" x="7276"/>
        <item m="1" x="2564"/>
        <item m="1" x="6817"/>
        <item m="1" x="4531"/>
        <item m="1" x="3311"/>
        <item m="1" x="7992"/>
        <item m="1" x="4889"/>
        <item m="1" x="819"/>
        <item m="1" x="1650"/>
        <item m="1" x="7999"/>
        <item m="1" x="5594"/>
        <item m="1" x="4028"/>
        <item m="1" x="5528"/>
        <item m="1" x="6473"/>
        <item m="1" x="6092"/>
        <item m="1" x="3743"/>
        <item m="1" x="7993"/>
        <item m="1" x="5486"/>
        <item m="1" x="3647"/>
        <item m="1" x="7448"/>
        <item m="1" x="5525"/>
        <item m="1" x="4030"/>
        <item m="1" x="5157"/>
        <item m="1" x="6148"/>
        <item m="1" x="7907"/>
        <item m="1" x="1814"/>
        <item m="1" x="7242"/>
        <item m="1" x="7441"/>
        <item m="1" x="3640"/>
        <item m="1" x="4033"/>
        <item m="1" x="3563"/>
        <item m="1" x="5040"/>
        <item m="1" x="47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4">
    <field x="13"/>
    <field x="14"/>
    <field x="6"/>
    <field x="15"/>
  </rowFields>
  <rowItems count="74">
    <i>
      <x v="9"/>
    </i>
    <i r="1">
      <x v="479"/>
    </i>
    <i r="1">
      <x v="476"/>
    </i>
    <i r="1">
      <x v="428"/>
    </i>
    <i r="1">
      <x v="475"/>
    </i>
    <i r="1">
      <x v="778"/>
    </i>
    <i r="1">
      <x v="477"/>
    </i>
    <i r="1">
      <x v="417"/>
    </i>
    <i r="1">
      <x v="837"/>
    </i>
    <i r="1">
      <x v="779"/>
    </i>
    <i r="1">
      <x v="768"/>
    </i>
    <i r="1">
      <x v="1105"/>
    </i>
    <i r="1">
      <x/>
    </i>
    <i r="1">
      <x v="1003"/>
    </i>
    <i r="1">
      <x v="275"/>
    </i>
    <i r="1">
      <x v="927"/>
    </i>
    <i r="1">
      <x v="1012"/>
    </i>
    <i r="1">
      <x v="490"/>
    </i>
    <i r="1">
      <x v="1041"/>
    </i>
    <i r="1">
      <x v="1119"/>
    </i>
    <i r="1">
      <x v="991"/>
    </i>
    <i r="1">
      <x v="1069"/>
    </i>
    <i r="1">
      <x v="547"/>
    </i>
    <i r="1">
      <x v="600"/>
    </i>
    <i r="1">
      <x v="271"/>
    </i>
    <i r="1">
      <x v="70"/>
    </i>
    <i r="1">
      <x v="602"/>
    </i>
    <i r="1">
      <x v="1106"/>
    </i>
    <i r="1">
      <x v="273"/>
    </i>
    <i r="1">
      <x v="562"/>
    </i>
    <i r="1">
      <x v="945"/>
    </i>
    <i r="1">
      <x v="419"/>
    </i>
    <i r="1">
      <x v="10"/>
    </i>
    <i r="1">
      <x v="571"/>
    </i>
    <i r="1">
      <x v="418"/>
    </i>
    <i r="1">
      <x v="1070"/>
    </i>
    <i r="1">
      <x v="947"/>
    </i>
    <i r="1">
      <x v="415"/>
    </i>
    <i r="1">
      <x v="750"/>
    </i>
    <i r="1">
      <x v="1095"/>
    </i>
    <i r="1">
      <x v="1068"/>
    </i>
    <i r="1">
      <x v="732"/>
    </i>
    <i r="1">
      <x v="586"/>
    </i>
    <i r="1">
      <x v="1094"/>
    </i>
    <i r="1">
      <x v="1013"/>
    </i>
    <i r="1">
      <x v="414"/>
    </i>
    <i r="1">
      <x v="216"/>
    </i>
    <i r="1">
      <x v="41"/>
    </i>
    <i r="1">
      <x v="966"/>
    </i>
    <i r="1">
      <x v="217"/>
    </i>
    <i r="1">
      <x v="980"/>
    </i>
    <i r="1">
      <x v="948"/>
    </i>
    <i r="1">
      <x v="268"/>
    </i>
    <i r="1">
      <x v="639"/>
    </i>
    <i r="1">
      <x v="215"/>
    </i>
    <i r="1">
      <x v="1002"/>
    </i>
    <i r="1">
      <x v="820"/>
    </i>
    <i r="1">
      <x v="946"/>
    </i>
    <i r="1">
      <x v="866"/>
    </i>
    <i r="1">
      <x v="224"/>
    </i>
    <i r="1">
      <x v="905"/>
    </i>
    <i r="1">
      <x v="1004"/>
    </i>
    <i r="1">
      <x v="601"/>
    </i>
    <i r="1">
      <x v="1005"/>
    </i>
    <i>
      <x v="3"/>
    </i>
    <i>
      <x v="4"/>
    </i>
    <i>
      <x/>
    </i>
    <i>
      <x v="2"/>
    </i>
    <i>
      <x v="5"/>
    </i>
    <i>
      <x v="8"/>
    </i>
    <i>
      <x v="6"/>
    </i>
    <i>
      <x v="7"/>
    </i>
    <i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.  Sales _x000a_2023 " fld="10" baseField="4" baseItem="7" numFmtId="169"/>
    <dataField name="C. Sales _x000a_2022 " fld="9" baseField="4" baseItem="7" numFmtId="169"/>
    <dataField name="C. Sales Δ _x000a_23 vs 22" fld="16" baseField="0" baseItem="0" numFmtId="42"/>
    <dataField name="C. Sales % _x000a_Δ 23 vs 22" fld="17" baseField="0" baseItem="0" numFmtId="165"/>
    <dataField name="YD² _x000a_2023   " fld="12" baseField="13" baseItem="117" numFmtId="3"/>
    <dataField name="YD² _x000a_2022  " fld="11" baseField="13" baseItem="117" numFmtId="3"/>
    <dataField name="Yd² Δ _x000a_23 vs 22" fld="18" baseField="0" baseItem="0" numFmtId="3"/>
    <dataField name="Yd² % Δ _x000a_23 vs 22" fld="19" baseField="0" baseItem="0" numFmtId="165"/>
  </dataFields>
  <formats count="9">
    <format dxfId="10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95">
      <pivotArea dataOnly="0" outline="0" fieldPosition="0">
        <references count="1">
          <reference field="4294967294" count="1">
            <x v="4"/>
          </reference>
        </references>
      </pivotArea>
    </format>
    <format dxfId="94">
      <pivotArea dataOnly="0" outline="0" fieldPosition="0">
        <references count="1">
          <reference field="4294967294" count="1">
            <x v="7"/>
          </reference>
        </references>
      </pivotArea>
    </format>
    <format dxfId="93">
      <pivotArea field="13" type="button" dataOnly="0" labelOnly="1" outline="0" axis="axisRow" fieldPosition="0"/>
    </format>
  </formats>
  <conditionalFormats count="4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3" type="captionNotEqual" evalOrder="-1" id="2" stringValue1="(blank)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7736B-F73B-4264-B912-D830B100DBA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Ship To  -  Product Type  -  Material">
  <location ref="A1:I424" firstHeaderRow="0" firstDataRow="1" firstDataCol="1"/>
  <pivotFields count="20">
    <pivotField showAll="0"/>
    <pivotField showAll="0"/>
    <pivotField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efaultSubtotal="0"/>
    <pivotField showAll="0" defaultSubtotal="0"/>
    <pivotField axis="axisRow" showAll="0" sortType="descending">
      <items count="115">
        <item sd="0" m="1" x="91"/>
        <item sd="0" x="56"/>
        <item sd="0" x="21"/>
        <item sd="0" x="0"/>
        <item sd="0" x="15"/>
        <item sd="0" x="60"/>
        <item sd="0" x="11"/>
        <item sd="0" x="12"/>
        <item sd="0" x="24"/>
        <item sd="0" x="37"/>
        <item sd="0" m="1" x="69"/>
        <item sd="0" x="14"/>
        <item sd="0" x="20"/>
        <item sd="0" x="8"/>
        <item sd="0" x="33"/>
        <item sd="0" m="1" x="68"/>
        <item sd="0" x="3"/>
        <item sd="0" x="2"/>
        <item sd="0" x="34"/>
        <item sd="0" x="6"/>
        <item sd="0" x="5"/>
        <item sd="0" x="19"/>
        <item sd="0" x="46"/>
        <item sd="0" x="22"/>
        <item sd="0" x="62"/>
        <item sd="0" x="9"/>
        <item sd="0" x="40"/>
        <item sd="0" x="52"/>
        <item sd="0" x="45"/>
        <item sd="0" m="1" x="101"/>
        <item sd="0" x="1"/>
        <item sd="0" m="1" x="74"/>
        <item sd="0" x="31"/>
        <item sd="0" x="25"/>
        <item sd="0" m="1" x="87"/>
        <item sd="0" m="1" x="89"/>
        <item sd="0" x="38"/>
        <item sd="0" x="16"/>
        <item sd="0" x="30"/>
        <item sd="0" m="1" x="92"/>
        <item sd="0" m="1" x="96"/>
        <item sd="0" x="36"/>
        <item sd="0" x="4"/>
        <item sd="0" x="23"/>
        <item sd="0" x="29"/>
        <item sd="0" m="1" x="106"/>
        <item sd="0" x="57"/>
        <item sd="0" x="67"/>
        <item sd="0" m="1" x="80"/>
        <item sd="0" x="63"/>
        <item sd="0" m="1" x="72"/>
        <item sd="0" m="1" x="94"/>
        <item sd="0" m="1" x="79"/>
        <item sd="0" m="1" x="112"/>
        <item sd="0" x="7"/>
        <item sd="0" x="17"/>
        <item sd="0" m="1" x="99"/>
        <item sd="0" x="18"/>
        <item sd="0" x="10"/>
        <item sd="0" m="1" x="73"/>
        <item sd="0" x="35"/>
        <item sd="0" m="1" x="95"/>
        <item sd="0" x="39"/>
        <item sd="0" m="1" x="100"/>
        <item sd="0" m="1" x="111"/>
        <item sd="0" m="1" x="84"/>
        <item sd="0" m="1" x="77"/>
        <item sd="0" x="65"/>
        <item sd="0" x="61"/>
        <item sd="0" x="50"/>
        <item sd="0" x="13"/>
        <item sd="0" m="1" x="98"/>
        <item sd="0" m="1" x="107"/>
        <item sd="0" m="1" x="71"/>
        <item sd="0" x="55"/>
        <item sd="0" x="49"/>
        <item sd="0" m="1" x="105"/>
        <item sd="0" m="1" x="104"/>
        <item sd="0" m="1" x="78"/>
        <item sd="0" m="1" x="97"/>
        <item sd="0" m="1" x="83"/>
        <item sd="0" x="64"/>
        <item sd="0" x="44"/>
        <item sd="0" x="26"/>
        <item sd="0" m="1" x="113"/>
        <item sd="0" x="28"/>
        <item sd="0" m="1" x="75"/>
        <item sd="0" x="41"/>
        <item sd="0" m="1" x="85"/>
        <item sd="0" x="32"/>
        <item sd="0" x="42"/>
        <item sd="0" m="1" x="76"/>
        <item sd="0" x="53"/>
        <item sd="0" m="1" x="86"/>
        <item sd="0" x="59"/>
        <item sd="0" m="1" x="110"/>
        <item sd="0" x="54"/>
        <item sd="0" m="1" x="90"/>
        <item sd="0" x="43"/>
        <item sd="0" x="47"/>
        <item sd="0" m="1" x="108"/>
        <item sd="0" m="1" x="82"/>
        <item sd="0" m="1" x="81"/>
        <item sd="0" m="1" x="93"/>
        <item sd="0" m="1" x="102"/>
        <item sd="0" m="1" x="103"/>
        <item sd="0" x="27"/>
        <item sd="0" x="48"/>
        <item sd="0" m="1" x="70"/>
        <item sd="0" x="51"/>
        <item m="1" x="88"/>
        <item m="1" x="109"/>
        <item x="66"/>
        <item x="58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defaultSubtotal="0"/>
    <pivotField showAll="0"/>
    <pivotField dataField="1" showAll="0"/>
    <pivotField dataField="1" showAll="0"/>
    <pivotField dataField="1" showAll="0" defaultSubtotal="0"/>
    <pivotField dataField="1" showAll="0" defaultSubtotal="0"/>
    <pivotField showAll="0" sortType="descending">
      <items count="16">
        <item sd="0" x="9"/>
        <item sd="0" x="7"/>
        <item sd="0" x="6"/>
        <item sd="0" x="2"/>
        <item sd="0" x="4"/>
        <item sd="0" x="3"/>
        <item sd="0" x="1"/>
        <item sd="0" x="0"/>
        <item sd="0" x="5"/>
        <item sd="0" x="8"/>
        <item sd="0" x="10"/>
        <item sd="0" m="1" x="14"/>
        <item sd="0" m="1" x="11"/>
        <item sd="0" m="1" x="13"/>
        <item m="1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22">
        <item sd="0" x="333"/>
        <item sd="0" m="1" x="995"/>
        <item sd="0" x="117"/>
        <item sd="0" x="233"/>
        <item sd="0" x="158"/>
        <item sd="0" m="1" x="1116"/>
        <item sd="0" x="0"/>
        <item sd="0" x="160"/>
        <item sd="0" x="118"/>
        <item sd="0" m="1" x="765"/>
        <item sd="0" x="335"/>
        <item sd="0" x="29"/>
        <item sd="0" m="1" x="425"/>
        <item sd="0" x="115"/>
        <item sd="0" m="1" x="623"/>
        <item sd="0" m="1" x="1042"/>
        <item sd="0" x="56"/>
        <item sd="0" m="1" x="684"/>
        <item sd="0" x="165"/>
        <item sd="0" m="1" x="1043"/>
        <item sd="0" m="1" x="843"/>
        <item sd="0" x="155"/>
        <item sd="0" x="401"/>
        <item sd="0" m="1" x="699"/>
        <item sd="0" m="1" x="571"/>
        <item sd="0" m="1" x="804"/>
        <item sd="0" m="1" x="806"/>
        <item sd="0" x="61"/>
        <item sd="0" m="1" x="511"/>
        <item sd="0" m="1" x="431"/>
        <item sd="0" m="1" x="775"/>
        <item sd="0" x="124"/>
        <item sd="0" m="1" x="490"/>
        <item sd="0" x="173"/>
        <item sd="0" m="1" x="921"/>
        <item sd="0" m="1" x="512"/>
        <item sd="0" x="174"/>
        <item sd="0" m="1" x="656"/>
        <item sd="0" m="1" x="445"/>
        <item sd="0" m="1" x="824"/>
        <item sd="0" x="175"/>
        <item sd="0" x="339"/>
        <item sd="0" x="176"/>
        <item sd="0" m="1" x="845"/>
        <item sd="0" m="1" x="821"/>
        <item sd="0" m="1" x="1053"/>
        <item sd="0" m="1" x="481"/>
        <item sd="0" x="7"/>
        <item sd="0" x="8"/>
        <item sd="0" m="1" x="557"/>
        <item sd="0" x="63"/>
        <item sd="0" x="267"/>
        <item sd="0" m="1" x="689"/>
        <item sd="0" x="65"/>
        <item sd="0" m="1" x="583"/>
        <item sd="0" m="1" x="1118"/>
        <item sd="0" m="1" x="952"/>
        <item sd="0" m="1" x="423"/>
        <item sd="0" x="177"/>
        <item sd="0" m="1" x="522"/>
        <item sd="0" x="72"/>
        <item sd="0" m="1" x="925"/>
        <item sd="0" m="1" x="1012"/>
        <item sd="0" m="1" x="794"/>
        <item sd="0" m="1" x="607"/>
        <item sd="0" x="307"/>
        <item sd="0" m="1" x="494"/>
        <item sd="0" m="1" x="966"/>
        <item sd="0" m="1" x="608"/>
        <item sd="0" m="1" x="611"/>
        <item sd="0" x="337"/>
        <item sd="0" x="261"/>
        <item sd="0" x="302"/>
        <item sd="0" x="394"/>
        <item sd="0" x="309"/>
        <item sd="0" m="1" x="549"/>
        <item sd="0" x="166"/>
        <item sd="0" m="1" x="484"/>
        <item sd="0" m="1" x="763"/>
        <item sd="0" x="123"/>
        <item sd="0" m="1" x="563"/>
        <item sd="0" x="170"/>
        <item sd="0" x="310"/>
        <item sd="0" m="1" x="561"/>
        <item sd="0" m="1" x="749"/>
        <item sd="0" x="422"/>
        <item sd="0" m="1" x="1068"/>
        <item sd="0" m="1" x="447"/>
        <item sd="0" m="1" x="534"/>
        <item sd="0" x="31"/>
        <item sd="0" x="32"/>
        <item sd="0" m="1" x="526"/>
        <item sd="0" m="1" x="968"/>
        <item sd="0" x="33"/>
        <item sd="0" m="1" x="577"/>
        <item sd="0" m="1" x="647"/>
        <item sd="0" m="1" x="900"/>
        <item sd="0" m="1" x="718"/>
        <item sd="0" m="1" x="976"/>
        <item sd="0" m="1" x="497"/>
        <item sd="0" m="1" x="1057"/>
        <item sd="0" m="1" x="769"/>
        <item sd="0" m="1" x="1087"/>
        <item sd="0" m="1" x="920"/>
        <item sd="0" m="1" x="1026"/>
        <item sd="0" x="48"/>
        <item sd="0" x="49"/>
        <item sd="0" m="1" x="984"/>
        <item sd="0" x="182"/>
        <item sd="0" x="75"/>
        <item sd="0" x="76"/>
        <item sd="0" x="78"/>
        <item sd="0" x="79"/>
        <item sd="0" m="1" x="606"/>
        <item sd="0" x="80"/>
        <item sd="0" m="1" x="565"/>
        <item sd="0" m="1" x="440"/>
        <item sd="0" x="53"/>
        <item sd="0" x="57"/>
        <item sd="0" x="69"/>
        <item sd="0" m="1" x="906"/>
        <item sd="0" m="1" x="841"/>
        <item sd="0" x="82"/>
        <item sd="0" m="1" x="1080"/>
        <item sd="0" m="1" x="688"/>
        <item sd="0" m="1" x="1029"/>
        <item sd="0" m="1" x="759"/>
        <item sd="0" m="1" x="691"/>
        <item sd="0" x="84"/>
        <item sd="0" m="1" x="975"/>
        <item sd="0" m="1" x="1028"/>
        <item sd="0" x="156"/>
        <item sd="0" m="1" x="1047"/>
        <item sd="0" x="162"/>
        <item sd="0" m="1" x="1037"/>
        <item sd="0" m="1" x="1045"/>
        <item sd="0" m="1" x="810"/>
        <item sd="0" m="1" x="603"/>
        <item sd="0" m="1" x="872"/>
        <item sd="0" x="186"/>
        <item sd="0" x="187"/>
        <item sd="0" m="1" x="1120"/>
        <item sd="0" x="191"/>
        <item sd="0" x="192"/>
        <item sd="0" m="1" x="424"/>
        <item sd="0" x="193"/>
        <item sd="0" x="194"/>
        <item sd="0" m="1" x="1114"/>
        <item sd="0" m="1" x="735"/>
        <item sd="0" x="198"/>
        <item sd="0" x="199"/>
        <item sd="0" m="1" x="1010"/>
        <item sd="0" m="1" x="687"/>
        <item sd="0" m="1" x="881"/>
        <item sd="0" x="398"/>
        <item sd="0" m="1" x="961"/>
        <item sd="0" x="402"/>
        <item sd="0" m="1" x="686"/>
        <item sd="0" m="1" x="895"/>
        <item sd="0" x="403"/>
        <item sd="0" x="405"/>
        <item sd="0" x="406"/>
        <item sd="0" m="1" x="664"/>
        <item sd="0" m="1" x="753"/>
        <item sd="0" x="262"/>
        <item sd="0" m="1" x="800"/>
        <item sd="0" m="1" x="579"/>
        <item sd="0" m="1" x="537"/>
        <item sd="0" x="272"/>
        <item sd="0" m="1" x="746"/>
        <item sd="0" m="1" x="545"/>
        <item sd="0" m="1" x="1030"/>
        <item sd="0" x="273"/>
        <item sd="0" m="1" x="1020"/>
        <item sd="0" x="274"/>
        <item sd="0" m="1" x="498"/>
        <item sd="0" m="1" x="610"/>
        <item sd="0" x="275"/>
        <item sd="0" m="1" x="936"/>
        <item sd="0" m="1" x="516"/>
        <item sd="0" m="1" x="1044"/>
        <item sd="0" m="1" x="594"/>
        <item sd="0" m="1" x="1064"/>
        <item sd="0" m="1" x="473"/>
        <item sd="0" m="1" x="1014"/>
        <item sd="0" m="1" x="784"/>
        <item sd="0" x="315"/>
        <item sd="0" x="316"/>
        <item sd="0" m="1" x="805"/>
        <item sd="0" m="1" x="441"/>
        <item sd="0" m="1" x="791"/>
        <item sd="0" m="1" x="1049"/>
        <item sd="0" m="1" x="1048"/>
        <item sd="0" m="1" x="568"/>
        <item sd="0" m="1" x="728"/>
        <item sd="0" m="1" x="1039"/>
        <item sd="0" m="1" x="813"/>
        <item sd="0" m="1" x="798"/>
        <item sd="0" x="127"/>
        <item sd="0" m="1" x="544"/>
        <item sd="0" m="1" x="670"/>
        <item sd="0" m="1" x="822"/>
        <item sd="0" m="1" x="548"/>
        <item sd="0" m="1" x="1040"/>
        <item sd="0" x="131"/>
        <item sd="0" m="1" x="945"/>
        <item sd="0" m="1" x="869"/>
        <item sd="0" m="1" x="720"/>
        <item sd="0" x="132"/>
        <item sd="0" m="1" x="747"/>
        <item sd="0" m="1" x="505"/>
        <item sd="0" m="1" x="851"/>
        <item sd="0" m="1" x="887"/>
        <item sd="0" m="1" x="673"/>
        <item sd="0" m="1" x="589"/>
        <item sd="0" x="343"/>
        <item sd="0" x="344"/>
        <item sd="0" x="345"/>
        <item sd="0" m="1" x="435"/>
        <item sd="0" m="1" x="592"/>
        <item sd="0" m="1" x="464"/>
        <item sd="0" m="1" x="948"/>
        <item sd="0" m="1" x="782"/>
        <item sd="0" m="1" x="977"/>
        <item sd="0" x="347"/>
        <item sd="0" m="1" x="501"/>
        <item sd="0" m="1" x="486"/>
        <item sd="0" m="1" x="865"/>
        <item sd="0" m="1" x="547"/>
        <item sd="0" m="1" x="487"/>
        <item sd="0" m="1" x="1004"/>
        <item sd="0" m="1" x="479"/>
        <item sd="0" m="1" x="980"/>
        <item sd="0" m="1" x="1041"/>
        <item sd="0" m="1" x="1078"/>
        <item sd="0" m="1" x="465"/>
        <item sd="0" x="236"/>
        <item sd="0" m="1" x="788"/>
        <item sd="0" m="1" x="574"/>
        <item sd="0" x="241"/>
        <item sd="0" m="1" x="875"/>
        <item sd="0" x="50"/>
        <item sd="0" m="1" x="532"/>
        <item sd="0" x="71"/>
        <item sd="0" x="86"/>
        <item sd="0" x="67"/>
        <item sd="0" x="70"/>
        <item sd="0" m="1" x="939"/>
        <item sd="0" m="1" x="967"/>
        <item sd="0" x="164"/>
        <item sd="0" x="58"/>
        <item sd="0" x="171"/>
        <item sd="0" m="1" x="453"/>
        <item sd="0" m="1" x="1084"/>
        <item sd="0" m="1" x="777"/>
        <item sd="0" m="1" x="1090"/>
        <item sd="0" m="1" x="748"/>
        <item sd="0" m="1" x="1001"/>
        <item sd="0" m="1" x="705"/>
        <item sd="0" m="1" x="742"/>
        <item sd="0" x="311"/>
        <item sd="0" m="1" x="1086"/>
        <item sd="0" m="1" x="554"/>
        <item sd="0" m="1" x="823"/>
        <item sd="0" m="1" x="635"/>
        <item sd="0" m="1" x="721"/>
        <item sd="0" m="1" x="799"/>
        <item sd="0" m="1" x="1110"/>
        <item sd="0" x="334"/>
        <item sd="0" m="1" x="694"/>
        <item sd="0" x="190"/>
        <item sd="0" x="346"/>
        <item sd="0" m="1" x="1009"/>
        <item sd="0" x="349"/>
        <item sd="0" m="1" x="947"/>
        <item sd="0" x="350"/>
        <item sd="0" m="1" x="725"/>
        <item sd="0" m="1" x="960"/>
        <item sd="0" m="1" x="591"/>
        <item sd="0" m="1" x="613"/>
        <item sd="0" m="1" x="520"/>
        <item sd="0" m="1" x="541"/>
        <item sd="0" m="1" x="1112"/>
        <item sd="0" m="1" x="764"/>
        <item sd="0" m="1" x="1055"/>
        <item sd="0" m="1" x="1052"/>
        <item sd="0" m="1" x="711"/>
        <item sd="0" m="1" x="990"/>
        <item sd="0" x="238"/>
        <item sd="0" m="1" x="432"/>
        <item sd="0" m="1" x="1056"/>
        <item sd="0" m="1" x="864"/>
        <item sd="0" m="1" x="1065"/>
        <item sd="0" m="1" x="766"/>
        <item sd="0" x="54"/>
        <item sd="0" m="1" x="651"/>
        <item sd="0" m="1" x="576"/>
        <item sd="0" m="1" x="560"/>
        <item sd="0" m="1" x="717"/>
        <item sd="0" m="1" x="1105"/>
        <item sd="0" m="1" x="871"/>
        <item sd="0" m="1" x="861"/>
        <item sd="0" m="1" x="508"/>
        <item sd="0" m="1" x="663"/>
        <item sd="0" m="1" x="969"/>
        <item sd="0" x="163"/>
        <item sd="0" x="66"/>
        <item sd="0" x="73"/>
        <item sd="0" m="1" x="882"/>
        <item sd="0" m="1" x="896"/>
        <item sd="0" m="1" x="535"/>
        <item sd="0" x="85"/>
        <item sd="0" m="1" x="634"/>
        <item sd="0" m="1" x="935"/>
        <item sd="0" m="1" x="834"/>
        <item sd="0" m="1" x="996"/>
        <item sd="0" m="1" x="738"/>
        <item sd="0" m="1" x="646"/>
        <item sd="0" m="1" x="493"/>
        <item sd="0" x="159"/>
        <item sd="0" m="1" x="949"/>
        <item sd="0" m="1" x="626"/>
        <item sd="0" x="189"/>
        <item sd="0" m="1" x="556"/>
        <item sd="0" m="1" x="1013"/>
        <item sd="0" x="201"/>
        <item sd="0" x="396"/>
        <item sd="0" x="408"/>
        <item sd="0" m="1" x="678"/>
        <item sd="0" m="1" x="471"/>
        <item sd="0" m="1" x="982"/>
        <item sd="0" m="1" x="840"/>
        <item sd="0" x="266"/>
        <item sd="0" m="1" x="828"/>
        <item sd="0" x="271"/>
        <item sd="0" m="1" x="1024"/>
        <item sd="0" m="1" x="781"/>
        <item sd="0" m="1" x="1005"/>
        <item sd="0" m="1" x="685"/>
        <item sd="0" m="1" x="1051"/>
        <item sd="0" x="278"/>
        <item sd="0" m="1" x="1016"/>
        <item sd="0" m="1" x="426"/>
        <item sd="0" m="1" x="427"/>
        <item sd="0" m="1" x="428"/>
        <item sd="0" m="1" x="429"/>
        <item sd="0" m="1" x="1062"/>
        <item sd="0" x="306"/>
        <item sd="0" x="308"/>
        <item sd="0" x="313"/>
        <item sd="0" x="314"/>
        <item sd="0" m="1" x="1002"/>
        <item sd="0" m="1" x="962"/>
        <item sd="0" m="1" x="1034"/>
        <item sd="0" m="1" x="779"/>
        <item sd="0" m="1" x="842"/>
        <item sd="0" m="1" x="489"/>
        <item sd="0" m="1" x="645"/>
        <item sd="0" m="1" x="467"/>
        <item sd="0" m="1" x="622"/>
        <item sd="0" x="126"/>
        <item sd="0" m="1" x="460"/>
        <item sd="0" m="1" x="624"/>
        <item sd="0" m="1" x="1079"/>
        <item sd="0" m="1" x="638"/>
        <item sd="0" x="134"/>
        <item sd="0" m="1" x="617"/>
        <item sd="0" m="1" x="852"/>
        <item sd="0" m="1" x="585"/>
        <item sd="0" m="1" x="1007"/>
        <item sd="0" m="1" x="601"/>
        <item sd="0" m="1" x="474"/>
        <item sd="0" m="1" x="1038"/>
        <item sd="0" m="1" x="1102"/>
        <item sd="0" m="1" x="667"/>
        <item sd="0" m="1" x="922"/>
        <item sd="0" m="1" x="894"/>
        <item sd="0" x="64"/>
        <item sd="0" m="1" x="478"/>
        <item sd="0" x="59"/>
        <item sd="0" m="1" x="829"/>
        <item sd="0" m="1" x="590"/>
        <item sd="0" m="1" x="859"/>
        <item sd="0" m="1" x="911"/>
        <item sd="0" m="1" x="567"/>
        <item sd="0" m="1" x="924"/>
        <item sd="0" m="1" x="844"/>
        <item sd="0" x="265"/>
        <item sd="0" x="270"/>
        <item sd="0" m="1" x="595"/>
        <item sd="0" m="1" x="704"/>
        <item sd="0" m="1" x="994"/>
        <item sd="0" m="1" x="1050"/>
        <item sd="0" m="1" x="741"/>
        <item sd="0" m="1" x="902"/>
        <item sd="0" m="1" x="1019"/>
        <item sd="0" m="1" x="449"/>
        <item sd="0" m="1" x="1027"/>
        <item sd="0" m="1" x="719"/>
        <item sd="0" m="1" x="650"/>
        <item sd="0" m="1" x="536"/>
        <item sd="0" m="1" x="555"/>
        <item sd="0" m="1" x="712"/>
        <item sd="0" m="1" x="659"/>
        <item sd="0" m="1" x="621"/>
        <item sd="0" x="263"/>
        <item sd="0" m="1" x="1104"/>
        <item sd="0" m="1" x="803"/>
        <item sd="0" m="1" x="643"/>
        <item sd="0" m="1" x="703"/>
        <item sd="0" m="1" x="476"/>
        <item sd="0" x="135"/>
        <item sd="0" m="1" x="462"/>
        <item sd="0" m="1" x="913"/>
        <item sd="0" x="351"/>
        <item sd="0" x="352"/>
        <item sd="0" m="1" x="914"/>
        <item sd="0" x="353"/>
        <item sd="0" x="354"/>
        <item sd="0" x="355"/>
        <item sd="0" m="1" x="707"/>
        <item sd="0" m="1" x="892"/>
        <item sd="0" m="1" x="998"/>
        <item sd="0" m="1" x="999"/>
        <item sd="0" m="1" x="1000"/>
        <item sd="0" m="1" x="786"/>
        <item sd="0" m="1" x="836"/>
        <item sd="0" m="1" x="455"/>
        <item sd="0" x="332"/>
        <item sd="0" x="2"/>
        <item sd="0" m="1" x="946"/>
        <item sd="0" m="1" x="614"/>
        <item sd="0" m="1" x="774"/>
        <item sd="0" x="35"/>
        <item sd="0" m="1" x="488"/>
        <item sd="0" m="1" x="970"/>
        <item sd="0" m="1" x="451"/>
        <item sd="0" x="243"/>
        <item sd="0" x="244"/>
        <item sd="0" m="1" x="754"/>
        <item sd="0" m="1" x="1109"/>
        <item sd="0" m="1" x="1022"/>
        <item sd="0" m="1" x="743"/>
        <item sd="0" x="77"/>
        <item sd="0" m="1" x="814"/>
        <item sd="0" m="1" x="605"/>
        <item sd="0" m="1" x="1092"/>
        <item sd="0" x="87"/>
        <item sd="0" m="1" x="569"/>
        <item sd="0" m="1" x="461"/>
        <item sd="0" m="1" x="846"/>
        <item sd="0" m="1" x="1082"/>
        <item sd="0" x="172"/>
        <item sd="0" m="1" x="1099"/>
        <item sd="0" m="1" x="546"/>
        <item sd="0" m="1" x="1035"/>
        <item sd="0" x="202"/>
        <item sd="0" m="1" x="751"/>
        <item sd="0" m="1" x="644"/>
        <item sd="0" x="276"/>
        <item sd="0" m="1" x="529"/>
        <item sd="0" m="1" x="926"/>
        <item sd="0" x="280"/>
        <item sd="0" m="1" x="495"/>
        <item sd="0" m="1" x="835"/>
        <item sd="0" m="1" x="1113"/>
        <item sd="0" m="1" x="745"/>
        <item sd="0" m="1" x="1046"/>
        <item sd="0" x="129"/>
        <item sd="0" m="1" x="716"/>
        <item sd="0" m="1" x="941"/>
        <item sd="0" m="1" x="899"/>
        <item sd="0" m="1" x="1033"/>
        <item sd="0" m="1" x="991"/>
        <item sd="0" m="1" x="456"/>
        <item sd="0" x="356"/>
        <item sd="0" x="357"/>
        <item sd="0" x="358"/>
        <item sd="0" m="1" x="469"/>
        <item sd="0" x="359"/>
        <item sd="0" m="1" x="723"/>
        <item sd="0" m="1" x="700"/>
        <item sd="0" m="1" x="833"/>
        <item sd="0" m="1" x="1076"/>
        <item sd="0" x="36"/>
        <item sd="0" m="1" x="648"/>
        <item sd="0" m="1" x="819"/>
        <item sd="0" m="1" x="1077"/>
        <item sd="0" x="277"/>
        <item sd="0" m="1" x="448"/>
        <item sd="0" x="338"/>
        <item sd="0" m="1" x="740"/>
        <item sd="0" m="1" x="772"/>
        <item sd="0" m="1" x="539"/>
        <item sd="0" m="1" x="627"/>
        <item sd="0" m="1" x="625"/>
        <item sd="0" x="81"/>
        <item sd="0" m="1" x="1073"/>
        <item sd="0" m="1" x="755"/>
        <item sd="0" x="196"/>
        <item sd="0" m="1" x="940"/>
        <item sd="0" m="1" x="768"/>
        <item sd="0" m="1" x="979"/>
        <item sd="0" m="1" x="832"/>
        <item sd="0" m="1" x="1093"/>
        <item sd="0" m="1" x="470"/>
        <item sd="0" m="1" x="986"/>
        <item sd="0" m="1" x="676"/>
        <item sd="0" m="1" x="974"/>
        <item sd="0" m="1" x="879"/>
        <item sd="0" m="1" x="893"/>
        <item sd="0" x="185"/>
        <item sd="0" m="1" x="1074"/>
        <item sd="0" m="1" x="521"/>
        <item sd="0" m="1" x="463"/>
        <item sd="0" m="1" x="831"/>
        <item sd="0" x="281"/>
        <item sd="0" m="1" x="796"/>
        <item sd="0" m="1" x="811"/>
        <item sd="0" m="1" x="1054"/>
        <item sd="0" m="1" x="866"/>
        <item sd="0" m="1" x="985"/>
        <item sd="0" m="1" x="956"/>
        <item sd="0" m="1" x="542"/>
        <item sd="0" m="1" x="701"/>
        <item sd="0" m="1" x="677"/>
        <item sd="0" m="1" x="938"/>
        <item sd="0" m="1" x="1096"/>
        <item sd="0" x="10"/>
        <item sd="0" m="1" x="713"/>
        <item sd="0" m="1" x="807"/>
        <item sd="0" m="1" x="860"/>
        <item sd="0" m="1" x="963"/>
        <item sd="0" m="1" x="1003"/>
        <item sd="0" m="1" x="868"/>
        <item sd="0" m="1" x="856"/>
        <item sd="0" x="62"/>
        <item sd="0" m="1" x="993"/>
        <item sd="0" x="88"/>
        <item sd="0" m="1" x="880"/>
        <item sd="0" x="268"/>
        <item sd="0" m="1" x="604"/>
        <item sd="0" m="1" x="1021"/>
        <item sd="0" m="1" x="965"/>
        <item sd="0" x="319"/>
        <item sd="0" m="1" x="983"/>
        <item sd="0" m="1" x="1008"/>
        <item sd="0" x="348"/>
        <item sd="0" m="1" x="931"/>
        <item sd="0" x="3"/>
        <item sd="0" m="1" x="702"/>
        <item sd="0" m="1" x="744"/>
        <item sd="0" m="1" x="695"/>
        <item sd="0" m="1" x="932"/>
        <item sd="0" x="60"/>
        <item sd="0" m="1" x="523"/>
        <item sd="0" m="1" x="1088"/>
        <item sd="0" m="1" x="884"/>
        <item sd="0" x="320"/>
        <item sd="0" m="1" x="849"/>
        <item sd="0" m="1" x="858"/>
        <item sd="0" m="1" x="972"/>
        <item sd="0" x="361"/>
        <item sd="0" m="1" x="660"/>
        <item sd="0" m="1" x="524"/>
        <item sd="0" m="1" x="661"/>
        <item sd="0" m="1" x="802"/>
        <item sd="0" x="410"/>
        <item sd="0" m="1" x="709"/>
        <item sd="0" m="1" x="910"/>
        <item sd="0" m="1" x="891"/>
        <item sd="0" x="362"/>
        <item sd="0" m="1" x="793"/>
        <item sd="0" m="1" x="533"/>
        <item sd="0" m="1" x="801"/>
        <item sd="0" m="1" x="1106"/>
        <item sd="0" m="1" x="1071"/>
        <item sd="0" x="234"/>
        <item sd="0" m="1" x="1025"/>
        <item sd="0" m="1" x="506"/>
        <item sd="0" m="1" x="620"/>
        <item sd="0" x="269"/>
        <item sd="0" x="312"/>
        <item sd="0" m="1" x="732"/>
        <item sd="0" m="1" x="909"/>
        <item sd="0" m="1" x="770"/>
        <item sd="0" x="363"/>
        <item sd="0" x="30"/>
        <item sd="0" m="1" x="838"/>
        <item sd="0" x="178"/>
        <item sd="0" m="1" x="855"/>
        <item sd="0" m="1" x="729"/>
        <item sd="0" m="1" x="531"/>
        <item sd="0" x="245"/>
        <item sd="0" m="1" x="616"/>
        <item sd="0" x="303"/>
        <item sd="0" x="304"/>
        <item sd="0" m="1" x="783"/>
        <item sd="0" m="1" x="452"/>
        <item sd="0" x="130"/>
        <item sd="0" x="360"/>
        <item sd="0" x="365"/>
        <item sd="0" x="366"/>
        <item sd="0" m="1" x="573"/>
        <item sd="0" m="1" x="698"/>
        <item sd="0" m="1" x="680"/>
        <item sd="0" m="1" x="1072"/>
        <item sd="0" m="1" x="1085"/>
        <item sd="0" m="1" x="1036"/>
        <item sd="0" m="1" x="867"/>
        <item sd="0" m="1" x="1094"/>
        <item sd="0" m="1" x="837"/>
        <item sd="0" m="1" x="773"/>
        <item sd="0" m="1" x="615"/>
        <item sd="0" m="1" x="642"/>
        <item sd="0" m="1" x="877"/>
        <item sd="0" m="1" x="572"/>
        <item sd="0" m="1" x="658"/>
        <item sd="0" m="1" x="693"/>
        <item sd="0" m="1" x="780"/>
        <item sd="0" m="1" x="513"/>
        <item sd="0" x="407"/>
        <item sd="0" x="411"/>
        <item sd="0" m="1" x="442"/>
        <item sd="0" x="52"/>
        <item sd="0" x="83"/>
        <item sd="0" x="90"/>
        <item sd="0" m="1" x="436"/>
        <item sd="0" x="321"/>
        <item sd="0" m="1" x="683"/>
        <item sd="0" m="1" x="631"/>
        <item sd="0" m="1" x="586"/>
        <item sd="0" x="203"/>
        <item sd="0" m="1" x="580"/>
        <item sd="0" x="399"/>
        <item sd="0" x="89"/>
        <item sd="0" m="1" x="514"/>
        <item sd="0" m="1" x="538"/>
        <item sd="0" m="1" x="874"/>
        <item sd="0" x="367"/>
        <item sd="0" x="37"/>
        <item sd="0" m="1" x="559"/>
        <item sd="0" m="1" x="733"/>
        <item sd="0" m="1" x="582"/>
        <item sd="0" m="1" x="528"/>
        <item sd="0" m="1" x="708"/>
        <item sd="0" m="1" x="1075"/>
        <item sd="0" x="282"/>
        <item sd="0" m="1" x="876"/>
        <item sd="0" m="1" x="562"/>
        <item sd="0" x="137"/>
        <item sd="0" m="1" x="630"/>
        <item sd="0" m="1" x="955"/>
        <item sd="0" m="1" x="697"/>
        <item sd="0" m="1" x="504"/>
        <item sd="0" m="1" x="1098"/>
        <item sd="0" m="1" x="578"/>
        <item sd="0" m="1" x="1011"/>
        <item sd="0" x="283"/>
        <item sd="0" m="1" x="649"/>
        <item sd="0" x="12"/>
        <item sd="0" m="1" x="666"/>
        <item sd="0" x="38"/>
        <item sd="0" m="1" x="724"/>
        <item sd="0" m="1" x="761"/>
        <item sd="0" m="1" x="954"/>
        <item sd="0" x="197"/>
        <item sd="0" m="1" x="830"/>
        <item sd="0" x="395"/>
        <item sd="0" m="1" x="598"/>
        <item sd="0" m="1" x="655"/>
        <item sd="0" m="1" x="908"/>
        <item sd="0" m="1" x="637"/>
        <item sd="0" m="1" x="640"/>
        <item sd="0" m="1" x="971"/>
        <item sd="0" x="318"/>
        <item sd="0" m="1" x="600"/>
        <item sd="0" m="1" x="1066"/>
        <item sd="0" x="13"/>
        <item sd="0" x="180"/>
        <item sd="0" x="181"/>
        <item sd="0" x="188"/>
        <item sd="0" m="1" x="1059"/>
        <item sd="0" m="1" x="762"/>
        <item sd="0" m="1" x="903"/>
        <item sd="0" m="1" x="612"/>
        <item sd="0" x="242"/>
        <item sd="0" m="1" x="679"/>
        <item sd="0" m="1" x="981"/>
        <item sd="0" m="1" x="886"/>
        <item sd="0" m="1" x="795"/>
        <item sd="0" m="1" x="839"/>
        <item sd="0" m="1" x="722"/>
        <item sd="0" m="1" x="472"/>
        <item sd="0" m="1" x="550"/>
        <item sd="0" m="1" x="816"/>
        <item sd="0" m="1" x="675"/>
        <item sd="0" m="1" x="752"/>
        <item sd="0" m="1" x="602"/>
        <item sd="0" x="204"/>
        <item sd="0" x="205"/>
        <item sd="0" x="206"/>
        <item sd="0" x="91"/>
        <item sd="0" x="94"/>
        <item sd="0" m="1" x="564"/>
        <item sd="0" m="1" x="787"/>
        <item sd="0" x="279"/>
        <item sd="0" x="284"/>
        <item sd="0" m="1" x="430"/>
        <item sd="0" x="322"/>
        <item sd="0" x="121"/>
        <item sd="0" m="1" x="937"/>
        <item sd="0" x="138"/>
        <item sd="0" m="1" x="597"/>
        <item sd="0" x="247"/>
        <item sd="0" m="1" x="492"/>
        <item sd="0" m="1" x="897"/>
        <item sd="0" x="323"/>
        <item sd="0" x="128"/>
        <item sd="0" m="1" x="1101"/>
        <item sd="0" x="11"/>
        <item sd="0" x="39"/>
        <item sd="0" m="1" x="438"/>
        <item sd="0" m="1" x="907"/>
        <item sd="0" m="1" x="499"/>
        <item sd="0" m="1" x="1058"/>
        <item sd="0" x="249"/>
        <item sd="0" m="1" x="1061"/>
        <item sd="0" m="1" x="890"/>
        <item sd="0" x="324"/>
        <item sd="0" m="1" x="750"/>
        <item sd="0" m="1" x="1017"/>
        <item sd="0" x="34"/>
        <item sd="0" m="1" x="989"/>
        <item sd="0" m="1" x="1069"/>
        <item sd="0" x="207"/>
        <item sd="0" m="1" x="1115"/>
        <item sd="0" m="1" x="609"/>
        <item sd="0" x="239"/>
        <item sd="0" x="250"/>
        <item sd="0" x="251"/>
        <item sd="0" m="1" x="915"/>
        <item sd="0" x="285"/>
        <item sd="0" m="1" x="459"/>
        <item sd="0" m="1" x="997"/>
        <item sd="0" m="1" x="992"/>
        <item sd="0" m="1" x="657"/>
        <item sd="0" x="139"/>
        <item sd="0" m="1" x="863"/>
        <item sd="0" m="1" x="1006"/>
        <item sd="0" x="370"/>
        <item sd="0" x="14"/>
        <item sd="0" m="1" x="575"/>
        <item sd="0" m="1" x="964"/>
        <item sd="0" m="1" x="944"/>
        <item sd="0" x="412"/>
        <item sd="0" x="413"/>
        <item sd="0" x="51"/>
        <item sd="0" m="1" x="923"/>
        <item sd="0" m="1" x="515"/>
        <item sd="0" m="1" x="731"/>
        <item sd="0" x="200"/>
        <item sd="0" x="119"/>
        <item sd="0" x="120"/>
        <item sd="0" m="1" x="446"/>
        <item sd="0" x="140"/>
        <item sd="0" m="1" x="466"/>
        <item sd="0" m="1" x="1111"/>
        <item sd="0" x="371"/>
        <item sd="0" m="1" x="951"/>
        <item sd="0" m="1" x="517"/>
        <item sd="0" x="183"/>
        <item sd="0" m="1" x="525"/>
        <item sd="0" x="248"/>
        <item sd="0" x="96"/>
        <item sd="0" m="1" x="629"/>
        <item sd="0" x="116"/>
        <item sd="0" m="1" x="491"/>
        <item sd="0" x="368"/>
        <item sd="0" x="369"/>
        <item sd="0" m="1" x="500"/>
        <item sd="0" m="1" x="636"/>
        <item sd="0" m="1" x="618"/>
        <item sd="0" x="40"/>
        <item sd="0" m="1" x="727"/>
        <item sd="0" x="208"/>
        <item sd="0" m="1" x="789"/>
        <item sd="0" m="1" x="808"/>
        <item sd="0" m="1" x="696"/>
        <item sd="0" x="414"/>
        <item sd="0" m="1" x="758"/>
        <item sd="0" m="1" x="710"/>
        <item sd="0" m="1" x="433"/>
        <item sd="0" m="1" x="665"/>
        <item sd="0" x="286"/>
        <item sd="0" x="287"/>
        <item sd="0" m="1" x="905"/>
        <item sd="0" m="1" x="454"/>
        <item sd="0" m="1" x="457"/>
        <item sd="0" m="1" x="1060"/>
        <item sd="0" m="1" x="778"/>
        <item sd="0" m="1" x="912"/>
        <item sd="0" m="1" x="1107"/>
        <item sd="0" x="9"/>
        <item sd="0" x="15"/>
        <item sd="0" m="1" x="1031"/>
        <item sd="0" m="1" x="739"/>
        <item sd="0" x="209"/>
        <item sd="0" m="1" x="850"/>
        <item sd="0" x="41"/>
        <item sd="0" m="1" x="483"/>
        <item sd="0" m="1" x="581"/>
        <item sd="0" m="1" x="930"/>
        <item sd="0" m="1" x="1089"/>
        <item sd="0" m="1" x="726"/>
        <item sd="0" x="97"/>
        <item sd="0" m="1" x="737"/>
        <item sd="0" x="317"/>
        <item sd="0" x="325"/>
        <item sd="0" m="1" x="934"/>
        <item sd="0" x="364"/>
        <item sd="0" m="1" x="1032"/>
        <item sd="0" m="1" x="674"/>
        <item sd="0" m="1" x="692"/>
        <item sd="0" m="1" x="1103"/>
        <item sd="0" x="210"/>
        <item sd="0" x="252"/>
        <item sd="0" m="1" x="790"/>
        <item sd="0" m="1" x="543"/>
        <item sd="0" m="1" x="928"/>
        <item sd="0" m="1" x="827"/>
        <item sd="0" x="288"/>
        <item sd="0" m="1" x="929"/>
        <item sd="0" x="290"/>
        <item sd="0" m="1" x="1119"/>
        <item sd="0" m="1" x="756"/>
        <item sd="0" m="1" x="730"/>
        <item sd="0" x="372"/>
        <item sd="0" m="1" x="558"/>
        <item sd="0" m="1" x="862"/>
        <item sd="0" x="211"/>
        <item sd="0" m="1" x="943"/>
        <item sd="0" x="235"/>
        <item sd="0" x="253"/>
        <item sd="0" x="68"/>
        <item sd="0" m="1" x="820"/>
        <item sd="0" m="1" x="570"/>
        <item sd="0" m="1" x="434"/>
        <item sd="0" x="291"/>
        <item sd="0" m="1" x="510"/>
        <item sd="0" m="1" x="551"/>
        <item sd="0" x="74"/>
        <item sd="0" x="92"/>
        <item sd="0" m="1" x="901"/>
        <item sd="0" m="1" x="736"/>
        <item sd="0" x="141"/>
        <item sd="0" m="1" x="690"/>
        <item sd="0" m="1" x="654"/>
        <item sd="0" m="1" x="734"/>
        <item sd="0" m="1" x="1067"/>
        <item sd="0" m="1" x="468"/>
        <item sd="0" m="1" x="888"/>
        <item sd="0" x="292"/>
        <item sd="0" x="293"/>
        <item sd="0" x="326"/>
        <item sd="0" m="1" x="883"/>
        <item sd="0" x="373"/>
        <item sd="0" m="1" x="815"/>
        <item sd="0" m="1" x="502"/>
        <item sd="0" m="1" x="809"/>
        <item sd="0" m="1" x="812"/>
        <item sd="0" x="415"/>
        <item sd="0" m="1" x="662"/>
        <item sd="0" x="98"/>
        <item sd="0" m="1" x="898"/>
        <item sd="0" m="1" x="978"/>
        <item sd="0" m="1" x="885"/>
        <item sd="0" x="400"/>
        <item sd="0" x="246"/>
        <item sd="0" x="179"/>
        <item sd="0" m="1" x="584"/>
        <item sd="0" x="16"/>
        <item sd="0" m="1" x="477"/>
        <item sd="0" x="93"/>
        <item sd="0" m="1" x="509"/>
        <item sd="0" x="133"/>
        <item sd="0" m="1" x="760"/>
        <item sd="0" m="1" x="818"/>
        <item sd="0" m="1" x="540"/>
        <item sd="0" m="1" x="443"/>
        <item sd="0" m="1" x="933"/>
        <item sd="0" m="1" x="671"/>
        <item sd="0" m="1" x="776"/>
        <item sd="0" m="1" x="1081"/>
        <item sd="0" x="145"/>
        <item sd="0" m="1" x="1083"/>
        <item sd="0" x="1"/>
        <item sd="0" m="1" x="633"/>
        <item sd="0" x="212"/>
        <item sd="0" m="1" x="458"/>
        <item sd="0" m="1" x="927"/>
        <item sd="0" m="1" x="953"/>
        <item sd="0" m="1" x="957"/>
        <item sd="0" m="1" x="507"/>
        <item sd="0" x="295"/>
        <item sd="0" x="374"/>
        <item sd="0" m="1" x="973"/>
        <item sd="0" x="168"/>
        <item sd="0" m="1" x="639"/>
        <item sd="0" m="1" x="942"/>
        <item sd="0" m="1" x="959"/>
        <item sd="0" x="416"/>
        <item sd="0" m="1" x="444"/>
        <item sd="0" x="99"/>
        <item sd="0" m="1" x="588"/>
        <item sd="0" m="1" x="482"/>
        <item sd="0" m="1" x="1018"/>
        <item sd="0" x="17"/>
        <item sd="0" x="195"/>
        <item sd="0" x="214"/>
        <item sd="0" x="216"/>
        <item sd="0" m="1" x="917"/>
        <item sd="0" m="1" x="596"/>
        <item sd="0" x="296"/>
        <item sd="0" m="1" x="870"/>
        <item sd="0" m="1" x="485"/>
        <item sd="0" m="1" x="854"/>
        <item sd="0" x="377"/>
        <item sd="0" m="1" x="848"/>
        <item sd="0" x="18"/>
        <item sd="0" x="19"/>
        <item sd="0" m="1" x="682"/>
        <item sd="0" x="215"/>
        <item sd="0" m="1" x="530"/>
        <item sd="0" m="1" x="771"/>
        <item sd="0" m="1" x="919"/>
        <item sd="0" x="101"/>
        <item sd="0" x="297"/>
        <item sd="0" m="1" x="878"/>
        <item sd="0" x="6"/>
        <item sd="0" x="20"/>
        <item sd="0" m="1" x="669"/>
        <item sd="0" x="95"/>
        <item sd="0" m="1" x="496"/>
        <item sd="0" x="298"/>
        <item sd="0" x="342"/>
        <item sd="0" x="376"/>
        <item sd="0" x="378"/>
        <item sd="0" x="379"/>
        <item sd="0" x="21"/>
        <item sd="0" x="217"/>
        <item sd="0" m="1" x="987"/>
        <item sd="0" m="1" x="873"/>
        <item sd="0" m="1" x="553"/>
        <item sd="0" m="1" x="628"/>
        <item sd="0" m="1" x="439"/>
        <item sd="0" x="42"/>
        <item sd="0" m="1" x="668"/>
        <item sd="0" x="219"/>
        <item sd="0" x="220"/>
        <item sd="0" x="221"/>
        <item sd="0" x="102"/>
        <item sd="0" x="264"/>
        <item sd="0" x="294"/>
        <item sd="0" x="327"/>
        <item sd="0" x="328"/>
        <item sd="0" x="380"/>
        <item sd="0" x="417"/>
        <item sd="0" x="4"/>
        <item sd="0" x="43"/>
        <item sd="0" x="146"/>
        <item sd="0" x="169"/>
        <item sd="0" x="254"/>
        <item sd="0" x="255"/>
        <item sd="0" x="47"/>
        <item sd="0" x="103"/>
        <item sd="0" x="104"/>
        <item sd="0" x="105"/>
        <item sd="0" x="106"/>
        <item sd="0" x="107"/>
        <item sd="0" x="381"/>
        <item sd="0" x="5"/>
        <item sd="0" x="22"/>
        <item sd="0" x="167"/>
        <item sd="0" x="223"/>
        <item sd="0" x="224"/>
        <item sd="0" x="225"/>
        <item sd="0" x="226"/>
        <item sd="0" x="108"/>
        <item sd="0" x="109"/>
        <item sd="0" x="299"/>
        <item sd="0" x="384"/>
        <item sd="0" x="404"/>
        <item sd="0" x="23"/>
        <item sd="0" x="24"/>
        <item sd="0" x="44"/>
        <item sd="0" x="213"/>
        <item sd="0" x="222"/>
        <item sd="0" x="237"/>
        <item sd="0" x="100"/>
        <item sd="0" x="110"/>
        <item sd="0" x="329"/>
        <item sd="0" x="336"/>
        <item sd="0" x="340"/>
        <item sd="0" x="341"/>
        <item sd="0" x="386"/>
        <item sd="0" x="397"/>
        <item sd="0" x="161"/>
        <item sd="0" m="1" x="599"/>
        <item sd="0" m="1" x="652"/>
        <item sd="0" x="256"/>
        <item sd="0" x="257"/>
        <item sd="0" x="382"/>
        <item sd="0" x="383"/>
        <item sd="0" m="1" x="857"/>
        <item sd="0" x="409"/>
        <item sd="0" m="1" x="672"/>
        <item sd="0" m="1" x="681"/>
        <item sd="0" x="218"/>
        <item sd="0" m="1" x="767"/>
        <item sd="0" m="1" x="1091"/>
        <item sd="0" m="1" x="916"/>
        <item sd="0" x="111"/>
        <item sd="0" m="1" x="797"/>
        <item sd="0" m="1" x="792"/>
        <item sd="0" x="289"/>
        <item sd="0" x="330"/>
        <item sd="0" m="1" x="714"/>
        <item sd="0" m="1" x="1070"/>
        <item sd="0" m="1" x="715"/>
        <item sd="0" x="122"/>
        <item sd="0" x="147"/>
        <item sd="0" m="1" x="706"/>
        <item sd="0" m="1" x="1095"/>
        <item sd="0" m="1" x="825"/>
        <item sd="0" x="148"/>
        <item sd="0" m="1" x="817"/>
        <item sd="0" m="1" x="950"/>
        <item sd="0" x="112"/>
        <item sd="0" m="1" x="853"/>
        <item sd="0" m="1" x="1015"/>
        <item sd="0" x="385"/>
        <item sd="0" m="1" x="552"/>
        <item sd="0" m="1" x="1097"/>
        <item sd="0" x="228"/>
        <item sd="0" m="1" x="904"/>
        <item sd="0" m="1" x="437"/>
        <item sd="0" m="1" x="1100"/>
        <item sd="0" m="1" x="503"/>
        <item sd="0" m="1" x="641"/>
        <item sd="0" m="1" x="450"/>
        <item sd="0" m="1" x="475"/>
        <item sd="0" m="1" x="958"/>
        <item sd="0" x="144"/>
        <item sd="0" x="149"/>
        <item sd="0" m="1" x="1117"/>
        <item sd="0" x="258"/>
        <item sd="0" x="113"/>
        <item sd="0" m="1" x="889"/>
        <item sd="0" m="1" x="587"/>
        <item sd="0" m="1" x="1063"/>
        <item sd="0" x="45"/>
        <item sd="0" m="1" x="653"/>
        <item sd="0" m="1" x="847"/>
        <item sd="0" m="1" x="826"/>
        <item sd="0" m="1" x="593"/>
        <item sd="0" m="1" x="918"/>
        <item sd="0" x="305"/>
        <item sd="0" x="375"/>
        <item sd="0" x="387"/>
        <item sd="0" x="388"/>
        <item sd="0" m="1" x="519"/>
        <item sd="0" m="1" x="619"/>
        <item sd="0" m="1" x="527"/>
        <item sd="0" m="1" x="757"/>
        <item sd="0" m="1" x="1108"/>
        <item sd="0" m="1" x="480"/>
        <item sd="0" m="1" x="632"/>
        <item sd="0" m="1" x="566"/>
        <item sd="0" x="114"/>
        <item sd="0" m="1" x="518"/>
        <item sd="0" m="1" x="785"/>
        <item sd="0" m="1" x="988"/>
        <item sd="0" m="1" x="1023"/>
        <item sd="0" x="46"/>
        <item sd="0" x="143"/>
        <item sd="0" x="229"/>
        <item sd="0" x="240"/>
        <item sd="0" x="259"/>
        <item sd="0" x="300"/>
        <item sd="0" x="331"/>
        <item sd="0" x="26"/>
        <item sd="0" x="150"/>
        <item sd="0" x="227"/>
        <item sd="0" x="390"/>
        <item sd="0" x="391"/>
        <item sd="0" x="25"/>
        <item sd="0" x="55"/>
        <item sd="0" x="151"/>
        <item sd="0" x="152"/>
        <item sd="0" x="153"/>
        <item sd="0" x="230"/>
        <item sd="0" x="231"/>
        <item sd="0" x="232"/>
        <item sd="0" x="260"/>
        <item sd="0" x="389"/>
        <item sd="0" x="392"/>
        <item sd="0" x="418"/>
        <item sd="0" x="419"/>
        <item sd="0" x="421"/>
        <item sd="0" x="27"/>
        <item sd="0" x="28"/>
        <item sd="0" x="125"/>
        <item sd="0" x="136"/>
        <item sd="0" x="142"/>
        <item sd="0" x="154"/>
        <item sd="0" x="157"/>
        <item sd="0" x="184"/>
        <item sd="0" x="301"/>
        <item sd="0" x="393"/>
        <item sd="0" x="42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8000">
        <item x="221"/>
        <item m="1" x="4738"/>
        <item m="1" x="1231"/>
        <item m="1" x="6004"/>
        <item m="1" x="1592"/>
        <item m="1" x="1760"/>
        <item m="1" x="4822"/>
        <item m="1" x="6869"/>
        <item m="1" x="2369"/>
        <item m="1" x="7490"/>
        <item m="1" x="5219"/>
        <item m="1" x="6413"/>
        <item m="1" x="2476"/>
        <item m="1" x="2395"/>
        <item m="1" x="7718"/>
        <item m="1" x="2926"/>
        <item m="1" x="6284"/>
        <item m="1" x="5206"/>
        <item m="1" x="7805"/>
        <item m="1" x="5424"/>
        <item m="1" x="4550"/>
        <item m="1" x="381"/>
        <item m="1" x="7972"/>
        <item m="1" x="6422"/>
        <item m="1" x="1687"/>
        <item m="1" x="4499"/>
        <item m="1" x="2200"/>
        <item m="1" x="5743"/>
        <item m="1" x="1222"/>
        <item m="1" x="5940"/>
        <item m="1" x="6449"/>
        <item m="1" x="266"/>
        <item m="1" x="5635"/>
        <item m="1" x="1248"/>
        <item m="1" x="5935"/>
        <item m="1" x="4454"/>
        <item m="1" x="6600"/>
        <item m="1" x="3434"/>
        <item m="1" x="6421"/>
        <item m="1" x="1195"/>
        <item m="1" x="5742"/>
        <item m="1" x="274"/>
        <item m="1" x="6374"/>
        <item m="1" x="7095"/>
        <item m="1" x="7845"/>
        <item m="1" x="2712"/>
        <item m="1" x="5461"/>
        <item m="1" x="5401"/>
        <item m="1" x="5938"/>
        <item m="1" x="1213"/>
        <item m="1" x="2028"/>
        <item m="1" x="3183"/>
        <item m="1" x="251"/>
        <item m="1" x="1831"/>
        <item m="1" x="1042"/>
        <item m="1" x="5014"/>
        <item m="1" x="2012"/>
        <item m="1" x="3346"/>
        <item m="1" x="4684"/>
        <item m="1" x="7449"/>
        <item m="1" x="7731"/>
        <item m="1" x="1232"/>
        <item m="1" x="866"/>
        <item m="1" x="2663"/>
        <item m="1" x="4369"/>
        <item m="1" x="4779"/>
        <item m="1" x="3435"/>
        <item m="1" x="3554"/>
        <item m="1" x="2008"/>
        <item m="1" x="6302"/>
        <item m="1" x="7940"/>
        <item m="1" x="2721"/>
        <item m="1" x="3124"/>
        <item m="1" x="6812"/>
        <item m="1" x="644"/>
        <item m="1" x="2828"/>
        <item m="1" x="2834"/>
        <item m="1" x="3862"/>
        <item m="1" x="6106"/>
        <item m="1" x="2584"/>
        <item m="1" x="5482"/>
        <item m="1" x="971"/>
        <item m="1" x="4393"/>
        <item m="1" x="1508"/>
        <item m="1" x="6346"/>
        <item m="1" x="4082"/>
        <item m="1" x="6558"/>
        <item m="1" x="5725"/>
        <item m="1" x="1930"/>
        <item m="1" x="1341"/>
        <item m="1" x="2118"/>
        <item m="1" x="4327"/>
        <item m="1" x="2052"/>
        <item m="1" x="5290"/>
        <item m="1" x="2882"/>
        <item m="1" x="6640"/>
        <item m="1" x="5263"/>
        <item m="1" x="4692"/>
        <item m="1" x="919"/>
        <item m="1" x="4534"/>
        <item m="1" x="4264"/>
        <item m="1" x="2838"/>
        <item m="1" x="2510"/>
        <item m="1" x="6988"/>
        <item m="1" x="3706"/>
        <item m="1" x="2880"/>
        <item m="1" x="3402"/>
        <item m="1" x="5656"/>
        <item m="1" x="1007"/>
        <item m="1" x="6475"/>
        <item m="1" x="1995"/>
        <item m="1" x="7967"/>
        <item m="1" x="4168"/>
        <item m="1" x="1418"/>
        <item m="1" x="6387"/>
        <item m="1" x="6684"/>
        <item m="1" x="1069"/>
        <item m="1" x="7309"/>
        <item m="1" x="2358"/>
        <item m="1" x="5118"/>
        <item m="1" x="934"/>
        <item m="1" x="4732"/>
        <item m="1" x="6592"/>
        <item m="1" x="6202"/>
        <item m="1" x="2054"/>
        <item m="1" x="816"/>
        <item m="1" x="2731"/>
        <item m="1" x="3464"/>
        <item m="1" x="5802"/>
        <item m="1" x="7593"/>
        <item m="1" x="1883"/>
        <item m="1" x="6277"/>
        <item m="1" x="1625"/>
        <item m="1" x="5889"/>
        <item m="1" x="2992"/>
        <item m="1" x="2943"/>
        <item m="1" x="4783"/>
        <item m="1" x="4631"/>
        <item m="1" x="3658"/>
        <item m="1" x="597"/>
        <item m="1" x="1523"/>
        <item m="1" x="2270"/>
        <item m="1" x="1828"/>
        <item m="1" x="3731"/>
        <item m="1" x="382"/>
        <item m="1" x="7779"/>
        <item m="1" x="7793"/>
        <item m="1" x="2790"/>
        <item m="1" x="756"/>
        <item m="1" x="558"/>
        <item m="1" x="1873"/>
        <item m="1" x="2538"/>
        <item m="1" x="3219"/>
        <item m="1" x="4302"/>
        <item m="1" x="5021"/>
        <item m="1" x="5459"/>
        <item m="1" x="7703"/>
        <item m="1" x="6436"/>
        <item m="1" x="7527"/>
        <item m="1" x="3700"/>
        <item m="1" x="7601"/>
        <item m="1" x="5441"/>
        <item m="1" x="5175"/>
        <item m="1" x="7371"/>
        <item m="1" x="5532"/>
        <item m="1" x="3764"/>
        <item m="1" x="1800"/>
        <item m="1" x="2778"/>
        <item m="1" x="6794"/>
        <item m="1" x="5863"/>
        <item m="1" x="1761"/>
        <item m="1" x="313"/>
        <item m="1" x="3486"/>
        <item m="1" x="3734"/>
        <item m="1" x="7879"/>
        <item m="1" x="5362"/>
        <item m="1" x="1713"/>
        <item m="1" x="1184"/>
        <item m="1" x="3695"/>
        <item m="1" x="6866"/>
        <item m="1" x="7974"/>
        <item m="1" x="6342"/>
        <item m="1" x="5276"/>
        <item m="1" x="5690"/>
        <item m="1" x="6631"/>
        <item m="1" x="5325"/>
        <item m="1" x="2126"/>
        <item m="1" x="1059"/>
        <item m="1" x="3323"/>
        <item m="1" x="4802"/>
        <item m="1" x="4791"/>
        <item m="1" x="3588"/>
        <item m="1" x="6260"/>
        <item m="1" x="862"/>
        <item m="1" x="3061"/>
        <item m="1" x="7863"/>
        <item m="1" x="1142"/>
        <item m="1" x="4083"/>
        <item m="1" x="3966"/>
        <item m="1" x="3305"/>
        <item m="1" x="5846"/>
        <item m="1" x="3092"/>
        <item m="1" x="3552"/>
        <item m="1" x="2909"/>
        <item m="1" x="431"/>
        <item m="1" x="6187"/>
        <item m="1" x="5926"/>
        <item m="1" x="6801"/>
        <item m="1" x="5060"/>
        <item m="1" x="651"/>
        <item m="1" x="5550"/>
        <item m="1" x="714"/>
        <item m="1" x="4515"/>
        <item m="1" x="3489"/>
        <item m="1" x="5442"/>
        <item m="1" x="2803"/>
        <item m="1" x="1817"/>
        <item m="1" x="4986"/>
        <item m="1" x="1968"/>
        <item m="1" x="836"/>
        <item m="1" x="1949"/>
        <item m="1" x="556"/>
        <item m="1" x="1722"/>
        <item m="1" x="3977"/>
        <item m="1" x="6155"/>
        <item m="1" x="3227"/>
        <item m="1" x="3131"/>
        <item m="1" x="7007"/>
        <item m="1" x="7847"/>
        <item m="1" x="7416"/>
        <item m="1" x="4977"/>
        <item m="1" x="2545"/>
        <item m="1" x="6902"/>
        <item m="1" x="7770"/>
        <item m="1" x="534"/>
        <item m="1" x="5518"/>
        <item m="1" x="6674"/>
        <item m="1" x="7637"/>
        <item m="1" x="3448"/>
        <item m="1" x="596"/>
        <item m="1" x="7228"/>
        <item m="1" x="1436"/>
        <item m="1" x="4248"/>
        <item m="1" x="2779"/>
        <item m="1" x="3191"/>
        <item m="1" x="7339"/>
        <item m="1" x="2925"/>
        <item m="1" x="5630"/>
        <item m="1" x="2452"/>
        <item m="1" x="5058"/>
        <item m="1" x="3303"/>
        <item m="1" x="6654"/>
        <item m="1" x="3204"/>
        <item m="1" x="5390"/>
        <item m="1" x="6825"/>
        <item m="1" x="7928"/>
        <item m="1" x="6807"/>
        <item m="1" x="2259"/>
        <item m="1" x="7756"/>
        <item m="1" x="1050"/>
        <item m="1" x="1243"/>
        <item m="1" x="6806"/>
        <item m="1" x="6840"/>
        <item m="1" x="1311"/>
        <item m="1" x="2442"/>
        <item m="1" x="3325"/>
        <item m="1" x="2970"/>
        <item m="1" x="704"/>
        <item m="1" x="3949"/>
        <item m="1" x="7745"/>
        <item m="1" x="5610"/>
        <item m="1" x="3948"/>
        <item m="1" x="1028"/>
        <item m="1" x="3479"/>
        <item m="1" x="6912"/>
        <item m="1" x="6732"/>
        <item m="1" x="6290"/>
        <item m="1" x="5745"/>
        <item m="1" x="2682"/>
        <item m="1" x="5601"/>
        <item m="1" x="7587"/>
        <item m="1" x="5706"/>
        <item m="1" x="2379"/>
        <item m="1" x="7783"/>
        <item m="1" x="2881"/>
        <item m="1" x="7821"/>
        <item m="1" x="7500"/>
        <item m="1" x="5331"/>
        <item m="1" x="2933"/>
        <item m="1" x="6099"/>
        <item m="1" x="4710"/>
        <item m="1" x="4080"/>
        <item m="1" x="396"/>
        <item m="1" x="6124"/>
        <item m="1" x="4370"/>
        <item m="1" x="2556"/>
        <item m="1" x="3568"/>
        <item m="1" x="5143"/>
        <item m="1" x="7511"/>
        <item m="1" x="1605"/>
        <item m="1" x="3472"/>
        <item m="1" x="2581"/>
        <item m="1" x="2268"/>
        <item m="1" x="7522"/>
        <item m="1" x="5752"/>
        <item m="1" x="7305"/>
        <item m="1" x="5987"/>
        <item m="1" x="4991"/>
        <item m="1" x="1328"/>
        <item m="1" x="6486"/>
        <item m="1" x="6666"/>
        <item m="1" x="6022"/>
        <item m="1" x="6560"/>
        <item m="1" x="773"/>
        <item m="1" x="7933"/>
        <item m="1" x="1675"/>
        <item m="1" x="5053"/>
        <item m="1" x="1350"/>
        <item m="1" x="2264"/>
        <item m="1" x="6370"/>
        <item m="1" x="497"/>
        <item m="1" x="983"/>
        <item m="1" x="3152"/>
        <item m="1" x="6031"/>
        <item m="1" x="3185"/>
        <item m="1" x="7065"/>
        <item m="1" x="1673"/>
        <item m="1" x="3780"/>
        <item m="1" x="1963"/>
        <item m="1" x="5950"/>
        <item m="1" x="2341"/>
        <item m="1" x="2895"/>
        <item m="1" x="3003"/>
        <item m="1" x="1851"/>
        <item m="1" x="6643"/>
        <item m="1" x="7211"/>
        <item m="1" x="6258"/>
        <item m="1" x="681"/>
        <item m="1" x="3362"/>
        <item m="1" x="7893"/>
        <item m="1" x="5141"/>
        <item m="1" x="2787"/>
        <item m="1" x="3995"/>
        <item m="1" x="5823"/>
        <item m="1" x="2530"/>
        <item m="1" x="6194"/>
        <item m="1" x="7263"/>
        <item m="1" x="5860"/>
        <item m="1" x="903"/>
        <item m="1" x="6793"/>
        <item m="1" x="3201"/>
        <item m="1" x="1735"/>
        <item m="1" x="1752"/>
        <item m="1" x="4627"/>
        <item m="1" x="4763"/>
        <item m="1" x="3799"/>
        <item m="1" x="7976"/>
        <item m="1" x="6690"/>
        <item m="1" x="2974"/>
        <item m="1" x="5027"/>
        <item m="1" x="6535"/>
        <item m="1" x="1429"/>
        <item m="1" x="4113"/>
        <item m="1" x="5687"/>
        <item m="1" x="3181"/>
        <item m="1" x="1454"/>
        <item m="1" x="2853"/>
        <item m="1" x="933"/>
        <item m="1" x="6815"/>
        <item m="1" x="6228"/>
        <item m="1" x="7631"/>
        <item m="1" x="4500"/>
        <item m="1" x="6842"/>
        <item m="1" x="6085"/>
        <item m="1" x="4666"/>
        <item m="1" x="5547"/>
        <item m="1" x="7136"/>
        <item m="1" x="3763"/>
        <item m="1" x="7266"/>
        <item m="1" x="2194"/>
        <item m="1" x="6114"/>
        <item m="1" x="4388"/>
        <item m="1" x="6583"/>
        <item m="1" x="3093"/>
        <item m="1" x="1452"/>
        <item m="1" x="6438"/>
        <item m="1" x="5394"/>
        <item m="1" x="6886"/>
        <item m="1" x="5831"/>
        <item m="1" x="5684"/>
        <item m="1" x="2665"/>
        <item m="1" x="3986"/>
        <item m="1" x="3506"/>
        <item m="1" x="4543"/>
        <item m="1" x="5168"/>
        <item m="1" x="5370"/>
        <item m="1" x="4913"/>
        <item m="1" x="2015"/>
        <item m="1" x="6636"/>
        <item m="1" x="778"/>
        <item m="1" x="5760"/>
        <item m="1" x="4058"/>
        <item m="1" x="5990"/>
        <item m="1" x="1920"/>
        <item m="1" x="7386"/>
        <item m="1" x="2519"/>
        <item m="1" x="4048"/>
        <item m="1" x="4422"/>
        <item m="1" x="2554"/>
        <item m="1" x="6462"/>
        <item m="1" x="6499"/>
        <item m="1" x="249"/>
        <item m="1" x="5095"/>
        <item m="1" x="807"/>
        <item m="1" x="6410"/>
        <item m="1" x="5277"/>
        <item m="1" x="3796"/>
        <item m="1" x="5318"/>
        <item m="1" x="7592"/>
        <item m="1" x="4658"/>
        <item m="1" x="6371"/>
        <item m="1" x="1803"/>
        <item m="1" x="261"/>
        <item m="1" x="785"/>
        <item m="1" x="3507"/>
        <item m="1" x="415"/>
        <item m="1" x="7412"/>
        <item m="1" x="2073"/>
        <item m="1" x="4953"/>
        <item m="1" x="677"/>
        <item m="1" x="7908"/>
        <item m="1" x="2477"/>
        <item m="1" x="3260"/>
        <item m="1" x="3129"/>
        <item m="1" x="6026"/>
        <item m="1" x="3085"/>
        <item m="1" x="7578"/>
        <item m="1" x="2611"/>
        <item m="1" x="2177"/>
        <item m="1" x="7524"/>
        <item m="1" x="368"/>
        <item m="1" x="5662"/>
        <item m="1" x="3792"/>
        <item m="1" x="2617"/>
        <item m="1" x="6397"/>
        <item m="1" x="4346"/>
        <item m="1" x="4099"/>
        <item m="1" x="3460"/>
        <item m="1" x="6261"/>
        <item m="1" x="6729"/>
        <item m="1" x="7289"/>
        <item m="1" x="527"/>
        <item m="1" x="4186"/>
        <item m="1" x="6304"/>
        <item m="1" x="4973"/>
        <item m="1" x="6799"/>
        <item m="1" x="3309"/>
        <item m="1" x="2298"/>
        <item m="1" x="1780"/>
        <item m="1" x="3379"/>
        <item m="1" x="4497"/>
        <item m="1" x="4243"/>
        <item m="1" x="6835"/>
        <item m="1" x="5790"/>
        <item m="1" x="2357"/>
        <item m="1" x="7310"/>
        <item m="1" x="6761"/>
        <item m="1" x="3482"/>
        <item m="1" x="6380"/>
        <item m="1" x="2473"/>
        <item m="1" x="7128"/>
        <item m="1" x="7016"/>
        <item m="1" x="6058"/>
        <item m="1" x="2722"/>
        <item m="1" x="5196"/>
        <item m="1" x="4709"/>
        <item m="1" x="2328"/>
        <item m="1" x="2441"/>
        <item m="1" x="1959"/>
        <item m="1" x="5545"/>
        <item m="1" x="6043"/>
        <item m="1" x="6353"/>
        <item m="1" x="4423"/>
        <item m="1" x="6061"/>
        <item m="1" x="2381"/>
        <item m="1" x="3046"/>
        <item m="1" x="5867"/>
        <item m="1" x="1190"/>
        <item m="1" x="262"/>
        <item m="1" x="6998"/>
        <item m="1" x="2652"/>
        <item m="1" x="6650"/>
        <item m="1" x="1409"/>
        <item m="1" x="1705"/>
        <item m="1" x="5352"/>
        <item m="1" x="3298"/>
        <item m="1" x="5709"/>
        <item m="1" x="7036"/>
        <item m="1" x="7576"/>
        <item m="1" x="4289"/>
        <item m="1" x="7321"/>
        <item m="1" x="2945"/>
        <item m="1" x="6713"/>
        <item m="1" x="7002"/>
        <item m="1" x="4896"/>
        <item m="1" x="4890"/>
        <item m="1" x="462"/>
        <item m="1" x="1228"/>
        <item m="1" x="7855"/>
        <item m="1" x="2806"/>
        <item m="1" x="2286"/>
        <item m="1" x="719"/>
        <item m="1" x="2929"/>
        <item m="1" x="1502"/>
        <item m="1" x="5652"/>
        <item m="1" x="840"/>
        <item m="1" x="6345"/>
        <item m="1" x="6848"/>
        <item m="1" x="3709"/>
        <item m="1" x="3607"/>
        <item m="1" x="4036"/>
        <item m="1" x="4104"/>
        <item m="1" x="6472"/>
        <item m="1" x="1602"/>
        <item m="1" x="6731"/>
        <item m="1" x="5243"/>
        <item m="1" x="3228"/>
        <item m="1" x="1674"/>
        <item m="1" x="3673"/>
        <item m="1" x="5254"/>
        <item m="1" x="3004"/>
        <item m="1" x="5986"/>
        <item m="1" x="6189"/>
        <item m="1" x="4907"/>
        <item m="1" x="4057"/>
        <item m="1" x="2213"/>
        <item m="1" x="3739"/>
        <item m="1" x="3274"/>
        <item m="1" x="6679"/>
        <item m="1" x="6513"/>
        <item m="1" x="1282"/>
        <item m="1" x="4856"/>
        <item m="1" x="5398"/>
        <item m="1" x="883"/>
        <item m="1" x="7486"/>
        <item m="1" x="5164"/>
        <item m="1" x="1501"/>
        <item m="1" x="6063"/>
        <item m="1" x="7961"/>
        <item m="1" x="7451"/>
        <item m="1" x="3650"/>
        <item m="1" x="7659"/>
        <item m="1" x="3839"/>
        <item m="1" x="6087"/>
        <item m="1" x="7410"/>
        <item m="1" x="7030"/>
        <item m="1" x="6112"/>
        <item m="1" x="5744"/>
        <item m="1" x="6503"/>
        <item m="1" x="1520"/>
        <item m="1" x="376"/>
        <item m="1" x="4054"/>
        <item m="1" x="7023"/>
        <item m="1" x="2639"/>
        <item m="1" x="231"/>
        <item m="1" x="6887"/>
        <item m="1" x="3319"/>
        <item m="1" x="3225"/>
        <item m="1" x="4367"/>
        <item m="1" x="601"/>
        <item m="1" x="2312"/>
        <item m="1" x="3117"/>
        <item m="1" x="3924"/>
        <item m="1" x="5345"/>
        <item m="1" x="4916"/>
        <item m="1" x="2644"/>
        <item m="1" x="730"/>
        <item m="1" x="4926"/>
        <item m="1" x="2175"/>
        <item m="1" x="5583"/>
        <item m="1" x="737"/>
        <item m="1" x="2629"/>
        <item m="1" x="3938"/>
        <item m="1" x="1573"/>
        <item m="1" x="5887"/>
        <item m="1" x="324"/>
        <item m="1" x="2973"/>
        <item m="1" x="3423"/>
        <item m="1" x="1256"/>
        <item m="1" x="6932"/>
        <item m="1" x="5686"/>
        <item m="1" x="4865"/>
        <item m="1" x="2035"/>
        <item m="1" x="7800"/>
        <item m="1" x="3613"/>
        <item m="1" x="5382"/>
        <item m="1" x="3200"/>
        <item m="1" x="886"/>
        <item m="1" x="5456"/>
        <item m="1" x="804"/>
        <item m="1" x="4166"/>
        <item m="1" x="7759"/>
        <item m="1" x="4012"/>
        <item m="1" x="3465"/>
        <item m="1" x="3637"/>
        <item m="1" x="4386"/>
        <item m="1" x="7802"/>
        <item m="1" x="225"/>
        <item m="1" x="2650"/>
        <item m="1" x="5943"/>
        <item m="1" x="7665"/>
        <item m="1" x="7702"/>
        <item m="1" x="4961"/>
        <item m="1" x="3107"/>
        <item m="1" x="5356"/>
        <item m="1" x="7784"/>
        <item m="1" x="2946"/>
        <item m="1" x="5556"/>
        <item m="1" x="2108"/>
        <item m="1" x="7301"/>
        <item m="1" x="6138"/>
        <item m="1" x="6029"/>
        <item m="1" x="5203"/>
        <item m="1" x="3539"/>
        <item m="1" x="347"/>
        <item m="1" x="2387"/>
        <item m="1" x="2879"/>
        <item m="1" x="6406"/>
        <item m="1" x="2966"/>
        <item m="1" x="1164"/>
        <item m="1" x="6962"/>
        <item m="1" x="5426"/>
        <item m="1" x="7771"/>
        <item m="1" x="1312"/>
        <item m="1" x="7515"/>
        <item m="1" x="3070"/>
        <item m="1" x="841"/>
        <item m="1" x="2320"/>
        <item m="1" x="7050"/>
        <item m="1" x="1148"/>
        <item m="1" x="2416"/>
        <item m="1" x="6147"/>
        <item m="1" x="477"/>
        <item m="1" x="1621"/>
        <item m="1" x="7494"/>
        <item m="1" x="6911"/>
        <item m="1" x="5029"/>
        <item m="1" x="5896"/>
        <item m="1" x="2171"/>
        <item m="1" x="5828"/>
        <item m="1" x="7256"/>
        <item m="1" x="3873"/>
        <item m="1" x="7363"/>
        <item m="1" x="3475"/>
        <item m="1" x="826"/>
        <item m="1" x="4568"/>
        <item m="1" x="1524"/>
        <item m="1" x="6720"/>
        <item m="1" x="4184"/>
        <item m="1" x="2547"/>
        <item m="1" x="7340"/>
        <item m="1" x="2196"/>
        <item m="1" x="4614"/>
        <item m="1" x="586"/>
        <item m="1" x="4348"/>
        <item m="1" x="6257"/>
        <item m="1" x="956"/>
        <item m="1" x="2948"/>
        <item m="1" x="5473"/>
        <item m="1" x="5804"/>
        <item m="1" x="3087"/>
        <item m="1" x="4734"/>
        <item m="1" x="6329"/>
        <item m="1" x="6820"/>
        <item m="1" x="301"/>
        <item m="1" x="7941"/>
        <item m="1" x="1000"/>
        <item m="1" x="6451"/>
        <item m="1" x="4773"/>
        <item m="1" x="1274"/>
        <item m="1" x="7916"/>
        <item m="1" x="5739"/>
        <item m="1" x="4586"/>
        <item m="1" x="1875"/>
        <item m="1" x="3108"/>
        <item m="1" x="2148"/>
        <item m="1" x="7899"/>
        <item m="1" x="557"/>
        <item m="1" x="2635"/>
        <item m="1" x="4970"/>
        <item m="1" x="5355"/>
        <item m="1" x="979"/>
        <item m="1" x="552"/>
        <item m="1" x="252"/>
        <item m="1" x="1450"/>
        <item m="1" x="3933"/>
        <item m="1" x="223"/>
        <item m="1" x="7708"/>
        <item m="1" x="6253"/>
        <item m="1" x="5253"/>
        <item m="1" x="787"/>
        <item m="1" x="2344"/>
        <item m="1" x="7606"/>
        <item m="1" x="4978"/>
        <item m="1" x="2605"/>
        <item m="1" x="7620"/>
        <item m="1" x="5713"/>
        <item m="1" x="4450"/>
        <item m="1" x="7077"/>
        <item m="1" x="6588"/>
        <item m="1" x="6832"/>
        <item m="1" x="6530"/>
        <item m="1" x="1054"/>
        <item m="1" x="4816"/>
        <item m="1" x="6889"/>
        <item m="1" x="3008"/>
        <item m="1" x="6156"/>
        <item m="1" x="5857"/>
        <item m="1" x="1257"/>
        <item m="1" x="7293"/>
        <item m="1" x="3473"/>
        <item m="1" x="3405"/>
        <item m="1" x="4142"/>
        <item m="1" x="286"/>
        <item m="1" x="1969"/>
        <item m="1" x="2111"/>
        <item m="1" x="7572"/>
        <item m="1" x="6845"/>
        <item m="1" x="7296"/>
        <item m="1" x="6047"/>
        <item m="1" x="5521"/>
        <item m="1" x="987"/>
        <item m="1" x="6878"/>
        <item m="1" x="2094"/>
        <item m="1" x="3508"/>
        <item m="1" x="4154"/>
        <item m="1" x="7760"/>
        <item m="1" x="2958"/>
        <item m="1" x="6476"/>
        <item m="1" x="4671"/>
        <item m="1" x="1359"/>
        <item m="1" x="7193"/>
        <item m="1" x="2960"/>
        <item m="1" x="4540"/>
        <item m="1" x="5541"/>
        <item m="1" x="5592"/>
        <item m="1" x="6055"/>
        <item m="1" x="1899"/>
        <item m="1" x="6557"/>
        <item m="1" x="2474"/>
        <item m="1" x="5708"/>
        <item m="1" x="1716"/>
        <item m="1" x="1422"/>
        <item m="1" x="641"/>
        <item m="1" x="3357"/>
        <item m="1" x="5126"/>
        <item m="1" x="783"/>
        <item m="1" x="2334"/>
        <item m="1" x="4936"/>
        <item m="1" x="5379"/>
        <item m="1" x="4247"/>
        <item m="1" x="2993"/>
        <item m="1" x="5496"/>
        <item m="1" x="7754"/>
        <item m="1" x="5573"/>
        <item m="1" x="7383"/>
        <item m="1" x="2064"/>
        <item m="1" x="411"/>
        <item m="1" x="1112"/>
        <item m="1" x="1526"/>
        <item m="1" x="2840"/>
        <item m="1" x="7378"/>
        <item m="1" x="2859"/>
        <item m="1" x="7870"/>
        <item m="1" x="589"/>
        <item m="1" x="2142"/>
        <item m="1" x="4602"/>
        <item m="1" x="4793"/>
        <item m="1" x="3063"/>
        <item m="1" x="5509"/>
        <item m="1" x="4307"/>
        <item m="1" x="588"/>
        <item m="1" x="7885"/>
        <item m="1" x="3312"/>
        <item m="1" x="6718"/>
        <item m="1" x="2641"/>
        <item m="1" x="1929"/>
        <item m="1" x="5418"/>
        <item m="1" x="7699"/>
        <item m="1" x="2410"/>
        <item m="1" x="4153"/>
        <item m="1" x="3345"/>
        <item m="1" x="1521"/>
        <item m="1" x="7108"/>
        <item m="1" x="3571"/>
        <item m="1" x="7957"/>
        <item m="1" x="3371"/>
        <item m="1" x="6579"/>
        <item m="1" x="2752"/>
        <item m="1" x="6927"/>
        <item m="1" x="1915"/>
        <item m="1" x="3162"/>
        <item m="1" x="2703"/>
        <item m="1" x="4041"/>
        <item m="1" x="5480"/>
        <item m="1" x="2291"/>
        <item m="1" x="5312"/>
        <item m="1" x="4182"/>
        <item m="1" x="6382"/>
        <item m="1" x="2419"/>
        <item m="1" x="2134"/>
        <item m="1" x="2723"/>
        <item m="1" x="7883"/>
        <item m="1" x="4549"/>
        <item m="1" x="7738"/>
        <item m="1" x="981"/>
        <item m="1" x="406"/>
        <item m="1" x="7454"/>
        <item m="1" x="7690"/>
        <item m="1" x="5546"/>
        <item m="1" x="5929"/>
        <item m="1" x="6913"/>
        <item m="1" x="1253"/>
        <item m="1" x="7315"/>
        <item m="1" x="6252"/>
        <item m="1" x="3289"/>
        <item m="1" x="3750"/>
        <item m="1" x="4832"/>
        <item m="1" x="5405"/>
        <item m="1" x="5692"/>
        <item m="1" x="5100"/>
        <item m="1" x="2206"/>
        <item m="1" x="2444"/>
        <item m="1" x="2273"/>
        <item m="1" x="7752"/>
        <item m="1" x="670"/>
        <item m="1" x="6629"/>
        <item m="1" x="4219"/>
        <item m="1" x="1813"/>
        <item m="1" x="3586"/>
        <item m="1" x="3877"/>
        <item m="1" x="4173"/>
        <item m="1" x="7503"/>
        <item m="1" x="7583"/>
        <item m="1" x="4399"/>
        <item m="1" x="2349"/>
        <item m="1" x="1423"/>
        <item m="1" x="7789"/>
        <item m="1" x="5737"/>
        <item m="1" x="2854"/>
        <item m="1" x="6664"/>
        <item m="1" x="3854"/>
        <item m="1" x="4599"/>
        <item m="1" x="5516"/>
        <item m="1" x="7716"/>
        <item m="1" x="6739"/>
        <item m="1" x="3339"/>
        <item m="1" x="7616"/>
        <item m="1" x="2212"/>
        <item m="1" x="7591"/>
        <item m="1" x="285"/>
        <item m="1" x="1598"/>
        <item m="1" x="3874"/>
        <item m="1" x="5498"/>
        <item m="1" x="2781"/>
        <item m="1" x="5435"/>
        <item m="1" x="5266"/>
        <item m="1" x="5120"/>
        <item m="1" x="7032"/>
        <item m="1" x="5704"/>
        <item m="1" x="6051"/>
        <item m="1" x="6234"/>
        <item m="1" x="4079"/>
        <item m="1" x="2356"/>
        <item m="1" x="1172"/>
        <item m="1" x="6113"/>
        <item m="1" x="6599"/>
        <item m="1" x="7795"/>
        <item m="1" x="3540"/>
        <item m="1" x="2730"/>
        <item m="1" x="4834"/>
        <item m="1" x="5694"/>
        <item m="1" x="4774"/>
        <item m="1" x="3237"/>
        <item m="1" x="3748"/>
        <item m="1" x="7568"/>
        <item m="1" x="7711"/>
        <item m="1" x="6604"/>
        <item m="1" x="7709"/>
        <item m="1" x="5728"/>
        <item m="1" x="5051"/>
        <item m="1" x="6440"/>
        <item m="1" x="4975"/>
        <item m="1" x="1805"/>
        <item m="1" x="5278"/>
        <item m="1" x="6760"/>
        <item m="1" x="7638"/>
        <item m="1" x="5364"/>
        <item m="1" x="855"/>
        <item m="1" x="7520"/>
        <item m="1" x="1374"/>
        <item m="1" x="4198"/>
        <item m="1" x="6441"/>
        <item m="1" x="5080"/>
        <item m="1" x="3556"/>
        <item m="1" x="5154"/>
        <item m="1" x="2211"/>
        <item m="1" x="358"/>
        <item m="1" x="5777"/>
        <item m="1" x="4959"/>
        <item m="1" x="864"/>
        <item m="1" x="1478"/>
        <item m="1" x="6458"/>
        <item m="1" x="6065"/>
        <item m="1" x="2758"/>
        <item m="1" x="2977"/>
        <item m="1" x="6160"/>
        <item m="1" x="4523"/>
        <item m="1" x="3324"/>
        <item m="1" x="7877"/>
        <item m="1" x="690"/>
        <item m="1" x="695"/>
        <item m="1" x="4214"/>
        <item m="1" x="1742"/>
        <item m="1" x="3641"/>
        <item m="1" x="3885"/>
        <item m="1" x="7647"/>
        <item m="1" x="4196"/>
        <item m="1" x="335"/>
        <item m="1" x="7433"/>
        <item m="1" x="4449"/>
        <item m="1" x="763"/>
        <item m="1" x="6255"/>
        <item m="1" x="2451"/>
        <item m="1" x="4119"/>
        <item m="1" x="2512"/>
        <item m="1" x="5750"/>
        <item m="1" x="3928"/>
        <item m="1" x="3170"/>
        <item m="1" x="3863"/>
        <item m="1" x="304"/>
        <item m="1" x="4477"/>
        <item m="1" x="5582"/>
        <item m="1" x="2479"/>
        <item m="1" x="5338"/>
        <item m="1" x="7429"/>
        <item m="1" x="2333"/>
        <item m="1" x="5084"/>
        <item m="1" x="3889"/>
        <item m="1" x="6924"/>
        <item m="1" x="7679"/>
        <item m="1" x="6606"/>
        <item m="1" x="6238"/>
        <item m="1" x="3852"/>
        <item m="1" x="6868"/>
        <item m="1" x="6242"/>
        <item m="1" x="2424"/>
        <item m="1" x="5314"/>
        <item m="1" x="1852"/>
        <item m="1" x="3823"/>
        <item m="1" x="2531"/>
        <item m="1" x="435"/>
        <item m="1" x="4653"/>
        <item m="1" x="1275"/>
        <item m="1" x="3436"/>
        <item m="1" x="1133"/>
        <item m="1" x="4044"/>
        <item m="1" x="2718"/>
        <item m="1" x="1933"/>
        <item m="1" x="3807"/>
        <item m="1" x="6014"/>
        <item m="1" x="6142"/>
        <item m="1" x="4305"/>
        <item m="1" x="5210"/>
        <item m="1" x="1373"/>
        <item m="1" x="715"/>
        <item m="1" x="1095"/>
        <item m="1" x="7497"/>
        <item m="1" x="464"/>
        <item m="1" x="1055"/>
        <item m="1" x="5591"/>
        <item m="1" x="6003"/>
        <item m="1" x="2269"/>
        <item m="1" x="483"/>
        <item m="1" x="4470"/>
        <item m="1" x="2978"/>
        <item m="1" x="2587"/>
        <item m="1" x="6895"/>
        <item m="1" x="4412"/>
        <item m="1" x="4590"/>
        <item m="1" x="7627"/>
        <item m="1" x="6705"/>
        <item m="1" x="6687"/>
        <item m="1" x="6285"/>
        <item m="1" x="3831"/>
        <item m="1" x="473"/>
        <item m="1" x="5475"/>
        <item m="1" x="3767"/>
        <item m="1" x="6437"/>
        <item m="1" x="1080"/>
        <item m="1" x="6529"/>
        <item m="1" x="3627"/>
        <item m="1" x="7573"/>
        <item m="1" x="5508"/>
        <item m="1" x="5890"/>
        <item m="1" x="7194"/>
        <item m="1" x="2116"/>
        <item m="1" x="2664"/>
        <item m="1" x="5928"/>
        <item m="1" x="2448"/>
        <item m="1" x="930"/>
        <item m="1" x="5071"/>
        <item m="1" x="4063"/>
        <item m="1" x="5022"/>
        <item m="1" x="2075"/>
        <item m="1" x="6724"/>
        <item m="1" x="593"/>
        <item m="1" x="6605"/>
        <item m="1" x="2824"/>
        <item m="1" x="2713"/>
        <item m="1" x="5147"/>
        <item m="1" x="2735"/>
        <item m="1" x="4345"/>
        <item m="1" x="7921"/>
        <item m="1" x="757"/>
        <item m="1" x="1639"/>
        <item m="1" x="4293"/>
        <item m="1" x="2832"/>
        <item m="1" x="2215"/>
        <item m="1" x="2393"/>
        <item m="1" x="5466"/>
        <item m="1" x="3301"/>
        <item m="1" x="2017"/>
        <item m="1" x="7761"/>
        <item m="1" x="1727"/>
        <item m="1" x="2100"/>
        <item m="1" x="7241"/>
        <item m="1" x="5830"/>
        <item m="1" x="5792"/>
        <item m="1" x="2025"/>
        <item m="1" x="679"/>
        <item m="1" x="7172"/>
        <item m="1" x="4815"/>
        <item m="1" x="1364"/>
        <item m="1" x="3590"/>
        <item m="1" x="6035"/>
        <item m="1" x="2736"/>
        <item m="1" x="845"/>
        <item m="1" x="3901"/>
        <item m="1" x="3708"/>
        <item m="1" x="408"/>
        <item m="1" x="482"/>
        <item m="1" x="7179"/>
        <item m="1" x="1009"/>
        <item m="1" x="5367"/>
        <item m="1" x="315"/>
        <item m="1" x="7780"/>
        <item m="1" x="6585"/>
        <item m="1" x="5991"/>
        <item m="1" x="6809"/>
        <item m="1" x="4126"/>
        <item m="1" x="6834"/>
        <item m="1" x="1552"/>
        <item m="1" x="1833"/>
        <item m="1" x="2991"/>
        <item m="1" x="3363"/>
        <item m="1" x="789"/>
        <item m="1" x="6297"/>
        <item m="1" x="4595"/>
        <item m="1" x="2770"/>
        <item m="1" x="4498"/>
        <item m="1" x="1434"/>
        <item m="1" x="1525"/>
        <item m="1" x="3151"/>
        <item m="1" x="3010"/>
        <item m="1" x="3121"/>
        <item m="1" x="4060"/>
        <item m="1" x="6294"/>
        <item m="1" x="1453"/>
        <item m="1" x="6821"/>
        <item m="1" x="2040"/>
        <item m="1" x="5787"/>
        <item m="1" x="2742"/>
        <item m="1" x="3788"/>
        <item m="1" x="5998"/>
        <item m="1" x="992"/>
        <item m="1" x="7083"/>
        <item m="1" x="6263"/>
        <item m="1" x="2176"/>
        <item m="1" x="999"/>
        <item m="1" x="2005"/>
        <item m="1" x="4103"/>
        <item m="1" x="592"/>
        <item m="1" x="280"/>
        <item m="1" x="2923"/>
        <item m="1" x="2323"/>
        <item m="1" x="5272"/>
        <item m="1" x="747"/>
        <item m="1" x="4872"/>
        <item m="1" x="4468"/>
        <item m="1" x="2414"/>
        <item m="1" x="4867"/>
        <item m="1" x="6657"/>
        <item m="1" x="5953"/>
        <item m="1" x="4923"/>
        <item m="1" x="726"/>
        <item m="1" x="1223"/>
        <item m="1" x="4306"/>
        <item m="1" x="4598"/>
        <item m="1" x="3048"/>
        <item m="1" x="5430"/>
        <item m="1" x="6764"/>
        <item m="1" x="5624"/>
        <item m="1" x="2090"/>
        <item m="1" x="5517"/>
        <item m="1" x="5408"/>
        <item m="1" x="3524"/>
        <item m="1" x="2191"/>
        <item m="1" x="1040"/>
        <item m="1" x="5631"/>
        <item m="1" x="3726"/>
        <item m="1" x="2241"/>
        <item m="1" x="7952"/>
        <item m="1" x="1135"/>
        <item m="1" x="7924"/>
        <item m="1" x="6362"/>
        <item m="1" x="5115"/>
        <item m="1" x="7566"/>
        <item m="1" x="2677"/>
        <item m="1" x="7143"/>
        <item m="1" x="289"/>
        <item m="1" x="3533"/>
        <item m="1" x="6990"/>
        <item m="1" x="1298"/>
        <item m="1" x="1659"/>
        <item m="1" x="2228"/>
        <item m="1" x="3991"/>
        <item m="1" x="3033"/>
        <item m="1" x="2053"/>
        <item m="1" x="6819"/>
        <item m="1" x="5018"/>
        <item m="1" x="6844"/>
        <item m="1" x="3239"/>
        <item m="1" x="2516"/>
        <item m="1" x="5994"/>
        <item m="1" x="3292"/>
        <item m="1" x="630"/>
        <item m="1" x="4669"/>
        <item m="1" x="3833"/>
        <item m="1" x="2189"/>
        <item m="1" x="7155"/>
        <item m="1" x="6018"/>
        <item m="1" x="6246"/>
        <item m="1" x="7210"/>
        <item m="1" x="5620"/>
        <item m="1" x="7963"/>
        <item m="1" x="4800"/>
        <item m="1" x="4195"/>
        <item m="1" x="1144"/>
        <item m="1" x="2801"/>
        <item m="1" x="2884"/>
        <item m="1" x="1623"/>
        <item m="1" x="3575"/>
        <item m="1" x="5612"/>
        <item m="1" x="7830"/>
        <item m="1" x="2436"/>
        <item m="1" x="801"/>
        <item m="1" x="1022"/>
        <item m="1" x="1204"/>
        <item m="1" x="5639"/>
        <item m="1" x="460"/>
        <item m="1" x="6452"/>
        <item m="1" x="3565"/>
        <item m="1" x="6094"/>
        <item m="1" x="2346"/>
        <item m="1" x="7048"/>
        <item m="1" x="3148"/>
        <item m="1" x="1647"/>
        <item m="1" x="5856"/>
        <item m="1" x="5166"/>
        <item m="1" x="6831"/>
        <item m="1" x="5520"/>
        <item m="1" x="5872"/>
        <item m="1" x="1692"/>
        <item m="1" x="2851"/>
        <item m="1" x="2128"/>
        <item m="1" x="3442"/>
        <item m="1" x="3714"/>
        <item m="1" x="7022"/>
        <item m="1" x="3031"/>
        <item m="1" x="5340"/>
        <item m="1" x="2591"/>
        <item m="1" x="1546"/>
        <item m="1" x="6559"/>
        <item m="1" x="4769"/>
        <item m="1" x="4406"/>
        <item m="1" x="3548"/>
        <item m="1" x="4495"/>
        <item m="1" x="2913"/>
        <item m="1" x="4263"/>
        <item m="1" x="2214"/>
        <item m="1" x="6523"/>
        <item m="1" x="6079"/>
        <item m="1" x="7746"/>
        <item m="1" x="3209"/>
        <item m="1" x="904"/>
        <item m="1" x="6264"/>
        <item m="1" x="7737"/>
        <item m="1" x="5854"/>
        <item m="1" x="2173"/>
        <item m="1" x="3304"/>
        <item m="1" x="3669"/>
        <item m="1" x="7387"/>
        <item m="1" x="5769"/>
        <item m="1" x="4683"/>
        <item m="1" x="2315"/>
        <item m="1" x="517"/>
        <item m="1" x="6735"/>
        <item m="1" x="7530"/>
        <item m="1" x="1701"/>
        <item m="1" x="4625"/>
        <item m="1" x="3058"/>
        <item m="1" x="3775"/>
        <item m="1" x="959"/>
        <item m="1" x="5703"/>
        <item m="1" x="6796"/>
        <item m="1" x="2738"/>
        <item m="1" x="7808"/>
        <item m="1" x="5261"/>
        <item m="1" x="7555"/>
        <item m="1" x="3622"/>
        <item m="1" x="2434"/>
        <item m="1" x="4979"/>
        <item m="1" x="5811"/>
        <item m="1" x="3987"/>
        <item m="1" x="4429"/>
        <item m="1" x="3458"/>
        <item m="1" x="7550"/>
        <item m="1" x="7190"/>
        <item m="1" x="941"/>
        <item m="1" x="2199"/>
        <item m="1" x="3095"/>
        <item m="1" x="4320"/>
        <item m="1" x="3344"/>
        <item m="1" x="6466"/>
        <item m="1" x="1707"/>
        <item m="1" x="281"/>
        <item m="1" x="4004"/>
        <item m="1" x="2662"/>
        <item m="1" x="4109"/>
        <item m="1" x="1948"/>
        <item m="1" x="3418"/>
        <item m="1" x="5535"/>
        <item m="1" x="3717"/>
        <item m="1" x="2965"/>
        <item m="1" x="5795"/>
        <item m="1" x="3534"/>
        <item m="1" x="5807"/>
        <item m="1" x="7224"/>
        <item m="1" x="3001"/>
        <item m="1" x="5250"/>
        <item m="1" x="6288"/>
        <item m="1" x="5873"/>
        <item m="1" x="6332"/>
        <item m="1" x="3047"/>
        <item m="1" x="5705"/>
        <item m="1" x="2815"/>
        <item m="1" x="988"/>
        <item m="1" x="7534"/>
        <item m="1" x="829"/>
        <item m="1" x="3529"/>
        <item m="1" x="1171"/>
        <item m="1" x="3045"/>
        <item m="1" x="5643"/>
        <item m="1" x="1791"/>
        <item m="1" x="4701"/>
        <item m="1" x="7265"/>
        <item m="1" x="1768"/>
        <item m="1" x="7871"/>
        <item m="1" x="7931"/>
        <item m="1" x="1985"/>
        <item m="1" x="4156"/>
        <item m="1" x="1115"/>
        <item m="1" x="5904"/>
        <item m="1" x="5783"/>
        <item m="1" x="2725"/>
        <item m="1" x="5275"/>
        <item m="1" x="6630"/>
        <item m="1" x="5533"/>
        <item m="1" x="7705"/>
        <item m="1" x="2373"/>
        <item m="1" x="2045"/>
        <item m="1" x="1442"/>
        <item m="1" x="4354"/>
        <item m="1" x="6266"/>
        <item m="1" x="1988"/>
        <item m="1" x="5102"/>
        <item m="1" x="4886"/>
        <item m="1" x="384"/>
        <item m="1" x="5754"/>
        <item m="1" x="273"/>
        <item m="1" x="4525"/>
        <item m="1" x="4323"/>
        <item m="1" x="4482"/>
        <item m="1" x="459"/>
        <item m="1" x="3142"/>
        <item m="1" x="5104"/>
        <item m="1" x="2056"/>
        <item m="1" x="2024"/>
        <item m="1" x="1351"/>
        <item m="1" x="7579"/>
        <item m="1" x="4206"/>
        <item m="1" x="6179"/>
        <item m="1" x="2846"/>
        <item m="1" x="7753"/>
        <item m="1" x="5574"/>
        <item m="1" x="621"/>
        <item m="1" x="4417"/>
        <item m="1" x="4474"/>
        <item m="1" x="3411"/>
        <item m="1" x="351"/>
        <item m="1" x="6665"/>
        <item m="1" x="6010"/>
        <item m="1" x="2583"/>
        <item m="1" x="7712"/>
        <item m="1" x="1062"/>
        <item m="1" x="664"/>
        <item m="1" x="4776"/>
        <item m="1" x="5930"/>
        <item m="1" x="5675"/>
        <item m="1" x="5840"/>
        <item m="1" x="1268"/>
        <item m="1" x="2085"/>
        <item m="1" x="7776"/>
        <item m="1" x="3869"/>
        <item m="1" x="6215"/>
        <item m="1" x="4076"/>
        <item m="1" x="6525"/>
        <item m="1" x="3374"/>
        <item m="1" x="4222"/>
        <item m="1" x="7116"/>
        <item m="1" x="6045"/>
        <item m="1" x="3713"/>
        <item m="1" x="7901"/>
        <item m="1" x="5749"/>
        <item m="1" x="5113"/>
        <item m="1" x="6212"/>
        <item m="1" x="6431"/>
        <item m="1" x="269"/>
        <item m="1" x="3210"/>
        <item m="1" x="7719"/>
        <item m="1" x="4005"/>
        <item m="1" x="6981"/>
        <item m="1" x="5898"/>
        <item m="1" x="4266"/>
        <item m="1" x="6533"/>
        <item m="1" x="694"/>
        <item m="1" x="913"/>
        <item m="1" x="744"/>
        <item m="1" x="2087"/>
        <item m="1" x="3247"/>
        <item m="1" x="6036"/>
        <item m="1" x="6495"/>
        <item m="1" x="4635"/>
        <item m="1" x="2316"/>
        <item m="1" x="465"/>
        <item m="1" x="2560"/>
        <item m="1" x="5761"/>
        <item m="1" x="1798"/>
        <item m="1" x="705"/>
        <item m="1" x="7778"/>
        <item m="1" x="5586"/>
        <item m="1" x="5758"/>
        <item m="1" x="7068"/>
        <item m="1" x="4347"/>
        <item m="1" x="5142"/>
        <item m="1" x="3067"/>
        <item m="1" x="4466"/>
        <item m="1" x="4951"/>
        <item m="1" x="1438"/>
        <item m="1" x="6377"/>
        <item m="1" x="6551"/>
        <item m="1" x="5504"/>
        <item m="1" x="5634"/>
        <item m="1" x="2048"/>
        <item m="1" x="3278"/>
        <item m="1" x="7264"/>
        <item m="1" x="5843"/>
        <item m="1" x="4826"/>
        <item m="1" x="7223"/>
        <item m="1" x="2042"/>
        <item m="1" x="7773"/>
        <item m="1" x="2374"/>
        <item m="1" x="6733"/>
        <item m="1" x="575"/>
        <item m="1" x="2791"/>
        <item m="1" x="5179"/>
        <item m="1" x="3704"/>
        <item m="1" x="7898"/>
        <item m="1" x="4603"/>
        <item m="1" x="7876"/>
        <item m="1" x="7389"/>
        <item m="1" x="2276"/>
        <item m="1" x="6270"/>
        <item m="1" x="6244"/>
        <item m="1" x="2897"/>
        <item m="1" x="7612"/>
        <item m="1" x="1901"/>
        <item m="1" x="5200"/>
        <item m="1" x="6271"/>
        <item m="1" x="7558"/>
        <item m="1" x="4984"/>
        <item m="1" x="1126"/>
        <item m="1" x="441"/>
        <item m="1" x="3558"/>
        <item m="1" x="6338"/>
        <item m="1" x="2293"/>
        <item m="1" x="3761"/>
        <item m="1" x="4507"/>
        <item m="1" x="748"/>
        <item m="1" x="6697"/>
        <item m="1" x="1708"/>
        <item m="1" x="7120"/>
        <item m="1" x="291"/>
        <item m="1" x="4615"/>
        <item m="1" x="2096"/>
        <item m="1" x="995"/>
        <item m="1" x="2777"/>
        <item m="1" x="583"/>
        <item m="1" x="3835"/>
        <item m="1" x="4777"/>
        <item m="1" x="1462"/>
        <item m="1" x="4768"/>
        <item m="1" x="6162"/>
        <item m="1" x="1356"/>
        <item m="1" x="2603"/>
        <item m="1" x="1285"/>
        <item m="1" x="5619"/>
        <item m="1" x="3982"/>
        <item m="1" x="3114"/>
        <item m="1" x="4402"/>
        <item m="1" x="1627"/>
        <item m="1" x="7539"/>
        <item m="1" x="4558"/>
        <item m="1" x="7828"/>
        <item m="1" x="7011"/>
        <item m="1" x="2651"/>
        <item m="1" x="6249"/>
        <item m="1" x="4392"/>
        <item m="1" x="1180"/>
        <item m="1" x="2168"/>
        <item m="1" x="4145"/>
        <item m="1" x="2480"/>
        <item m="1" x="1786"/>
        <item m="1" x="6075"/>
        <item m="1" x="6494"/>
        <item m="1" x="5256"/>
        <item m="1" x="3279"/>
        <item m="1" x="2457"/>
        <item m="1" x="6967"/>
        <item m="1" x="7153"/>
        <item m="1" x="2931"/>
        <item m="1" x="6546"/>
        <item m="1" x="4537"/>
        <item m="1" x="5871"/>
        <item m="1" x="5824"/>
        <item m="1" x="584"/>
        <item m="1" x="7919"/>
        <item m="1" x="7312"/>
        <item m="1" x="6797"/>
        <item m="1" x="5983"/>
        <item m="1" x="4765"/>
        <item m="1" x="7377"/>
        <item m="1" x="1344"/>
        <item m="1" x="307"/>
        <item m="1" x="2566"/>
        <item m="1" x="3156"/>
        <item m="1" x="5308"/>
        <item m="1" x="4413"/>
        <item m="1" x="4962"/>
        <item m="1" x="7237"/>
        <item m="1" x="3697"/>
        <item m="1" x="7213"/>
        <item m="1" x="3746"/>
        <item m="1" x="5572"/>
        <item m="1" x="1651"/>
        <item m="1" x="1858"/>
        <item m="1" x="7704"/>
        <item m="1" x="2833"/>
        <item m="1" x="5319"/>
        <item m="1" x="5068"/>
        <item m="1" x="6173"/>
        <item m="1" x="346"/>
        <item m="1" x="4557"/>
        <item m="1" x="3712"/>
        <item m="1" x="5805"/>
        <item m="1" x="5922"/>
        <item m="1" x="1717"/>
        <item m="1" x="5587"/>
        <item m="1" x="634"/>
        <item m="1" x="1290"/>
        <item m="1" x="2653"/>
        <item m="1" x="6098"/>
        <item m="1" x="449"/>
        <item m="1" x="5523"/>
        <item m="1" x="5231"/>
        <item m="1" x="4411"/>
        <item m="1" x="7152"/>
        <item m="1" x="3564"/>
        <item m="1" x="390"/>
        <item m="1" x="6983"/>
        <item m="1" x="6712"/>
        <item m="1" x="6521"/>
        <item m="1" x="1419"/>
        <item m="1" x="4227"/>
        <item m="1" x="5740"/>
        <item m="1" x="5672"/>
        <item m="1" x="6980"/>
        <item m="1" x="6243"/>
        <item m="1" x="6384"/>
        <item m="1" x="6755"/>
        <item m="1" x="6556"/>
        <item m="1" x="3778"/>
        <item m="1" x="892"/>
        <item m="1" x="7604"/>
        <item m="1" x="3646"/>
        <item m="1" x="6488"/>
        <item m="1" x="485"/>
        <item m="1" x="7839"/>
        <item m="1" x="4885"/>
        <item m="1" x="7379"/>
        <item m="1" x="5255"/>
        <item m="1" x="2208"/>
        <item m="1" x="2408"/>
        <item m="1" x="1191"/>
        <item m="1" x="724"/>
        <item m="1" x="2098"/>
        <item m="1" x="6093"/>
        <item m="1" x="1430"/>
        <item m="1" x="7768"/>
        <item m="1" x="457"/>
        <item m="1" x="1732"/>
        <item m="1" x="1403"/>
        <item m="1" x="7782"/>
        <item m="1" x="6803"/>
        <item m="1" x="5322"/>
        <item m="1" x="4122"/>
        <item m="1" x="5449"/>
        <item m="1" x="3827"/>
        <item m="1" x="4654"/>
        <item m="1" x="6379"/>
        <item m="1" x="1432"/>
        <item m="1" x="6454"/>
        <item m="1" x="6662"/>
        <item m="1" x="3666"/>
        <item m="1" x="1047"/>
        <item m="1" x="3055"/>
        <item m="1" x="3018"/>
        <item m="1" x="3013"/>
        <item m="1" x="7706"/>
        <item m="1" x="771"/>
        <item m="1" x="2362"/>
        <item m="1" x="4051"/>
        <item m="1" x="3735"/>
        <item m="1" x="1068"/>
        <item m="1" x="481"/>
        <item m="1" x="1021"/>
        <item m="1" x="7422"/>
        <item m="1" x="7536"/>
        <item m="1" x="7818"/>
        <item m="1" x="5016"/>
        <item m="1" x="3263"/>
        <item m="1" x="602"/>
        <item m="1" x="6090"/>
        <item m="1" x="867"/>
        <item m="1" x="5611"/>
        <item m="1" x="5144"/>
        <item m="1" x="6949"/>
        <item m="1" x="401"/>
        <item m="1" x="2187"/>
        <item m="1" x="5785"/>
        <item m="1" x="2595"/>
        <item m="1" x="6699"/>
        <item m="1" x="1334"/>
        <item m="1" x="675"/>
        <item m="1" x="1488"/>
        <item m="1" x="1495"/>
        <item m="1" x="2201"/>
        <item m="1" x="4379"/>
        <item m="1" x="1671"/>
        <item m="1" x="5699"/>
        <item m="1" x="2555"/>
        <item m="1" x="2995"/>
        <item m="1" x="835"/>
        <item m="1" x="900"/>
        <item m="1" x="7415"/>
        <item m="1" x="770"/>
        <item m="1" x="3610"/>
        <item m="1" x="267"/>
        <item m="1" x="560"/>
        <item m="1" x="2737"/>
        <item m="1" x="5328"/>
        <item m="1" x="2223"/>
        <item m="1" x="4269"/>
        <item m="1" x="7216"/>
        <item m="1" x="7053"/>
        <item m="1" x="5906"/>
        <item m="1" x="5637"/>
        <item m="1" x="1138"/>
        <item m="1" x="3946"/>
        <item m="1" x="7547"/>
        <item m="1" x="6961"/>
        <item m="1" x="4337"/>
        <item m="1" x="3138"/>
        <item m="1" x="4965"/>
        <item m="1" x="5010"/>
        <item m="1" x="1441"/>
        <item m="1" x="2771"/>
        <item m="1" x="480"/>
        <item m="1" x="1777"/>
        <item m="1" x="4814"/>
        <item m="1" x="935"/>
        <item m="1" x="7742"/>
        <item m="1" x="6411"/>
        <item m="1" x="3630"/>
        <item m="1" x="4554"/>
        <item m="1" x="5673"/>
        <item m="1" x="535"/>
        <item m="1" x="6885"/>
        <item m="1" x="5470"/>
        <item m="1" x="5162"/>
        <item m="1" x="1896"/>
        <item m="1" x="6308"/>
        <item m="1" x="6056"/>
        <item m="1" x="4233"/>
        <item m="1" x="7478"/>
        <item m="1" x="2306"/>
        <item m="1" x="3943"/>
        <item m="1" x="764"/>
        <item m="1" x="6084"/>
        <item m="1" x="2059"/>
        <item m="1" x="2034"/>
        <item m="1" x="4336"/>
        <item m="1" x="3941"/>
        <item m="1" x="6209"/>
        <item m="1" x="1227"/>
        <item m="1" x="3383"/>
        <item m="1" x="3737"/>
        <item m="1" x="6493"/>
        <item m="1" x="4484"/>
        <item m="1" x="5849"/>
        <item m="1" x="3915"/>
        <item m="1" x="4016"/>
        <item m="1" x="1668"/>
        <item m="1" x="402"/>
        <item m="1" x="5096"/>
        <item m="1" x="7956"/>
        <item m="1" x="7775"/>
        <item m="1" x="4314"/>
        <item m="1" x="1853"/>
        <item m="1" x="7618"/>
        <item m="1" x="7675"/>
        <item m="1" x="1977"/>
        <item m="1" x="1680"/>
        <item m="1" x="3570"/>
        <item m="1" x="5304"/>
        <item m="1" x="6776"/>
        <item m="1" x="5417"/>
        <item m="1" x="7694"/>
        <item m="1" x="6721"/>
        <item m="1" x="5349"/>
        <item m="1" x="3034"/>
        <item m="1" x="1120"/>
        <item m="1" x="6597"/>
        <item m="1" x="2740"/>
        <item m="1" x="7064"/>
        <item m="1" x="3766"/>
        <item m="1" x="7519"/>
        <item m="1" x="455"/>
        <item m="1" x="2918"/>
        <item m="1" x="1910"/>
        <item m="1" x="4191"/>
        <item m="1" x="859"/>
        <item m="1" x="5269"/>
        <item m="1" x="993"/>
        <item m="1" x="2137"/>
        <item m="1" x="1994"/>
        <item m="1" x="6496"/>
        <item m="1" x="1444"/>
        <item m="1" x="1553"/>
        <item m="1" x="224"/>
        <item m="1" x="2872"/>
        <item m="1" x="2904"/>
        <item m="1" x="786"/>
        <item m="1" x="3348"/>
        <item m="1" x="7589"/>
        <item m="1" x="3787"/>
        <item m="1" x="3599"/>
        <item m="1" x="5008"/>
        <item m="1" x="5265"/>
        <item m="1" x="6933"/>
        <item m="1" x="2896"/>
        <item m="1" x="713"/>
        <item m="1" x="1697"/>
        <item m="1" x="561"/>
        <item m="1" x="1370"/>
        <item m="1" x="7157"/>
        <item m="1" x="3954"/>
        <item m="1" x="2699"/>
        <item m="1" x="2794"/>
        <item m="1" x="4023"/>
        <item m="1" x="3449"/>
        <item m="1" x="1127"/>
        <item m="1" x="822"/>
        <item m="1" x="3368"/>
        <item m="1" x="2578"/>
        <item m="1" x="1685"/>
        <item m="1" x="1885"/>
        <item m="1" x="4303"/>
        <item m="1" x="6986"/>
        <item m="1" x="2049"/>
        <item m="1" x="7029"/>
        <item m="1" x="6164"/>
        <item m="1" x="7180"/>
        <item m="1" x="2570"/>
        <item m="1" x="4027"/>
        <item m="1" x="1335"/>
        <item m="1" x="3762"/>
        <item m="1" x="1966"/>
        <item m="1" x="454"/>
        <item m="1" x="6168"/>
        <item m="1" x="4155"/>
        <item m="1" x="7234"/>
        <item m="1" x="4726"/>
        <item m="1" x="974"/>
        <item m="1" x="929"/>
        <item m="1" x="7185"/>
        <item m="1" x="3330"/>
        <item m="1" x="2524"/>
        <item m="1" x="4045"/>
        <item m="1" x="6675"/>
        <item m="1" x="6855"/>
        <item m="1" x="2673"/>
        <item m="1" x="7424"/>
        <item m="1" x="6068"/>
        <item m="1" x="278"/>
        <item m="1" x="720"/>
        <item m="1" x="5522"/>
        <item m="1" x="809"/>
        <item m="1" x="1714"/>
        <item m="1" x="456"/>
        <item m="1" x="1769"/>
        <item m="1" x="1972"/>
        <item m="1" x="371"/>
        <item m="1" x="1219"/>
        <item m="1" x="3118"/>
        <item m="1" x="697"/>
        <item m="1" x="5493"/>
        <item m="1" x="6580"/>
        <item m="1" x="3223"/>
        <item m="1" x="4462"/>
        <item m="1" x="3730"/>
        <item m="1" x="6359"/>
        <item m="1" x="1473"/>
        <item m="1" x="7177"/>
        <item m="1" x="241"/>
        <item m="1" x="6514"/>
        <item m="1" x="658"/>
        <item m="1" x="5495"/>
        <item m="1" x="3337"/>
        <item m="1" x="5194"/>
        <item m="1" x="5897"/>
        <item m="1" x="6694"/>
        <item m="1" x="6663"/>
        <item m="1" x="4223"/>
        <item m="1" x="3519"/>
        <item m="1" x="5065"/>
        <item m="1" x="1565"/>
        <item m="1" x="7926"/>
        <item m="1" x="4644"/>
        <item m="1" x="3725"/>
        <item m="1" x="7904"/>
        <item m="1" x="4611"/>
        <item m="1" x="5262"/>
        <item m="1" x="653"/>
        <item m="1" x="693"/>
        <item m="1" x="3072"/>
        <item m="1" x="4020"/>
        <item m="1" x="7270"/>
        <item m="1" x="1544"/>
        <item m="1" x="424"/>
        <item m="1" x="668"/>
        <item m="1" x="1188"/>
        <item m="1" x="669"/>
        <item m="1" x="6144"/>
        <item m="1" x="6841"/>
        <item m="1" x="1318"/>
        <item m="1" x="4349"/>
        <item m="1" x="2775"/>
        <item m="1" x="7501"/>
        <item m="1" x="6641"/>
        <item m="1" x="7024"/>
        <item m="1" x="7678"/>
        <item m="1" x="2250"/>
        <item m="1" x="3049"/>
        <item m="1" x="5536"/>
        <item m="1" x="2877"/>
        <item m="1" x="7774"/>
        <item m="1" x="2893"/>
        <item m="1" x="4785"/>
        <item m="1" x="476"/>
        <item m="1" x="1807"/>
        <item m="1" x="5161"/>
        <item m="1" x="6901"/>
        <item m="1" x="1280"/>
        <item m="1" x="2058"/>
        <item m="1" x="7333"/>
        <item m="1" x="6082"/>
        <item m="1" x="7765"/>
        <item m="1" x="3769"/>
        <item m="1" x="6943"/>
        <item m="1" x="1694"/>
        <item m="1" x="4185"/>
        <item m="1" x="1600"/>
        <item m="1" x="3553"/>
        <item m="1" x="3146"/>
        <item m="1" x="3682"/>
        <item m="1" x="1053"/>
        <item m="1" x="4859"/>
        <item m="1" x="6598"/>
        <item m="1" x="6880"/>
        <item m="1" x="3577"/>
        <item m="1" x="5191"/>
        <item m="1" x="7748"/>
        <item m="1" x="7912"/>
        <item m="1" x="1822"/>
        <item m="1" x="5834"/>
        <item m="1" x="2724"/>
        <item m="1" x="5437"/>
        <item m="1" x="1252"/>
        <item m="1" x="4239"/>
        <item m="1" x="3400"/>
        <item m="1" x="5826"/>
        <item m="1" x="7367"/>
        <item m="1" x="2953"/>
        <item m="1" x="5337"/>
        <item m="1" x="5310"/>
        <item m="1" x="562"/>
        <item m="1" x="2944"/>
        <item m="1" x="2271"/>
        <item m="1" x="1460"/>
        <item m="1" x="7710"/>
        <item m="1" x="7567"/>
        <item m="1" x="2262"/>
        <item m="1" x="1379"/>
        <item m="1" x="2172"/>
        <item m="1" x="1904"/>
        <item m="1" x="3112"/>
        <item m="1" x="7502"/>
        <item m="1" x="7395"/>
        <item m="1" x="7923"/>
        <item m="1" x="3161"/>
        <item m="1" x="7222"/>
        <item m="1" x="7533"/>
        <item m="1" x="5125"/>
        <item m="1" x="5491"/>
        <item m="1" x="4358"/>
        <item m="1" x="4579"/>
        <item m="1" x="6537"/>
        <item m="1" x="5870"/>
        <item m="1" x="4487"/>
        <item m="1" x="3822"/>
        <item m="1" x="1203"/>
        <item m="1" x="4298"/>
        <item m="1" x="3685"/>
        <item m="1" x="5350"/>
        <item m="1" x="696"/>
        <item m="1" x="3572"/>
        <item m="1" x="2536"/>
        <item m="1" x="2912"/>
        <item m="1" x="3851"/>
        <item m="1" x="5970"/>
        <item m="1" x="3231"/>
        <item m="1" x="5595"/>
        <item m="1" x="1731"/>
        <item m="1" x="1375"/>
        <item m="1" x="3667"/>
        <item m="1" x="5716"/>
        <item m="1" x="5017"/>
        <item m="1" x="6570"/>
        <item m="1" x="7640"/>
        <item m="1" x="673"/>
        <item m="1" x="2164"/>
        <item m="1" x="637"/>
        <item m="1" x="6744"/>
        <item m="1" x="7499"/>
        <item m="1" x="1500"/>
        <item m="1" x="5702"/>
        <item m="1" x="1093"/>
        <item m="1" x="4576"/>
        <item m="1" x="6184"/>
        <item m="1" x="3589"/>
        <item m="1" x="5002"/>
        <item m="1" x="2384"/>
        <item m="1" x="4828"/>
        <item m="1" x="4618"/>
        <item m="1" x="7334"/>
        <item m="1" x="536"/>
        <item m="1" x="1736"/>
        <item m="1" x="7021"/>
        <item m="1" x="5661"/>
        <item m="1" x="2898"/>
        <item m="1" x="7364"/>
        <item m="1" x="7123"/>
        <item m="1" x="7204"/>
        <item m="1" x="766"/>
        <item m="1" x="3154"/>
        <item m="1" x="5954"/>
        <item m="1" x="2145"/>
        <item m="1" x="1743"/>
        <item m="1" x="6531"/>
        <item m="1" x="4175"/>
        <item m="1" x="828"/>
        <item m="1" x="2282"/>
        <item m="1" x="6582"/>
        <item m="1" x="7936"/>
        <item m="1" x="5866"/>
        <item m="1" x="5384"/>
        <item m="1" x="4407"/>
        <item m="1" x="923"/>
        <item m="1" x="4675"/>
        <item m="1" x="4617"/>
        <item m="1" x="5984"/>
        <item m="1" x="294"/>
        <item m="1" x="3089"/>
        <item m="1" x="4728"/>
        <item m="1" x="493"/>
        <item m="1" x="942"/>
        <item m="1" x="5327"/>
        <item m="1" x="2093"/>
        <item m="1" x="1642"/>
        <item m="1" x="3446"/>
        <item m="1" x="3306"/>
        <item m="1" x="6505"/>
        <item m="1" x="7492"/>
        <item m="1" x="3527"/>
        <item m="1" x="7249"/>
        <item m="1" x="1747"/>
        <item m="1" x="5767"/>
        <item m="1" x="2467"/>
        <item m="1" x="4034"/>
        <item m="1" x="3503"/>
        <item m="1" x="3452"/>
        <item m="1" x="7654"/>
        <item m="1" x="5722"/>
        <item m="1" x="7329"/>
        <item m="1" x="1147"/>
        <item m="1" x="5944"/>
        <item m="1" x="875"/>
        <item m="1" x="3252"/>
        <item m="1" x="453"/>
        <item m="1" x="2521"/>
        <item m="1" x="4983"/>
        <item m="1" x="4309"/>
        <item m="1" x="1034"/>
        <item m="1" x="3062"/>
        <item m="1" x="4818"/>
        <item m="1" x="2756"/>
        <item m="1" x="6763"/>
        <item m="1" x="3027"/>
        <item m="1" x="5621"/>
        <item m="1" x="1643"/>
        <item m="1" x="1821"/>
        <item m="1" x="7958"/>
        <item m="1" x="5905"/>
        <item m="1" x="5217"/>
        <item m="1" x="2055"/>
        <item m="1" x="4957"/>
        <item m="1" x="296"/>
        <item m="1" x="2941"/>
        <item m="1" x="3597"/>
        <item m="1" x="5732"/>
        <item m="1" x="568"/>
        <item m="1" x="7739"/>
        <item m="1" x="5593"/>
        <item m="1" x="1130"/>
        <item m="1" x="1475"/>
        <item m="1" x="2608"/>
        <item m="1" x="5738"/>
        <item m="1" x="4032"/>
        <item m="1" x="7528"/>
        <item m="1" x="6995"/>
        <item m="1" x="4784"/>
        <item m="1" x="2179"/>
        <item m="1" x="2345"/>
        <item m="1" x="4944"/>
        <item m="1" x="6808"/>
        <item m="1" x="5865"/>
        <item m="1" x="6281"/>
        <item m="1" x="3504"/>
        <item m="1" x="5404"/>
        <item m="1" x="2774"/>
        <item m="1" x="369"/>
        <item m="1" x="581"/>
        <item m="1" x="5596"/>
        <item m="1" x="1790"/>
        <item m="1" x="6774"/>
        <item m="1" x="3994"/>
        <item m="1" x="5575"/>
        <item m="1" x="6992"/>
        <item m="1" x="1347"/>
        <item m="1" x="660"/>
        <item m="1" x="1470"/>
        <item m="1" x="4357"/>
        <item m="1" x="4009"/>
        <item m="1" x="5458"/>
        <item m="1" x="7427"/>
        <item m="1" x="1941"/>
        <item m="1" x="3016"/>
        <item m="1" x="1699"/>
        <item m="1" x="4430"/>
        <item m="1" x="3336"/>
        <item m="1" x="242"/>
        <item m="1" x="2470"/>
        <item m="1" x="678"/>
        <item m="1" x="4181"/>
        <item m="1" x="1819"/>
        <item m="1" x="6361"/>
        <item m="1" x="7506"/>
        <item m="1" x="7891"/>
        <item m="1" x="3420"/>
        <item m="1" x="6737"/>
        <item m="1" x="2950"/>
        <item m="1" x="1955"/>
        <item m="1" x="5366"/>
        <item m="1" x="420"/>
        <item m="1" x="5282"/>
        <item m="1" x="1806"/>
        <item m="1" x="5494"/>
        <item m="1" x="265"/>
        <item m="1" x="3615"/>
        <item m="1" x="2427"/>
        <item m="1" x="4640"/>
        <item m="1" x="3582"/>
        <item m="1" x="544"/>
        <item m="1" x="689"/>
        <item m="1" x="2936"/>
        <item m="1" x="3377"/>
        <item m="1" x="1017"/>
        <item m="1" x="7472"/>
        <item m="1" x="1618"/>
        <item m="1" x="1560"/>
        <item m="1" x="7605"/>
        <item m="1" x="2842"/>
        <item m="1" x="6944"/>
        <item m="1" x="4334"/>
        <item m="1" x="3014"/>
        <item m="1" x="1167"/>
        <item m="1" x="4778"/>
        <item m="1" x="5608"/>
        <item m="1" x="4750"/>
        <item m="1" x="6248"/>
        <item m="1" x="2776"/>
        <item m="1" x="1014"/>
        <item m="1" x="3393"/>
        <item m="1" x="7098"/>
        <item m="1" x="1838"/>
        <item m="1" x="577"/>
        <item m="1" x="606"/>
        <item m="1" x="1482"/>
        <item m="1" x="2158"/>
        <item m="1" x="2297"/>
        <item m="1" x="3670"/>
        <item m="1" x="4157"/>
        <item m="1" x="6595"/>
        <item m="1" x="2218"/>
        <item m="1" x="7165"/>
        <item m="1" x="821"/>
        <item m="1" x="2492"/>
        <item m="1" x="2007"/>
        <item m="1" x="1236"/>
        <item m="1" x="6177"/>
        <item m="1" x="3380"/>
        <item m="1" x="1591"/>
        <item m="1" x="599"/>
        <item m="1" x="1415"/>
        <item m="1" x="1183"/>
        <item m="1" x="4475"/>
        <item m="1" x="5793"/>
        <item m="1" x="3469"/>
        <item m="1" x="4006"/>
        <item m="1" x="4719"/>
        <item m="1" x="2668"/>
        <item m="1" x="7330"/>
        <item m="1" x="5803"/>
        <item m="1" x="3963"/>
        <item m="1" x="7225"/>
        <item m="1" x="7004"/>
        <item m="1" x="5771"/>
        <item m="1" x="3424"/>
        <item m="1" x="7726"/>
        <item m="1" x="1754"/>
        <item m="1" x="3538"/>
        <item m="1" x="1145"/>
        <item m="1" x="2463"/>
        <item m="1" x="234"/>
        <item m="1" x="2481"/>
        <item m="1" x="6813"/>
        <item m="1" x="2227"/>
        <item m="1" x="4548"/>
        <item m="1" x="4751"/>
        <item m="1" x="3651"/>
        <item m="1" x="4418"/>
        <item m="1" x="3294"/>
        <item m="1" x="2964"/>
        <item m="1" x="363"/>
        <item m="1" x="3660"/>
        <item m="1" x="6319"/>
        <item m="1" x="3562"/>
        <item m="1" x="4353"/>
        <item m="1" x="7585"/>
        <item m="1" x="5049"/>
        <item m="1" x="2261"/>
        <item m="1" x="4797"/>
        <item m="1" x="2454"/>
        <item m="1" x="7695"/>
        <item m="1" x="4931"/>
        <item m="1" x="5066"/>
        <item m="1" x="7388"/>
        <item m="1" x="1739"/>
        <item m="1" x="3866"/>
        <item m="1" x="3584"/>
        <item m="1" x="638"/>
        <item m="1" x="6459"/>
        <item m="1" x="4796"/>
        <item m="1" x="3331"/>
        <item m="1" x="3300"/>
        <item m="1" x="3135"/>
        <item m="1" x="6656"/>
        <item m="1" x="4268"/>
        <item m="1" x="984"/>
        <item m="1" x="6652"/>
        <item m="1" x="3471"/>
        <item m="1" x="2193"/>
        <item m="1" x="3104"/>
        <item m="1" x="7188"/>
        <item m="1" x="746"/>
        <item m="1" x="3029"/>
        <item m="1" x="5553"/>
        <item m="1" x="7375"/>
        <item m="1" x="2844"/>
        <item m="1" x="3903"/>
        <item m="1" x="1322"/>
        <item m="1" x="2186"/>
        <item m="1" x="2337"/>
        <item m="1" x="6909"/>
        <item m="1" x="3404"/>
        <item m="1" x="3445"/>
        <item m="1" x="2987"/>
        <item m="1" x="6151"/>
        <item m="1" x="5241"/>
        <item m="1" x="7696"/>
        <item m="1" x="6501"/>
        <item m="1" x="7634"/>
        <item m="1" x="6646"/>
        <item m="1" x="3099"/>
        <item m="1" x="4374"/>
        <item m="1" x="4756"/>
        <item m="1" x="1263"/>
        <item m="1" x="7035"/>
        <item m="1" x="6539"/>
        <item m="1" x="2163"/>
        <item m="1" x="5775"/>
        <item m="1" x="5724"/>
        <item m="1" x="275"/>
        <item m="1" x="7658"/>
        <item m="1" x="7239"/>
        <item m="1" x="895"/>
        <item m="1" x="3914"/>
        <item m="1" x="6888"/>
        <item m="1" x="6789"/>
        <item m="1" x="3248"/>
        <item m="1" x="5069"/>
        <item m="1" x="814"/>
        <item m="1" x="5832"/>
        <item m="1" x="3859"/>
        <item m="1" x="5184"/>
        <item m="1" x="7420"/>
        <item m="1" x="6928"/>
        <item m="1" x="3450"/>
        <item m="1" x="4717"/>
        <item m="1" x="1345"/>
        <item m="1" x="3996"/>
        <item m="1" x="4177"/>
        <item m="1" x="3326"/>
        <item m="1" x="827"/>
        <item m="1" x="5565"/>
        <item m="1" x="6070"/>
        <item m="1" x="1177"/>
        <item m="1" x="7918"/>
        <item m="1" x="6852"/>
        <item m="1" x="2980"/>
        <item m="1" x="308"/>
        <item m="1" x="5501"/>
        <item m="1" x="1696"/>
        <item m="1" x="7819"/>
        <item m="1" x="6300"/>
        <item m="1" x="4794"/>
        <item m="1" x="7596"/>
        <item m="1" x="889"/>
        <item m="1" x="5881"/>
        <item m="1" x="1835"/>
        <item m="1" x="3267"/>
        <item m="1" x="1209"/>
        <item m="1" x="3652"/>
        <item m="1" x="7151"/>
        <item m="1" x="272"/>
        <item m="1" x="339"/>
        <item m="1" x="7938"/>
        <item m="1" x="404"/>
        <item m="1" x="1719"/>
        <item m="1" x="398"/>
        <item m="1" x="6008"/>
        <item m="1" x="3930"/>
        <item m="1" x="5564"/>
        <item m="1" x="1712"/>
        <item m="1" x="436"/>
        <item m="1" x="4857"/>
        <item m="1" x="4401"/>
        <item m="1" x="582"/>
        <item m="1" x="5402"/>
        <item m="1" x="6757"/>
        <item m="1" x="1456"/>
        <item m="1" x="1740"/>
        <item m="1" x="7158"/>
        <item m="1" x="1748"/>
        <item m="1" x="3736"/>
        <item m="1" x="1281"/>
        <item m="1" x="7275"/>
        <item m="1" x="4148"/>
        <item m="1" x="1101"/>
        <item m="1" x="5614"/>
        <item m="1" x="2446"/>
        <item m="1" x="7442"/>
        <item m="1" x="4904"/>
        <item m="1" x="5181"/>
        <item m="1" x="5773"/>
        <item m="1" x="7286"/>
        <item m="1" x="1412"/>
        <item m="1" x="3318"/>
        <item m="1" x="6334"/>
        <item m="1" x="4909"/>
        <item m="1" x="3671"/>
        <item m="1" x="4246"/>
        <item m="1" x="3492"/>
        <item m="1" x="7285"/>
        <item m="1" x="5432"/>
        <item m="1" x="5421"/>
        <item m="1" x="2445"/>
        <item m="1" x="5633"/>
        <item m="1" x="4115"/>
        <item m="1" x="1397"/>
        <item m="1" x="7161"/>
        <item m="1" x="6180"/>
        <item m="1" x="6975"/>
        <item m="1" x="6021"/>
        <item m="1" x="6366"/>
        <item m="1" x="7643"/>
        <item m="1" x="5538"/>
        <item m="1" x="6953"/>
        <item m="1" x="1067"/>
        <item m="1" x="3902"/>
        <item m="1" x="4241"/>
        <item m="1" x="3535"/>
        <item m="1" x="5245"/>
        <item m="1" x="4888"/>
        <item m="1" x="5137"/>
        <item m="1" x="572"/>
        <item m="1" x="3174"/>
        <item m="1" x="4442"/>
        <item m="1" x="7129"/>
        <item m="1" x="728"/>
        <item m="1" x="1934"/>
        <item m="1" x="4137"/>
        <item m="1" x="6053"/>
        <item m="1" x="1233"/>
        <item m="1" x="1998"/>
        <item m="1" x="622"/>
        <item m="1" x="7890"/>
        <item m="1" x="1264"/>
        <item m="1" x="6607"/>
        <item m="1" x="3864"/>
        <item m="1" x="7680"/>
        <item m="1" x="6875"/>
        <item m="1" x="574"/>
        <item m="1" x="4052"/>
        <item m="1" x="3398"/>
        <item m="1" x="1198"/>
        <item m="1" x="3384"/>
        <item m="1" x="1730"/>
        <item m="1" x="1601"/>
        <item m="1" x="6141"/>
        <item m="1" x="430"/>
        <item m="1" x="2732"/>
        <item m="1" x="5189"/>
        <item m="1" x="5009"/>
        <item m="1" x="1507"/>
        <item m="1" x="3354"/>
        <item m="1" x="7131"/>
        <item m="1" x="4730"/>
        <item m="1" x="6218"/>
        <item m="1" x="6920"/>
        <item m="1" x="6126"/>
        <item m="1" x="3268"/>
        <item m="1" x="4138"/>
        <item m="1" x="3214"/>
        <item m="1" x="2669"/>
        <item m="1" x="3751"/>
        <item m="1" x="5274"/>
        <item m="1" x="6401"/>
        <item m="1" x="2807"/>
        <item m="1" x="6984"/>
        <item m="1" x="4389"/>
        <item m="1" x="2432"/>
        <item m="1" x="3805"/>
        <item m="1" x="3137"/>
        <item m="1" x="5088"/>
        <item m="1" x="4583"/>
        <item m="1" x="6208"/>
        <item m="1" x="7531"/>
        <item m="1" x="4315"/>
        <item m="1" x="2209"/>
        <item m="1" x="5945"/>
        <item m="1" x="975"/>
        <item m="1" x="5585"/>
        <item m="1" x="5877"/>
        <item m="1" x="654"/>
        <item m="1" x="7140"/>
        <item m="1" x="6041"/>
        <item m="1" x="1522"/>
        <item m="1" x="6710"/>
        <item m="1" x="908"/>
        <item m="1" x="798"/>
        <item m="1" x="7607"/>
        <item m="1" x="4720"/>
        <item m="1" x="618"/>
        <item m="1" x="5844"/>
        <item m="1" x="5969"/>
        <item m="1" x="2484"/>
        <item m="1" x="2415"/>
        <item m="1" x="7575"/>
        <item m="1" x="1199"/>
        <item m="1" x="957"/>
        <item m="1" x="5119"/>
        <item m="1" x="6942"/>
        <item m="1" x="1025"/>
        <item m="1" x="4410"/>
        <item m="1" x="4663"/>
        <item m="1" x="5921"/>
        <item m="1" x="4261"/>
        <item m="1" x="3633"/>
        <item m="1" x="4831"/>
        <item m="1" x="4078"/>
        <item m="1" x="3120"/>
        <item m="1" x="6157"/>
        <item m="1" x="1399"/>
        <item m="1" x="341"/>
        <item m="1" x="2558"/>
        <item m="1" x="1303"/>
        <item m="1" x="7755"/>
        <item m="1" x="1906"/>
        <item m="1" x="1038"/>
        <item m="1" x="4925"/>
        <item m="1" x="2147"/>
        <item m="1" x="4235"/>
        <item m="1" x="4764"/>
        <item m="1" x="5490"/>
        <item m="1" x="3760"/>
        <item m="1" x="513"/>
        <item m="1" x="2680"/>
        <item m="1" x="6107"/>
        <item m="1" x="6571"/>
        <item m="1" x="5270"/>
        <item m="1" x="6210"/>
        <item m="1" x="1244"/>
        <item m="1" x="7013"/>
        <item m="1" x="965"/>
        <item m="1" x="2540"/>
        <item m="1" x="7261"/>
        <item m="1" x="288"/>
        <item m="1" x="5389"/>
        <item m="1" x="3821"/>
        <item m="1" x="530"/>
        <item m="1" x="6873"/>
        <item m="1" x="5163"/>
        <item m="1" x="2760"/>
        <item m="1" x="1903"/>
        <item m="1" x="5246"/>
        <item m="1" x="7135"/>
        <item m="1" x="7934"/>
        <item m="1" x="6800"/>
        <item m="1" x="4224"/>
        <item m="1" x="7513"/>
        <item m="1" x="270"/>
        <item m="1" x="6320"/>
        <item m="1" x="7581"/>
        <item m="1" x="1402"/>
        <item m="1" x="5030"/>
        <item m="1" x="4976"/>
        <item m="1" x="2495"/>
        <item m="1" x="2674"/>
        <item m="1" x="1160"/>
        <item m="1" x="4200"/>
        <item m="1" x="2577"/>
        <item m="1" x="1960"/>
        <item m="1" x="4948"/>
        <item m="1" x="6515"/>
        <item m="1" x="5552"/>
        <item m="1" x="3375"/>
        <item m="1" x="7170"/>
        <item m="1" x="2389"/>
        <item m="1" x="2482"/>
        <item m="1" x="2809"/>
        <item m="1" x="2127"/>
        <item m="1" x="2311"/>
        <item m="1" x="3039"/>
        <item m="1" x="4226"/>
        <item m="1" x="7423"/>
        <item m="1" x="6563"/>
        <item m="1" x="2153"/>
        <item m="1" x="5291"/>
        <item m="1" x="5230"/>
        <item m="1" x="4952"/>
        <item m="1" x="7034"/>
        <item m="1" x="4806"/>
        <item m="1" x="4360"/>
        <item m="1" x="946"/>
        <item m="1" x="1613"/>
        <item m="1" x="4101"/>
        <item m="1" x="1908"/>
        <item m="1" x="5169"/>
        <item m="1" x="7676"/>
        <item m="1" x="7807"/>
        <item m="1" x="1669"/>
        <item m="1" x="7078"/>
        <item m="1" x="7232"/>
        <item m="1" x="576"/>
        <item m="1" x="546"/>
        <item m="1" x="6135"/>
        <item m="1" x="4431"/>
        <item m="1" x="6001"/>
        <item m="1" x="682"/>
        <item m="1" x="293"/>
        <item m="1" x="5979"/>
        <item m="1" x="5386"/>
        <item m="1" x="4438"/>
        <item m="1" x="4229"/>
        <item m="1" x="1922"/>
        <item m="1" x="1401"/>
        <item m="1" x="4849"/>
        <item m="1" x="5353"/>
        <item m="1" x="4812"/>
        <item m="1" x="3038"/>
        <item m="1" x="4117"/>
        <item m="1" x="4208"/>
        <item m="1" x="5818"/>
        <item m="1" x="4621"/>
        <item m="1" x="1641"/>
        <item m="1" x="7090"/>
        <item m="1" x="3753"/>
        <item m="1" x="6996"/>
        <item m="1" x="3727"/>
        <item m="1" x="3544"/>
        <item m="1" x="874"/>
        <item m="1" x="2534"/>
        <item m="1" x="5946"/>
        <item m="1" x="5062"/>
        <item m="1" x="450"/>
        <item m="1" x="245"/>
        <item m="1" x="3243"/>
        <item m="1" x="755"/>
        <item m="1" x="2602"/>
        <item m="1" x="4895"/>
        <item m="1" x="4286"/>
        <item m="1" x="3520"/>
        <item m="1" x="2036"/>
        <item m="1" x="4333"/>
        <item m="1" x="6934"/>
        <item m="1" x="1073"/>
        <item m="1" x="528"/>
        <item m="1" x="860"/>
        <item m="1" x="7809"/>
        <item m="1" x="2821"/>
        <item m="1" x="7010"/>
        <item m="1" x="1239"/>
        <item m="1" x="1471"/>
        <item m="1" x="5993"/>
        <item m="1" x="3721"/>
        <item m="1" x="4255"/>
        <item m="1" x="5407"/>
        <item m="1" x="4651"/>
        <item m="1" x="5280"/>
        <item m="1" x="1476"/>
        <item m="1" x="3203"/>
        <item m="1" x="5091"/>
        <item m="1" x="3178"/>
        <item m="1" x="3965"/>
        <item m="1" x="1477"/>
        <item m="1" x="3619"/>
        <item m="1" x="4652"/>
        <item m="1" x="2458"/>
        <item m="1" x="2749"/>
        <item m="1" x="5735"/>
        <item m="1" x="1690"/>
        <item m="1" x="2745"/>
        <item m="1" x="6804"/>
        <item m="1" x="7088"/>
        <item m="1" x="1479"/>
        <item m="1" x="1457"/>
        <item m="1" x="880"/>
        <item m="1" x="2192"/>
        <item m="1" x="1489"/>
        <item m="1" x="1355"/>
        <item m="1" x="2249"/>
        <item m="1" x="717"/>
        <item m="1" x="3030"/>
        <item m="1" x="6940"/>
        <item m="1" x="972"/>
        <item m="1" x="3945"/>
        <item m="1" x="5215"/>
        <item m="1" x="1688"/>
        <item m="1" x="5436"/>
        <item m="1" x="7740"/>
        <item m="1" x="4680"/>
        <item m="1" x="3102"/>
        <item m="1" x="1205"/>
        <item m="1" x="1396"/>
        <item m="1" x="6316"/>
        <item m="1" x="3495"/>
        <item m="1" x="6341"/>
        <item m="1" x="2706"/>
        <item m="1" x="4838"/>
        <item m="1" x="6795"/>
        <item m="1" x="3071"/>
        <item m="1" x="7384"/>
        <item m="1" x="1193"/>
        <item m="1" x="7139"/>
        <item m="1" x="1961"/>
        <item m="1" x="3351"/>
        <item m="1" x="7660"/>
        <item m="1" x="4127"/>
        <item m="1" x="6926"/>
        <item m="1" x="2439"/>
        <item m="1" x="2370"/>
        <item m="1" x="354"/>
        <item m="1" x="4322"/>
        <item m="1" x="7149"/>
        <item m="1" x="1832"/>
        <item m="1" x="4013"/>
        <item m="1" x="7401"/>
        <item m="1" x="7590"/>
        <item m="1" x="2767"/>
        <item m="1" x="4405"/>
        <item m="1" x="4395"/>
        <item m="1" x="6965"/>
        <item m="1" x="980"/>
        <item m="1" x="3897"/>
        <item m="1" x="5297"/>
        <item m="1" x="1151"/>
        <item m="1" x="447"/>
        <item m="1" x="6511"/>
        <item m="1" x="7303"/>
        <item m="1" x="5236"/>
        <item m="1" x="2225"/>
        <item m="1" x="3698"/>
        <item m="1" x="7763"/>
        <item m="1" x="7516"/>
        <item m="1" x="2203"/>
        <item m="1" x="4377"/>
        <item m="1" x="2151"/>
        <item m="1" x="3075"/>
        <item m="1" x="5589"/>
        <item m="1" x="6305"/>
        <item m="1" x="2546"/>
        <item m="1" x="6555"/>
        <item m="1" x="925"/>
        <item m="1" x="7368"/>
        <item m="1" x="1043"/>
        <item m="1" x="7648"/>
        <item m="1" x="3060"/>
        <item m="1" x="2532"/>
        <item m="1" x="2066"/>
        <item m="1" x="2875"/>
        <item m="1" x="6434"/>
        <item m="1" x="4492"/>
        <item m="1" x="6578"/>
        <item m="1" x="4149"/>
        <item m="1" x="2620"/>
        <item m="1" x="5004"/>
        <item m="1" x="2488"/>
        <item m="1" x="5559"/>
        <item m="1" x="6915"/>
        <item m="1" x="2865"/>
        <item m="1" x="3942"/>
        <item m="1" x="2658"/>
        <item m="1" x="6017"/>
        <item m="1" x="2152"/>
        <item m="1" x="5229"/>
        <item m="1" x="2498"/>
        <item m="1" x="478"/>
        <item m="1" x="775"/>
        <item m="1" x="1451"/>
        <item m="1" x="3906"/>
        <item m="1" x="3515"/>
        <item m="1" x="1001"/>
        <item m="1" x="1837"/>
        <item m="1" x="2576"/>
        <item m="1" x="7357"/>
        <item m="1" x="2826"/>
        <item m="1" x="7862"/>
        <item m="1" x="1663"/>
        <item m="1" x="5809"/>
        <item m="1" x="939"/>
        <item m="1" x="4594"/>
        <item m="1" x="6317"/>
        <item m="1" x="2440"/>
        <item m="1" x="7857"/>
        <item m="1" x="5558"/>
        <item m="1" x="7014"/>
        <item m="1" x="3020"/>
        <item m="1" x="2038"/>
        <item m="1" x="4551"/>
        <item m="1" x="4488"/>
        <item m="1" x="551"/>
        <item m="1" x="7207"/>
        <item m="1" x="795"/>
        <item m="1" x="2460"/>
        <item m="1" x="5812"/>
        <item m="1" x="6322"/>
        <item m="1" x="6960"/>
        <item m="1" x="1237"/>
        <item m="1" x="761"/>
        <item m="1" x="5036"/>
        <item m="1" x="5439"/>
        <item m="1" x="7906"/>
        <item m="1" x="2242"/>
        <item m="1" x="5165"/>
        <item m="1" x="7257"/>
        <item m="1" x="2525"/>
        <item m="1" x="7349"/>
        <item m="1" x="5955"/>
        <item m="1" x="2667"/>
        <item m="1" x="3604"/>
        <item m="1" x="3224"/>
        <item m="1" x="2754"/>
        <item m="1" x="6254"/>
        <item m="1" x="5465"/>
        <item m="1" x="2000"/>
        <item m="1" x="2033"/>
        <item m="1" x="3638"/>
        <item m="1" x="2258"/>
        <item m="1" x="1019"/>
        <item m="1" x="1194"/>
        <item m="1" x="7025"/>
        <item m="1" x="1788"/>
        <item m="1" x="2938"/>
        <item m="1" x="428"/>
        <item m="1" x="6482"/>
        <item m="1" x="4232"/>
        <item m="1" x="4748"/>
        <item m="1" x="1931"/>
        <item m="1" x="2922"/>
        <item m="1" x="6096"/>
        <item m="1" x="844"/>
        <item m="1" x="5958"/>
        <item m="1" x="7104"/>
        <item m="1" x="4455"/>
        <item m="1" x="4530"/>
        <item m="1" x="3757"/>
        <item m="1" x="500"/>
        <item m="1" x="5949"/>
        <item m="1" x="1433"/>
        <item m="1" x="2302"/>
        <item m="1" x="5460"/>
        <item m="1" x="725"/>
        <item m="1" x="7183"/>
        <item m="1" x="6751"/>
        <item m="1" x="2468"/>
        <item m="1" x="502"/>
        <item m="1" x="2744"/>
        <item m="1" x="2507"/>
        <item m="1" x="2130"/>
        <item m="1" x="494"/>
        <item m="1" x="6686"/>
        <item m="1" x="1900"/>
        <item m="1" x="3487"/>
        <item m="1" x="1078"/>
        <item m="1" x="7320"/>
        <item m="1" x="4863"/>
        <item m="1" x="1011"/>
        <item m="1" x="4633"/>
        <item m="1" x="1377"/>
        <item m="1" x="6394"/>
        <item m="1" x="1363"/>
        <item m="1" x="998"/>
        <item m="1" x="407"/>
        <item m="1" x="6701"/>
        <item m="1" x="2870"/>
        <item m="1" x="6906"/>
        <item m="1" x="2221"/>
        <item m="1" x="2705"/>
        <item m="1" x="6892"/>
        <item m="1" x="721"/>
        <item m="1" x="7546"/>
        <item m="1" x="6086"/>
        <item m="1" x="3573"/>
        <item m="1" x="6464"/>
        <item m="1" x="2295"/>
        <item m="1" x="750"/>
        <item m="1" x="915"/>
        <item m="1" x="2625"/>
        <item m="1" x="7154"/>
        <item m="1" x="3624"/>
        <item m="1" x="3800"/>
        <item m="1" x="4593"/>
        <item m="1" x="702"/>
        <item m="1" x="3803"/>
        <item m="1" x="5731"/>
        <item m="1" x="1892"/>
        <item m="1" x="7291"/>
        <item m="1" x="4993"/>
        <item m="1" x="911"/>
        <item m="1" x="5268"/>
        <item m="1" x="6274"/>
        <item m="1" x="2246"/>
        <item m="1" x="5395"/>
        <item m="1" x="6245"/>
        <item m="1" x="4810"/>
        <item m="1" x="7651"/>
        <item m="1" x="6792"/>
        <item m="1" x="731"/>
        <item m="1" x="5992"/>
        <item m="1" x="5534"/>
        <item m="1" x="5488"/>
        <item m="1" x="2426"/>
        <item m="1" x="3634"/>
        <item m="1" x="1134"/>
        <item m="1" x="7788"/>
        <item m="1" x="5047"/>
        <item m="1" x="7584"/>
        <item m="1" x="1096"/>
        <item m="1" x="387"/>
        <item m="1" x="1380"/>
        <item m="1" x="3798"/>
        <item m="1" x="4623"/>
        <item m="1" x="3728"/>
        <item m="1" x="4868"/>
        <item m="1" x="4754"/>
        <item m="1" x="2091"/>
        <item m="1" x="3526"/>
        <item m="1" x="4469"/>
        <item m="1" x="3997"/>
        <item m="1" x="6443"/>
        <item m="1" x="5117"/>
        <item m="1" x="1326"/>
        <item m="1" x="5448"/>
        <item m="1" x="6354"/>
        <item m="1" x="7352"/>
        <item m="1" x="3050"/>
        <item m="1" x="5083"/>
        <item m="1" x="1572"/>
        <item m="1" x="5087"/>
        <item m="1" x="5555"/>
        <item m="1" x="5316"/>
        <item m="1" x="647"/>
        <item m="1" x="7626"/>
        <item m="1" x="5339"/>
        <item m="1" x="4755"/>
        <item m="1" x="3397"/>
        <item m="1" x="4132"/>
        <item m="1" x="7930"/>
        <item m="1" x="5557"/>
        <item m="1" x="4743"/>
        <item m="1" x="2962"/>
        <item m="1" x="6326"/>
        <item m="1" x="2624"/>
        <item m="1" x="7206"/>
        <item m="1" x="3923"/>
        <item m="1" x="914"/>
        <item m="1" x="2746"/>
        <item m="1" x="2335"/>
        <item m="1" x="2839"/>
        <item m="1" x="3530"/>
        <item m="1" x="5726"/>
        <item m="1" x="997"/>
        <item m="1" x="7404"/>
        <item m="1" x="2365"/>
        <item m="1" x="2920"/>
        <item m="1" x="6931"/>
        <item m="1" x="612"/>
        <item m="1" x="7235"/>
        <item m="1" x="3111"/>
        <item m="1" x="3069"/>
        <item m="1" x="2613"/>
        <item m="1" x="4161"/>
        <item m="1" x="3293"/>
        <item m="1" x="5001"/>
        <item m="1" x="2676"/>
        <item m="1" x="5044"/>
        <item m="1" x="2529"/>
        <item m="1" x="4205"/>
        <item m="1" x="3370"/>
        <item m="1" x="268"/>
        <item m="1" x="6954"/>
        <item m="1" x="5173"/>
        <item m="1" x="4170"/>
        <item m="1" x="6251"/>
        <item m="1" x="2453"/>
        <item m="1" x="2695"/>
        <item m="1" x="7470"/>
        <item m="1" x="6295"/>
        <item m="1" x="4723"/>
        <item m="1" x="2243"/>
        <item m="1" x="2402"/>
        <item m="1" x="1616"/>
        <item m="1" x="7189"/>
        <item m="1" x="5588"/>
        <item m="1" x="7335"/>
        <item m="1" x="236"/>
        <item m="1" x="1049"/>
        <item m="1" x="1075"/>
        <item m="1" x="6011"/>
        <item m="1" x="6626"/>
        <item m="1" x="891"/>
        <item m="1" x="1211"/>
        <item m="1" x="2461"/>
        <item m="1" x="7803"/>
        <item m="1" x="256"/>
        <item m="1" x="5479"/>
        <item m="1" x="3829"/>
        <item m="1" x="7730"/>
        <item m="1" x="6050"/>
        <item m="1" x="5600"/>
        <item m="1" x="3855"/>
        <item m="1" x="3094"/>
        <item m="1" x="4087"/>
        <item m="1" x="1540"/>
        <item m="1" x="6298"/>
        <item m="1" x="6632"/>
        <item m="1" x="2030"/>
        <item m="1" x="833"/>
        <item m="1" x="6456"/>
        <item m="1" x="3266"/>
        <item m="1" x="4892"/>
        <item m="1" x="6012"/>
        <item m="1" x="619"/>
        <item m="1" x="405"/>
        <item m="1" x="6340"/>
        <item m="1" x="7504"/>
        <item m="1" x="2169"/>
        <item m="1" x="244"/>
        <item m="1" x="3522"/>
        <item m="1" x="753"/>
        <item m="1" x="5110"/>
        <item m="1" x="3365"/>
        <item m="1" x="5152"/>
        <item m="1" x="2784"/>
        <item m="1" x="4394"/>
        <item m="1" x="2113"/>
        <item m="1" x="4536"/>
        <item m="1" x="2969"/>
        <item m="1" x="6396"/>
        <item m="1" x="6139"/>
        <item m="1" x="3649"/>
        <item m="1" x="2406"/>
        <item m="1" x="5659"/>
        <item m="1" x="6711"/>
        <item m="1" x="4467"/>
        <item m="1" x="3578"/>
        <item m="1" x="2288"/>
        <item m="1" x="2233"/>
        <item m="1" x="6457"/>
        <item m="1" x="1128"/>
        <item m="1" x="5249"/>
        <item m="1" x="5317"/>
        <item m="1" x="7017"/>
        <item m="1" x="4538"/>
        <item m="1" x="2994"/>
        <item m="1" x="6879"/>
        <item m="1" x="3777"/>
        <item m="1" x="5956"/>
        <item m="1" x="7529"/>
        <item m="1" x="7374"/>
        <item m="1" x="3246"/>
        <item m="1" x="349"/>
        <item m="1" x="4803"/>
        <item m="1" x="7785"/>
        <item m="1" x="6745"/>
        <item m="1" x="7843"/>
        <item m="1" x="6987"/>
        <item m="1" x="1357"/>
        <item m="1" x="7319"/>
        <item m="1" x="5916"/>
        <item m="1" x="4612"/>
        <item m="1" x="2232"/>
        <item m="1" x="4439"/>
        <item m="1" x="5259"/>
        <item m="1" x="5232"/>
        <item m="1" x="3880"/>
        <item m="1" x="2820"/>
        <item m="1" x="2202"/>
        <item m="1" x="1863"/>
        <item m="1" x="2785"/>
        <item m="1" x="7869"/>
        <item m="1" x="1771"/>
        <item m="1" x="3141"/>
        <item m="1" x="3441"/>
        <item m="1" x="996"/>
        <item m="1" x="5609"/>
        <item m="1" x="887"/>
        <item m="1" x="1235"/>
        <item m="1" x="6589"/>
        <item m="1" x="4340"/>
        <item m="1" x="6143"/>
        <item m="1" x="2694"/>
        <item m="1" x="6307"/>
        <item m="1" x="5271"/>
        <item m="1" x="3322"/>
        <item m="1" x="633"/>
        <item m="1" x="4924"/>
        <item m="1" x="609"/>
        <item m="1" x="2485"/>
        <item m="1" x="4795"/>
        <item m="1" x="3276"/>
        <item m="1" x="4672"/>
        <item m="1" x="2044"/>
        <item m="1" x="6333"/>
        <item m="1" x="4390"/>
        <item m="1" x="6221"/>
        <item m="1" x="7112"/>
        <item m="1" x="353"/>
        <item m="1" x="3043"/>
        <item m="1" x="6691"/>
        <item m="1" x="4662"/>
        <item m="1" x="5607"/>
        <item m="1" x="1293"/>
        <item m="1" x="4382"/>
        <item m="1" x="3830"/>
        <item m="1" x="6381"/>
        <item m="1" x="7214"/>
        <item m="1" x="7280"/>
        <item m="1" x="7443"/>
        <item m="1" x="6170"/>
        <item m="1" x="474"/>
        <item m="1" x="6444"/>
        <item m="1" x="3847"/>
        <item m="1" x="4288"/>
        <item m="1" x="5193"/>
        <item m="1" x="4428"/>
        <item m="1" x="547"/>
        <item m="1" x="7267"/>
        <item m="1" x="802"/>
        <item m="1" x="3677"/>
        <item m="1" x="6071"/>
        <item m="1" x="6232"/>
        <item m="1" x="1113"/>
        <item m="1" x="1018"/>
        <item m="1" x="4447"/>
        <item m="1" x="1531"/>
        <item m="1" x="3110"/>
        <item m="1" x="6870"/>
        <item m="1" x="7849"/>
        <item m="1" x="3593"/>
        <item m="1" x="5423"/>
        <item m="1" x="5212"/>
        <item m="1" x="6448"/>
        <item m="1" x="7197"/>
        <item m="1" x="3754"/>
        <item m="1" x="4031"/>
        <item m="1" x="6516"/>
        <item m="1" x="7488"/>
        <item m="1" x="1678"/>
        <item m="1" x="5786"/>
        <item m="1" x="2135"/>
        <item m="1" x="6740"/>
        <item m="1" x="416"/>
        <item m="1" x="4199"/>
        <item m="1" x="3126"/>
        <item m="1" x="5531"/>
        <item m="1" x="1897"/>
        <item m="1" x="3701"/>
        <item m="1" x="2010"/>
        <item m="1" x="6982"/>
        <item m="1" x="1664"/>
        <item m="1" x="5691"/>
        <item m="1" x="6081"/>
        <item m="1" x="7121"/>
        <item m="1" x="5893"/>
        <item m="1" x="594"/>
        <item m="1" x="4511"/>
        <item m="1" x="4552"/>
        <item m="1" x="7741"/>
        <item m="1" x="2077"/>
        <item m="1" x="7540"/>
        <item m="1" x="2873"/>
        <item m="1" x="6463"/>
        <item m="1" x="222"/>
        <item m="1" x="4278"/>
        <item m="1" x="5701"/>
        <item m="1" x="5129"/>
        <item m="1" x="7888"/>
        <item m="1" x="4702"/>
        <item m="1" x="4460"/>
        <item m="1" x="4893"/>
        <item m="1" x="1975"/>
        <item m="1" x="7781"/>
        <item m="1" x="4183"/>
        <item m="1" x="4844"/>
        <item m="1" x="548"/>
        <item m="1" x="4432"/>
        <item m="1" x="6658"/>
        <item m="1" x="6884"/>
        <item m="1" x="4532"/>
        <item m="1" x="4130"/>
        <item m="1" x="412"/>
        <item m="1" x="4391"/>
        <item m="1" x="2582"/>
        <item m="1" x="7882"/>
        <item m="1" x="1046"/>
        <item m="1" x="3687"/>
        <item m="1" x="3395"/>
        <item m="1" x="4409"/>
        <item m="1" x="1107"/>
        <item m="1" x="6506"/>
        <item m="1" x="665"/>
        <item m="1" x="292"/>
        <item m="1" x="3936"/>
        <item m="1" x="848"/>
        <item m="1" x="1879"/>
        <item m="1" x="2954"/>
        <item m="1" x="7440"/>
        <item m="1" x="3193"/>
        <item m="1" x="7294"/>
        <item m="1" x="741"/>
        <item m="1" x="6034"/>
        <item m="1" x="6067"/>
        <item m="1" x="7508"/>
        <item m="1" x="2081"/>
        <item m="1" x="3086"/>
        <item m="1" x="2544"/>
        <item m="1" x="4260"/>
        <item m="1" x="3922"/>
        <item m="1" x="5968"/>
        <item m="1" x="1935"/>
        <item m="1" x="3476"/>
        <item m="1" x="567"/>
        <item m="1" x="3457"/>
        <item m="1" x="2593"/>
        <item m="1" x="5569"/>
        <item m="1" x="2600"/>
        <item m="1" x="940"/>
        <item m="1" x="3696"/>
        <item m="1" x="2079"/>
        <item m="1" x="5300"/>
        <item m="1" x="4522"/>
        <item m="1" x="5374"/>
        <item m="1" x="2496"/>
        <item m="1" x="5543"/>
        <item m="1" x="6612"/>
        <item m="1" x="6616"/>
        <item m="1" x="7081"/>
        <item m="1" x="4535"/>
        <item m="1" x="1306"/>
        <item m="1" x="6213"/>
        <item m="1" x="2704"/>
        <item m="1" x="4480"/>
        <item m="1" x="2456"/>
        <item m="1" x="6108"/>
        <item m="1" x="2502"/>
        <item m="1" x="2988"/>
        <item m="1" x="2235"/>
        <item m="1" x="4789"/>
        <item m="1" x="448"/>
        <item m="1" x="4396"/>
        <item m="1" x="7884"/>
        <item m="1" x="4272"/>
        <item m="1" x="1631"/>
        <item m="1" x="6060"/>
        <item m="1" x="6461"/>
        <item m="1" x="2340"/>
        <item m="1" x="4565"/>
        <item m="1" x="6971"/>
        <item m="1" x="5882"/>
        <item m="1" x="2183"/>
        <item m="1" x="2678"/>
        <item m="1" x="2607"/>
        <item m="1" x="1305"/>
        <item m="1" x="856"/>
        <item m="1" x="1037"/>
        <item m="1" x="6673"/>
        <item m="1" x="1447"/>
        <item m="1" x="4210"/>
        <item m="1" x="5853"/>
        <item m="1" x="432"/>
        <item m="1" x="5602"/>
        <item m="1" x="4813"/>
        <item m="1" x="6103"/>
        <item m="1" x="6469"/>
        <item m="1" x="2836"/>
        <item m="1" x="6689"/>
        <item m="1" x="762"/>
        <item m="1" x="6428"/>
        <item m="1" x="7284"/>
        <item m="1" x="4095"/>
        <item m="1" x="5933"/>
        <item m="1" x="5464"/>
        <item m="1" x="4775"/>
        <item m="1" x="4295"/>
        <item m="1" x="5616"/>
        <item m="1" x="1083"/>
        <item m="1" x="3335"/>
        <item m="1" x="1221"/>
        <item m="1" x="938"/>
        <item m="1" x="3352"/>
        <item m="1" x="2855"/>
        <item m="1" x="3409"/>
        <item m="1" x="2029"/>
        <item m="1" x="1039"/>
        <item m="1" x="6952"/>
        <item m="1" x="5358"/>
        <item m="1" x="6331"/>
        <item m="1" x="258"/>
        <item m="1" x="3536"/>
        <item m="1" x="4408"/>
        <item m="1" x="1440"/>
        <item m="1" x="7385"/>
        <item m="1" x="6185"/>
        <item m="1" x="239"/>
        <item m="1" x="5381"/>
        <item m="1" x="4943"/>
        <item m="1" x="1622"/>
        <item m="1" x="1703"/>
        <item m="1" x="5346"/>
        <item m="1" x="6959"/>
        <item m="1" x="5182"/>
        <item m="1" x="2124"/>
        <item m="1" x="1074"/>
        <item m="1" x="4017"/>
        <item m="1" x="5548"/>
        <item m="1" x="7548"/>
        <item m="1" x="6117"/>
        <item m="1" x="832"/>
        <item m="1" x="3703"/>
        <item m="1" x="2450"/>
        <item m="1" x="2230"/>
        <item m="1" x="1381"/>
        <item m="1" x="6166"/>
        <item m="1" x="7413"/>
        <item m="1" x="2022"/>
        <item m="1" x="4747"/>
        <item m="1" x="2032"/>
        <item m="1" x="7813"/>
        <item m="1" x="2266"/>
        <item m="1" x="344"/>
        <item m="1" x="7033"/>
        <item m="1" x="3531"/>
        <item m="1" x="7892"/>
        <item m="1" x="2253"/>
        <item m="1" x="3328"/>
        <item m="1" x="4463"/>
        <item m="1" x="2150"/>
        <item m="1" x="4326"/>
        <item m="1" x="6217"/>
        <item m="1" x="5371"/>
        <item m="1" x="962"/>
        <item m="1" x="2265"/>
        <item m="1" x="5507"/>
        <item m="1" x="6814"/>
        <item m="1" x="321"/>
        <item m="1" x="6358"/>
        <item m="1" x="2786"/>
        <item m="1" x="7255"/>
        <item m="1" x="640"/>
        <item m="1" x="2322"/>
        <item m="1" x="4930"/>
        <item m="1" x="5419"/>
        <item m="1" x="4934"/>
        <item m="1" x="7084"/>
        <item m="1" x="4050"/>
        <item m="1" x="7878"/>
        <item m="1" x="1886"/>
        <item m="1" x="2217"/>
        <item m="1" x="2903"/>
        <item m="1" x="1657"/>
        <item m="1" x="2726"/>
        <item m="1" x="7178"/>
        <item m="1" x="4735"/>
        <item m="1" x="7670"/>
        <item m="1" x="5948"/>
        <item m="1" x="4204"/>
        <item m="1" x="1607"/>
        <item m="1" x="1369"/>
        <item m="1" x="3399"/>
        <item m="1" x="1240"/>
        <item m="1" x="1292"/>
        <item m="1" x="323"/>
        <item m="1" x="7833"/>
        <item m="1" x="7393"/>
        <item m="1" x="6894"/>
        <item m="1" x="4453"/>
        <item m="1" x="649"/>
        <item m="1" x="5450"/>
        <item m="1" x="4465"/>
        <item m="1" x="2506"/>
        <item m="1" x="4741"/>
        <item m="1" x="5093"/>
        <item m="1" x="7790"/>
        <item m="1" x="3741"/>
        <item m="1" x="6958"/>
        <item m="1" x="710"/>
        <item m="1" x="3692"/>
        <item m="1" x="6534"/>
        <item m="1" x="1129"/>
        <item m="1" x="5335"/>
        <item m="1" x="3417"/>
        <item m="1" x="620"/>
        <item m="1" x="5043"/>
        <item m="1" x="511"/>
        <item m="1" x="3496"/>
        <item m="1" x="7561"/>
        <item m="1" x="2462"/>
        <item m="1" x="6339"/>
        <item m="1" x="6754"/>
        <item m="1" x="5468"/>
        <item m="1" x="5011"/>
        <item m="1" x="1597"/>
        <item m="1" x="5908"/>
        <item m="1" x="3740"/>
        <item m="1" x="7943"/>
        <item m="1" x="6485"/>
        <item m="1" x="7302"/>
        <item m="1" x="380"/>
        <item m="1" x="356"/>
        <item m="1" x="3813"/>
        <item m="1" x="3617"/>
        <item m="1" x="617"/>
        <item m="1" x="6810"/>
        <item m="1" x="1070"/>
        <item m="1" x="1166"/>
        <item m="1" x="5510"/>
        <item m="1" x="7641"/>
        <item m="1" x="3207"/>
        <item m="1" x="3199"/>
        <item m="1" x="3978"/>
        <item m="1" x="6682"/>
        <item m="1" x="2517"/>
        <item m="1" x="4882"/>
        <item m="1" x="3849"/>
        <item m="1" x="4279"/>
        <item m="1" x="6483"/>
        <item m="1" x="4630"/>
        <item m="1" x="6313"/>
        <item m="1" x="936"/>
        <item m="1" x="1530"/>
        <item m="1" x="5685"/>
        <item m="1" x="7391"/>
        <item m="1" x="4356"/>
        <item m="1" x="6816"/>
        <item m="1" x="1392"/>
        <item m="1" x="2795"/>
        <item m="1" x="3664"/>
        <item m="1" x="5267"/>
        <item m="1" x="1114"/>
        <item m="1" x="2447"/>
        <item m="1" x="3860"/>
        <item m="1" x="3957"/>
        <item m="1" x="1387"/>
        <item m="1" x="6398"/>
        <item m="1" x="4330"/>
        <item m="1" x="7723"/>
        <item m="1" x="7951"/>
        <item m="1" x="5604"/>
        <item m="1" x="6121"/>
        <item m="1" x="4213"/>
        <item m="1" x="4567"/>
        <item m="1" x="7100"/>
        <item m="1" x="3381"/>
        <item m="1" x="7816"/>
        <item m="1" x="4545"/>
        <item m="1" x="7201"/>
        <item m="1" x="4273"/>
        <item m="1" x="6110"/>
        <item m="1" x="1065"/>
        <item m="1" x="5392"/>
        <item m="1" x="6423"/>
        <item m="1" x="1027"/>
        <item m="1" x="1881"/>
        <item m="1" x="7602"/>
        <item m="1" x="7495"/>
        <item m="1" x="5822"/>
        <item m="1" x="5478"/>
        <item m="1" x="1619"/>
        <item m="1" x="7772"/>
        <item m="1" x="5081"/>
        <item m="1" x="1554"/>
        <item m="1" x="5375"/>
        <item m="1" x="7720"/>
        <item m="1" x="5484"/>
        <item m="1" x="5657"/>
        <item m="1" x="7402"/>
        <item m="1" x="309"/>
        <item m="1" x="6645"/>
        <item m="1" x="5723"/>
        <item m="1" x="2343"/>
        <item m="1" x="688"/>
        <item m="1" x="4277"/>
        <item m="1" x="7757"/>
        <item m="1" x="1980"/>
        <item m="1" x="5264"/>
        <item m="1" x="2469"/>
        <item m="1" x="4989"/>
        <item m="1" x="5623"/>
        <item m="1" x="834"/>
        <item m="1" x="902"/>
        <item m="1" x="4766"/>
        <item m="1" x="4258"/>
        <item m="1" x="6758"/>
        <item m="1" x="434"/>
        <item m="1" x="6005"/>
        <item m="1" x="873"/>
        <item m="1" x="752"/>
        <item m="1" x="4703"/>
        <item m="1" x="4502"/>
        <item m="1" x="5393"/>
        <item m="1" x="7827"/>
        <item m="1" x="1880"/>
        <item m="1" x="6936"/>
        <item m="1" x="850"/>
        <item m="1" x="7230"/>
        <item m="1" x="4371"/>
        <item m="1" x="3825"/>
        <item m="1" x="6165"/>
        <item m="1" x="6301"/>
        <item m="1" x="1558"/>
        <item m="1" x="3190"/>
        <item m="1" x="6921"/>
        <item m="1" x="5537"/>
        <item m="1" x="5281"/>
        <item m="1" x="5192"/>
        <item m="1" x="3132"/>
        <item m="1" x="7595"/>
        <item m="1" x="3160"/>
        <item m="1" x="6048"/>
        <item m="1" x="3439"/>
        <item m="1" x="2301"/>
        <item m="1" x="4678"/>
        <item m="1" x="6426"/>
        <item m="1" x="2831"/>
        <item m="1" x="247"/>
        <item m="1" x="3605"/>
        <item m="1" x="994"/>
        <item m="1" x="3273"/>
        <item m="1" x="4585"/>
        <item m="1" x="3317"/>
        <item m="1" x="1738"/>
        <item m="1" x="672"/>
        <item m="1" x="1431"/>
        <item m="1" x="3269"/>
        <item m="1" x="7549"/>
        <item m="1" x="5925"/>
        <item m="1" x="4003"/>
        <item m="1" x="5131"/>
        <item m="1" x="2606"/>
        <item m="1" x="7727"/>
        <item m="1" x="2657"/>
        <item m="1" x="7544"/>
        <item m="1" x="4445"/>
        <item m="1" x="7247"/>
        <item m="1" x="7138"/>
        <item m="1" x="1751"/>
        <item m="1" x="5864"/>
        <item m="1" x="4737"/>
        <item m="1" x="949"/>
        <item m="1" x="3321"/>
        <item m="1" x="1084"/>
        <item m="1" x="506"/>
        <item m="1" x="831"/>
        <item m="1" x="7750"/>
        <item m="1" x="5216"/>
        <item m="1" x="7453"/>
        <item m="1" x="6279"/>
        <item m="1" x="533"/>
        <item m="1" x="4116"/>
        <item m="1" x="907"/>
        <item m="1" x="7328"/>
        <item m="1" x="4075"/>
        <item m="1" x="2252"/>
        <item m="1" x="7512"/>
        <item m="1" x="3488"/>
        <item m="1" x="3229"/>
        <item m="1" x="7063"/>
        <item m="1" x="5899"/>
        <item m="1" x="4011"/>
        <item m="1" x="4324"/>
        <item m="1" x="7326"/>
        <item m="1" x="4179"/>
        <item m="1" x="3550"/>
        <item m="1" x="1894"/>
        <item m="1" x="699"/>
        <item m="1" x="6435"/>
        <item m="1" x="4939"/>
        <item m="1" x="2423"/>
        <item m="1" x="7405"/>
        <item m="1" x="3621"/>
        <item m="1" x="5481"/>
        <item m="1" x="512"/>
        <item m="1" x="1316"/>
        <item m="1" x="5145"/>
        <item m="1" x="7417"/>
        <item m="1" x="4091"/>
        <item m="1" x="1824"/>
        <item m="1" x="2892"/>
        <item m="1" x="6309"/>
        <item m="1" x="3053"/>
        <item m="1" x="6769"/>
        <item m="1" x="2318"/>
        <item m="1" x="4496"/>
        <item m="1" x="2256"/>
        <item m="1" x="4563"/>
        <item m="1" x="2769"/>
        <item m="1" x="6576"/>
        <item m="1" x="7145"/>
        <item m="1" x="2733"/>
        <item m="1" x="5975"/>
        <item m="1" x="2917"/>
        <item m="1" x="623"/>
        <item m="1" x="2143"/>
        <item m="1" x="2888"/>
        <item m="1" x="2585"/>
        <item m="1" x="718"/>
        <item m="1" x="461"/>
        <item m="1" x="6857"/>
        <item m="1" x="7636"/>
        <item m="1" x="1866"/>
        <item m="1" x="3972"/>
        <item m="1" x="7231"/>
        <item m="1" x="5668"/>
        <item m="1" x="5638"/>
        <item m="1" x="1137"/>
        <item m="1" x="1793"/>
        <item m="1" x="5360"/>
        <item m="1" x="1682"/>
        <item m="1" x="4967"/>
        <item m="1" x="7009"/>
        <item m="1" x="5797"/>
        <item m="1" x="4387"/>
        <item m="1" x="3143"/>
        <item m="1" x="3683"/>
        <item m="1" x="985"/>
        <item m="1" x="4842"/>
        <item m="1" x="7251"/>
        <item m="1" x="3932"/>
        <item m="1" x="3555"/>
        <item m="1" x="7621"/>
        <item m="1" x="1365"/>
        <item m="1" x="7613"/>
        <item m="1" x="3841"/>
        <item m="1" x="1398"/>
        <item m="1" x="1143"/>
        <item m="1" x="1630"/>
        <item m="1" x="2928"/>
        <item m="1" x="6455"/>
        <item m="1" x="6229"/>
        <item m="1" x="2850"/>
        <item m="1" x="297"/>
        <item m="1" x="1246"/>
        <item m="1" x="1317"/>
        <item m="1" x="7119"/>
        <item m="1" x="4918"/>
        <item m="1" x="522"/>
        <item m="1" x="7150"/>
        <item m="1" x="5711"/>
        <item m="1" x="6947"/>
        <item m="1" x="7538"/>
        <item m="1" x="3040"/>
        <item m="1" x="1720"/>
        <item m="1" x="791"/>
        <item m="1" x="2372"/>
        <item m="1" x="1086"/>
        <item m="1" x="6389"/>
        <item m="1" x="1632"/>
        <item m="1" x="5967"/>
        <item m="1" x="4897"/>
        <item m="1" x="735"/>
        <item m="1" x="6638"/>
        <item m="1" x="3079"/>
        <item m="1" x="393"/>
        <item m="1" x="3804"/>
        <item m="1" x="3410"/>
        <item m="1" x="4212"/>
        <item m="1" x="628"/>
        <item m="1" x="6203"/>
        <item m="1" x="7872"/>
        <item m="1" x="4073"/>
        <item m="1" x="357"/>
        <item m="1" x="6775"/>
        <item m="1" x="5074"/>
        <item m="1" x="4136"/>
        <item m="1" x="769"/>
        <item m="1" x="7639"/>
        <item m="1" x="7689"/>
        <item m="1" x="3814"/>
        <item m="1" x="870"/>
        <item m="1" x="2866"/>
        <item m="1" x="2589"/>
        <item m="1" x="4192"/>
        <item m="1" x="7238"/>
        <item m="1" x="537"/>
        <item m="1" x="648"/>
        <item m="1" x="1427"/>
        <item m="1" x="1118"/>
        <item m="1" x="7167"/>
        <item m="1" x="4164"/>
        <item m="1" x="2702"/>
        <item m="1" x="4894"/>
        <item m="1" x="3197"/>
        <item m="1" x="5410"/>
        <item m="1" x="7418"/>
        <item m="1" x="5718"/>
        <item m="1" x="6768"/>
        <item m="1" x="2907"/>
        <item m="1" x="6262"/>
        <item m="1" x="2711"/>
        <item m="1" x="414"/>
        <item m="1" x="3403"/>
        <item m="1" x="1408"/>
        <item m="1" x="7115"/>
        <item m="1" x="6256"/>
        <item m="1" x="3427"/>
        <item m="1" x="7650"/>
        <item m="1" x="5963"/>
        <item m="1" x="1251"/>
        <item m="1" x="1541"/>
        <item m="1" x="6450"/>
        <item m="1" x="4665"/>
        <item m="1" x="4504"/>
        <item m="1" x="5026"/>
        <item m="1" x="1411"/>
        <item m="1" x="1371"/>
        <item m="1" x="6193"/>
        <item m="1" x="4744"/>
        <item m="1" x="3271"/>
        <item m="1" x="652"/>
        <item m="1" x="1088"/>
        <item m="1" x="1628"/>
        <item m="1" x="5577"/>
        <item m="1" x="2906"/>
        <item m="1" x="1421"/>
        <item m="1" x="5712"/>
        <item m="1" x="7203"/>
        <item m="1" x="3512"/>
        <item m="1" x="6024"/>
        <item m="1" x="317"/>
        <item m="1" x="6368"/>
        <item m="1" x="257"/>
        <item m="1" x="3626"/>
        <item m="1" x="4089"/>
        <item m="1" x="2811"/>
        <item m="1" x="1437"/>
        <item m="1" x="1533"/>
        <item m="1" x="1932"/>
        <item m="1" x="3844"/>
        <item m="1" x="6150"/>
        <item m="1" x="7031"/>
        <item m="1" x="7655"/>
        <item m="1" x="7823"/>
        <item m="1" x="2283"/>
        <item m="1" x="4914"/>
        <item m="1" x="7514"/>
        <item m="1" x="6415"/>
        <item m="1" x="6347"/>
        <item m="1" x="3876"/>
        <item m="1" x="2612"/>
        <item m="1" x="4274"/>
        <item m="1" x="825"/>
        <item m="1" x="5170"/>
        <item m="1" x="6491"/>
        <item m="1" x="6716"/>
        <item m="1" x="5037"/>
        <item m="1" x="2762"/>
        <item m="1" x="6963"/>
        <item m="1" x="4555"/>
        <item m="1" x="496"/>
        <item m="1" x="1782"/>
        <item m="1" x="4526"/>
        <item m="1" x="7199"/>
        <item m="1" x="467"/>
        <item m="1" x="3119"/>
        <item m="1" x="4106"/>
        <item m="1" x="7510"/>
        <item m="1" x="1867"/>
        <item m="1" x="1590"/>
        <item m="1" x="4917"/>
        <item m="1" x="2069"/>
        <item m="1" x="1797"/>
        <item m="1" x="337"/>
        <item m="1" x="2471"/>
        <item m="1" x="6039"/>
        <item m="1" x="6360"/>
        <item m="1" x="7764"/>
        <item m="1" x="4804"/>
        <item m="1" x="4901"/>
        <item m="1" x="4714"/>
        <item m="1" x="3898"/>
        <item m="1" x="4512"/>
        <item m="1" x="306"/>
        <item m="1" x="4746"/>
        <item m="1" x="6176"/>
        <item m="1" x="4435"/>
        <item m="1" x="1763"/>
        <item m="1" x="723"/>
        <item m="1" x="4935"/>
        <item m="1" x="5678"/>
        <item m="1" x="3899"/>
        <item m="1" x="2162"/>
        <item m="1" x="4580"/>
        <item m="1" x="4808"/>
        <item m="1" x="5976"/>
        <item m="1" x="3998"/>
        <item m="1" x="1559"/>
        <item m="1" x="2438"/>
        <item m="1" x="7106"/>
        <item m="1" x="1254"/>
        <item m="1" x="2284"/>
        <item m="1" x="6743"/>
        <item m="1" x="7859"/>
        <item m="1" x="3215"/>
        <item m="1" x="1729"/>
        <item m="1" x="5499"/>
        <item m="1" x="7677"/>
        <item m="1" x="7535"/>
        <item m="1" x="3353"/>
        <item m="1" x="6074"/>
        <item m="1" x="3277"/>
        <item m="1" x="322"/>
        <item m="1" x="4964"/>
        <item m="1" x="2375"/>
        <item m="1" x="4215"/>
        <item m="1" x="5176"/>
        <item m="1" x="488"/>
        <item m="1" x="632"/>
        <item m="1" x="6412"/>
        <item m="1" x="2915"/>
        <item m="1" x="5089"/>
        <item m="1" x="1914"/>
        <item m="1" x="6898"/>
        <item m="1" x="385"/>
        <item m="1" x="5330"/>
        <item m="1" x="469"/>
        <item m="1" x="3656"/>
        <item m="1" x="5025"/>
        <item m="1" x="6853"/>
        <item m="1" x="3926"/>
        <item m="1" x="1060"/>
        <item m="1" x="7163"/>
        <item m="1" x="5079"/>
        <item m="1" x="6896"/>
        <item m="1" x="2325"/>
        <item m="1" x="3125"/>
        <item m="1" x="676"/>
        <item m="1" x="559"/>
        <item m="1" x="2551"/>
        <item m="1" x="1064"/>
        <item m="1" x="4343"/>
        <item m="1" x="4876"/>
        <item m="1" x="3438"/>
        <item m="1" x="4338"/>
        <item m="1" x="5942"/>
        <item m="1" x="5064"/>
        <item m="1" x="2018"/>
        <item m="1" x="7133"/>
        <item m="1" x="3042"/>
        <item m="1" x="1116"/>
        <item m="1" x="5917"/>
        <item m="1" x="2701"/>
        <item m="1" x="1464"/>
        <item m="1" x="5454"/>
        <item m="1" x="3988"/>
        <item m="1" x="6158"/>
        <item m="1" x="4974"/>
        <item m="1" x="3900"/>
        <item m="1" x="2825"/>
        <item m="1" x="1386"/>
        <item m="1" x="3521"/>
        <item m="1" x="2869"/>
        <item m="1" x="1514"/>
        <item m="1" x="7600"/>
        <item m="1" x="3645"/>
        <item m="1" x="7292"/>
        <item m="1" x="5116"/>
        <item m="1" x="4276"/>
        <item m="1" x="4049"/>
        <item m="1" x="7794"/>
        <item m="1" x="2082"/>
        <item m="1" x="4657"/>
        <item m="1" x="1413"/>
        <item m="1" x="7297"/>
        <item m="1" x="1044"/>
        <item m="1" x="3675"/>
        <item m="1" x="4668"/>
        <item m="1" x="7599"/>
        <item m="1" x="6562"/>
        <item m="1" x="5502"/>
        <item m="1" x="1658"/>
        <item m="1" x="7629"/>
        <item m="1" x="7835"/>
        <item m="1" x="7724"/>
        <item m="1" x="7728"/>
        <item m="1" x="2572"/>
        <item m="1" x="7325"/>
        <item m="1" x="6989"/>
        <item m="1" x="7331"/>
        <item m="1" x="7913"/>
        <item m="1" x="7895"/>
        <item m="1" x="7262"/>
        <item m="1" x="2914"/>
        <item m="1" x="7633"/>
        <item m="1" x="6838"/>
        <item m="1" x="1561"/>
        <item m="1" x="2494"/>
        <item m="1" x="3676"/>
        <item m="1" x="5406"/>
        <item m="1" x="1003"/>
        <item m="1" x="2493"/>
        <item m="1" x="3793"/>
        <item m="1" x="4221"/>
        <item m="1" x="4053"/>
        <item m="1" x="5228"/>
        <item m="1" x="5336"/>
        <item m="1" x="6030"/>
        <item m="1" x="6351"/>
        <item m="1" x="847"/>
        <item m="1" x="372"/>
        <item m="1" x="4610"/>
        <item m="1" x="5028"/>
        <item m="1" x="1468"/>
        <item m="1" x="6149"/>
        <item m="1" x="377"/>
        <item m="1" x="3051"/>
        <item m="1" x="3882"/>
        <item m="1" x="7559"/>
        <item m="1" x="6648"/>
        <item m="1" x="2027"/>
        <item m="1" x="4533"/>
        <item m="1" x="232"/>
        <item m="1" x="1323"/>
        <item m="1" x="2710"/>
        <item m="1" x="7622"/>
        <item m="1" x="299"/>
        <item m="1" x="6871"/>
        <item m="1" x="6549"/>
        <item m="1" x="3251"/>
        <item m="1" x="4569"/>
        <item m="1" x="1579"/>
        <item m="1" x="3315"/>
        <item m="1" x="2263"/>
        <item m="1" x="683"/>
        <item m="1" x="1157"/>
        <item m="1" x="3440"/>
        <item m="1" x="2561"/>
        <item m="1" x="5663"/>
        <item m="1" x="7954"/>
        <item m="1" x="3939"/>
        <item m="1" x="1611"/>
        <item m="1" x="6239"/>
        <item m="1" x="6269"/>
        <item m="1" x="6019"/>
        <item m="1" x="686"/>
        <item m="1" x="3616"/>
        <item m="1" x="366"/>
        <item m="1" x="6191"/>
        <item m="1" x="3870"/>
        <item m="1" x="1939"/>
        <item m="1" x="6130"/>
        <item m="1" x="2693"/>
        <item m="1" x="7052"/>
        <item m="1" x="3265"/>
        <item m="1" x="2984"/>
        <item m="1" x="3270"/>
        <item m="1" x="4884"/>
        <item m="1" x="1505"/>
        <item m="1" x="712"/>
        <item m="1" x="1378"/>
        <item m="1" x="779"/>
        <item m="1" x="6445"/>
        <item m="1" x="7110"/>
        <item m="1" x="3505"/>
        <item m="1" x="6119"/>
        <item m="1" x="1474"/>
        <item m="1" x="3320"/>
        <item m="1" x="1449"/>
        <item m="1" x="4249"/>
        <item m="1" x="5121"/>
        <item m="1" x="5032"/>
        <item m="1" x="6199"/>
        <item m="1" x="2688"/>
        <item m="1" x="7698"/>
        <item m="1" x="7577"/>
        <item m="1" x="5171"/>
        <item m="1" x="7411"/>
        <item m="1" x="4673"/>
        <item m="1" x="5133"/>
        <item m="1" x="495"/>
        <item m="1" x="1973"/>
        <item m="1" x="6614"/>
        <item m="1" x="3608"/>
        <item m="1" x="3021"/>
        <item m="1" x="2867"/>
        <item m="1" x="7656"/>
        <item m="1" x="1550"/>
        <item m="1" x="692"/>
        <item m="1" x="6766"/>
        <item m="1" x="7861"/>
        <item m="1" x="1367"/>
        <item m="1" x="5257"/>
        <item m="1" x="2491"/>
        <item m="1" x="4105"/>
        <item m="1" x="5447"/>
        <item m="1" x="2908"/>
        <item m="1" x="1794"/>
        <item m="1" x="7018"/>
        <item m="1" x="6327"/>
        <item m="1" x="7373"/>
        <item m="1" x="5305"/>
        <item m="1" x="3598"/>
        <item m="1" x="1978"/>
        <item m="1" x="3064"/>
        <item m="1" x="6016"/>
        <item m="1" x="6280"/>
        <item m="1" x="2808"/>
        <item m="1" x="1882"/>
        <item m="1" x="6282"/>
        <item m="1" x="4527"/>
        <item m="1" x="1911"/>
        <item m="1" x="7867"/>
        <item m="1" x="1728"/>
        <item m="1" x="433"/>
        <item m="1" x="4955"/>
        <item m="1" x="4067"/>
        <item m="1" x="4270"/>
        <item m="1" x="2184"/>
        <item m="1" x="4659"/>
        <item m="1" x="6197"/>
        <item m="1" x="503"/>
        <item m="1" x="7089"/>
        <item m="1" x="7055"/>
        <item m="1" x="823"/>
        <item m="1" x="521"/>
        <item m="1" x="7673"/>
        <item m="1" x="7769"/>
        <item m="1" x="4207"/>
        <item m="1" x="5279"/>
        <item m="1" x="3238"/>
        <item m="1" x="7542"/>
        <item m="1" x="329"/>
        <item m="1" x="7205"/>
        <item m="1" x="7243"/>
        <item m="1" x="5561"/>
        <item m="1" x="1324"/>
        <item m="1" x="830"/>
        <item m="1" x="7076"/>
        <item m="1" x="7910"/>
        <item m="1" x="2800"/>
        <item m="1" x="2686"/>
        <item m="1" x="4770"/>
        <item m="1" x="1850"/>
        <item m="1" x="6153"/>
        <item m="1" x="7586"/>
        <item m="1" x="7733"/>
        <item m="1" x="359"/>
        <item m="1" x="7713"/>
        <item m="1" x="2900"/>
        <item m="1" x="6088"/>
        <item m="1" x="2864"/>
        <item m="1" x="6593"/>
        <item m="1" x="5160"/>
        <item m="1" x="7925"/>
        <item m="1" x="6432"/>
        <item m="1" x="7844"/>
        <item m="1" x="6621"/>
        <item m="1" x="5086"/>
        <item m="1" x="327"/>
        <item m="1" x="2299"/>
        <item m="1" x="1216"/>
        <item m="1" x="1638"/>
        <item m="1" x="3295"/>
        <item m="1" x="498"/>
        <item m="1" x="422"/>
        <item m="1" x="6344"/>
        <item m="1" x="2910"/>
        <item m="1" x="977"/>
        <item m="1" x="1815"/>
        <item m="1" x="1295"/>
        <item m="1" x="2149"/>
        <item m="1" x="5801"/>
        <item m="1" x="3366"/>
        <item m="1" x="5549"/>
        <item m="1" x="5020"/>
        <item m="1" x="570"/>
        <item m="1" x="4133"/>
        <item m="1" x="1665"/>
        <item m="1" x="2371"/>
        <item m="1" x="6567"/>
        <item m="1" x="4436"/>
        <item m="1" x="5372"/>
        <item m="1" x="738"/>
        <item m="1" x="3557"/>
        <item m="1" x="3386"/>
        <item m="1" x="2640"/>
        <item m="1" x="1584"/>
        <item m="1" x="4950"/>
        <item m="1" x="5099"/>
        <item m="1" x="5207"/>
        <item m="1" x="3983"/>
        <item m="1" x="6759"/>
        <item m="1" x="4518"/>
        <item m="1" x="1723"/>
        <item m="1" x="553"/>
        <item m="1" x="6672"/>
        <item m="1" x="6392"/>
        <item m="1" x="4085"/>
        <item m="1" x="4509"/>
        <item m="1" x="3509"/>
        <item m="1" x="3134"/>
        <item m="1" x="961"/>
        <item m="1" x="4319"/>
        <item m="1" x="2314"/>
        <item m="1" x="2360"/>
        <item m="1" x="1407"/>
        <item m="1" x="7141"/>
        <item m="1" x="1843"/>
        <item m="1" x="1435"/>
        <item m="1" x="2231"/>
        <item m="1" x="2132"/>
        <item m="1" x="3245"/>
        <item m="1" x="5676"/>
        <item m="1" x="3596"/>
        <item m="1" x="700"/>
        <item m="1" x="4597"/>
        <item m="1" x="5584"/>
        <item m="1" x="5035"/>
        <item m="1" x="5186"/>
        <item m="1" x="6363"/>
        <item m="1" x="7683"/>
        <item m="1" x="4332"/>
        <item m="1" x="3631"/>
        <item m="1" x="6608"/>
        <item m="1" x="3394"/>
        <item m="1" x="4281"/>
        <item m="1" x="3710"/>
        <item m="1" x="1689"/>
        <item m="1" x="2527"/>
        <item m="1" x="2537"/>
        <item m="1" x="6038"/>
        <item m="1" x="944"/>
        <item m="1" x="6837"/>
        <item m="1" x="2275"/>
        <item m="1" x="413"/>
        <item m="1" x="4556"/>
        <item m="1" x="6633"/>
        <item m="1" x="333"/>
        <item m="1" x="6395"/>
        <item m="1" x="5503"/>
        <item m="1" x="6343"/>
        <item m="1" x="6172"/>
        <item m="1" x="1710"/>
        <item m="1" x="6946"/>
        <item m="1" x="6167"/>
        <item m="1" x="1102"/>
        <item m="1" x="5570"/>
        <item m="1" x="4695"/>
        <item m="1" x="4479"/>
        <item m="1" x="4059"/>
        <item m="1" x="1465"/>
        <item m="1" x="6355"/>
        <item m="1" x="1207"/>
        <item m="1" x="7657"/>
        <item m="1" x="5710"/>
        <item m="1" x="4486"/>
        <item m="1" x="5931"/>
        <item m="1" x="5005"/>
        <item m="1" x="5693"/>
        <item m="1" x="6224"/>
        <item m="1" x="1349"/>
        <item m="1" x="6548"/>
        <item m="1" x="667"/>
        <item m="1" x="4397"/>
        <item m="1" x="6378"/>
        <item m="1" x="532"/>
        <item m="1" x="5995"/>
        <item m="1" x="5140"/>
        <item m="1" x="2681"/>
        <item m="1" x="4929"/>
        <item m="1" x="5714"/>
        <item m="1" x="3258"/>
        <item m="1" x="3287"/>
        <item m="1" x="6833"/>
        <item m="1" x="4619"/>
        <item m="1" x="2684"/>
        <item m="1" x="5934"/>
        <item m="1" x="1779"/>
        <item m="1" x="2829"/>
        <item m="1" x="4172"/>
        <item m="1" x="3421"/>
        <item m="1" x="6862"/>
        <item m="1" x="1888"/>
        <item m="1" x="2136"/>
        <item m="1" x="3636"/>
        <item m="1" x="2921"/>
        <item m="1" x="6948"/>
        <item m="1" x="4819"/>
        <item m="1" x="3532"/>
        <item m="1" x="1168"/>
        <item m="1" x="1684"/>
        <item m="1" x="2257"/>
        <item m="1" x="1878"/>
        <item m="1" x="7467"/>
        <item m="1" x="7403"/>
        <item m="1" x="6577"/>
        <item m="1" x="5039"/>
        <item m="1" x="3216"/>
        <item m="1" x="5563"/>
        <item m="1" x="5951"/>
        <item m="1" x="2802"/>
        <item m="1" x="3875"/>
        <item m="1" x="7646"/>
        <item m="1" x="3167"/>
        <item m="1" x="1775"/>
        <item m="1" x="4650"/>
        <item m="1" x="6824"/>
        <item m="1" x="7248"/>
        <item m="1" x="2240"/>
        <item m="1" x="639"/>
        <item m="1" x="3591"/>
        <item m="1" x="7047"/>
        <item m="1" x="3497"/>
        <item m="1" x="1517"/>
        <item m="1" x="5234"/>
        <item m="1" x="5013"/>
        <item m="1" x="1854"/>
        <item m="1" x="4847"/>
        <item m="1" x="5150"/>
        <item m="1" x="5683"/>
        <item m="1" x="4029"/>
        <item m="1" x="6977"/>
        <item m="1" x="5576"/>
        <item m="1" x="7707"/>
        <item m="1" x="5052"/>
        <item m="1" x="2504"/>
        <item m="1" x="960"/>
        <item m="1" x="2392"/>
        <item m="1" x="6484"/>
        <item m="1" x="486"/>
        <item m="1" x="336"/>
        <item m="1" x="7044"/>
        <item m="1" x="3128"/>
        <item m="1" x="3745"/>
        <item m="1" x="1842"/>
        <item m="1" x="3221"/>
        <item m="1" x="4284"/>
        <item m="1" x="1691"/>
        <item m="1" x="2156"/>
        <item m="1" x="1308"/>
        <item m="1" x="7685"/>
        <item m="1" x="3858"/>
        <item m="1" x="5105"/>
        <item m="1" x="1330"/>
        <item m="1" x="4997"/>
        <item m="1" x="6964"/>
        <item m="1" x="4647"/>
        <item m="1" x="2847"/>
        <item m="1" x="5680"/>
        <item m="1" x="2741"/>
        <item m="1" x="3338"/>
        <item m="1" x="6109"/>
        <item m="1" x="4811"/>
        <item m="1" x="5440"/>
        <item m="1" x="5299"/>
        <item m="1" x="6634"/>
        <item m="1" x="3019"/>
        <item m="1" x="1624"/>
        <item m="1" x="3959"/>
        <item m="1" x="3837"/>
        <item m="1" x="7598"/>
        <item m="1" x="5413"/>
        <item m="1" x="4700"/>
        <item m="1" x="5755"/>
        <item m="1" x="4093"/>
        <item m="1" x="3422"/>
        <item m="1" x="6365"/>
        <item m="1" x="2633"/>
        <item m="1" x="2623"/>
        <item m="1" x="1640"/>
        <item m="1" x="452"/>
        <item m="1" x="6706"/>
        <item m="1" x="1711"/>
        <item m="1" x="4124"/>
        <item m="1" x="1230"/>
        <item m="1" x="3466"/>
        <item m="1" x="6877"/>
        <item m="1" x="2237"/>
        <item m="1" x="7624"/>
        <item m="1" x="1702"/>
        <item m="1" x="1612"/>
        <item m="1" x="314"/>
        <item m="1" x="2615"/>
        <item m="1" x="6490"/>
        <item m="1" x="5642"/>
        <item m="1" x="6214"/>
        <item m="1" x="1802"/>
        <item m="1" x="7398"/>
        <item m="1" x="5185"/>
        <item m="1" x="1859"/>
        <item m="1" x="7109"/>
        <item m="1" x="5128"/>
        <item m="1" x="1620"/>
        <item m="1" x="529"/>
        <item m="1" x="5605"/>
        <item m="1" x="4912"/>
        <item m="1" x="4317"/>
        <item m="1" x="5429"/>
        <item m="1" x="1862"/>
        <item m="1" x="3194"/>
        <item m="1" x="4160"/>
        <item m="1" x="7543"/>
        <item m="1" x="1855"/>
        <item m="1" x="3967"/>
        <item m="1" x="897"/>
        <item m="1" x="3679"/>
        <item m="1" x="3681"/>
        <item m="1" x="229"/>
        <item m="1" x="5134"/>
        <item m="1" x="7125"/>
        <item m="1" x="5813"/>
        <item m="1" x="4609"/>
        <item m="1" x="2982"/>
        <item m="1" x="3834"/>
        <item m="1" x="4722"/>
        <item m="1" x="6628"/>
        <item m="1" x="5869"/>
        <item m="1" x="2986"/>
        <item m="1" x="7208"/>
        <item m="1" x="4607"/>
        <item m="1" x="7027"/>
        <item m="1" x="1255"/>
        <item m="1" x="550"/>
        <item m="1" x="3334"/>
        <item m="1" x="5075"/>
        <item m="1" x="7603"/>
        <item m="1" x="906"/>
        <item m="1" x="316"/>
        <item m="1" x="343"/>
        <item m="1" x="1916"/>
        <item m="1" x="2433"/>
        <item m="1" x="5320"/>
        <item m="1" x="508"/>
        <item m="1" x="2123"/>
        <item m="1" x="1551"/>
        <item m="1" x="3078"/>
        <item m="1" x="2511"/>
        <item m="1" x="5248"/>
        <item m="1" x="5655"/>
        <item m="1" x="6052"/>
        <item m="1" x="6222"/>
        <item m="1" x="3364"/>
        <item m="1" x="6205"/>
        <item m="1" x="1108"/>
        <item m="1" x="2535"/>
        <item m="1" x="3657"/>
        <item m="1" x="4294"/>
        <item m="1" x="6289"/>
        <item m="1" x="6826"/>
        <item m="1" x="1527"/>
        <item m="1" x="4830"/>
        <item m="1" x="1490"/>
        <item m="1" x="1229"/>
        <item m="1" x="3307"/>
        <item m="1" x="4325"/>
        <item m="1" x="5855"/>
        <item m="1" x="3537"/>
        <item m="1" x="3782"/>
        <item m="1" x="4679"/>
        <item m="1" x="5006"/>
        <item m="1" x="2031"/>
        <item m="1" x="2596"/>
        <item m="1" x="7744"/>
        <item m="1" x="2818"/>
        <item m="1" x="5529"/>
        <item m="1" x="7057"/>
        <item m="1" x="3811"/>
        <item m="1" x="1686"/>
        <item m="1" x="230"/>
        <item m="1" x="3230"/>
        <item m="1" x="466"/>
        <item m="1" x="6042"/>
        <item m="1" x="7609"/>
        <item m="1" x="2220"/>
        <item m="1" x="5387"/>
        <item m="1" x="4135"/>
        <item m="1" x="1676"/>
        <item m="1" x="5927"/>
        <item m="1" x="4252"/>
        <item m="1" x="2955"/>
        <item m="1" x="7156"/>
        <item m="1" x="2816"/>
        <item m="1" x="6615"/>
        <item m="1" x="2121"/>
        <item m="1" x="2382"/>
        <item m="1" x="1741"/>
        <item m="1" x="1218"/>
        <item m="1" x="4562"/>
        <item m="1" x="2632"/>
        <item m="1" x="1942"/>
        <item m="1" x="7252"/>
        <item m="1" x="6120"/>
        <item m="1" x="4476"/>
        <item m="1" x="3893"/>
        <item m="1" x="332"/>
        <item m="1" x="4999"/>
        <item m="1" x="842"/>
        <item m="1" x="5199"/>
        <item m="1" x="1569"/>
        <item m="1" x="5323"/>
        <item m="1" x="3332"/>
        <item m="1" x="7525"/>
        <item m="1" x="4444"/>
        <item m="1" x="4641"/>
        <item m="1" x="4628"/>
        <item m="1" x="6237"/>
        <item m="1" x="4503"/>
        <item m="1" x="2238"/>
        <item m="1" x="6765"/>
        <item m="1" x="7767"/>
        <item m="1" x="437"/>
        <item m="1" x="2222"/>
        <item m="1" x="6241"/>
        <item m="1" x="6100"/>
        <item m="1" x="4861"/>
        <item m="1" x="7421"/>
        <item m="1" x="3233"/>
        <item m="1" x="6780"/>
        <item m="1" x="616"/>
        <item m="1" x="3989"/>
        <item m="1" x="7356"/>
        <item m="1" x="3493"/>
        <item m="1" x="4517"/>
        <item m="1" x="5781"/>
        <item m="1" x="4860"/>
        <item m="1" x="3850"/>
        <item m="1" x="3195"/>
        <item m="1" x="1637"/>
        <item m="1" x="1799"/>
        <item m="1" x="1284"/>
        <item m="1" x="4313"/>
        <item m="1" x="6216"/>
        <item m="1" x="490"/>
        <item m="1" x="6772"/>
        <item m="1" x="4903"/>
        <item m="1" x="6474"/>
        <item m="1" x="2972"/>
        <item m="1" x="6040"/>
        <item m="1" x="3886"/>
        <item m="1" x="5425"/>
        <item m="1" x="1812"/>
        <item m="1" x="1783"/>
        <item m="1" x="250"/>
        <item m="1" x="5483"/>
        <item m="1" x="6376"/>
        <item m="1" x="6303"/>
        <item m="1" x="2140"/>
        <item m="1" x="6830"/>
        <item m="1" x="1746"/>
        <item m="1" x="4188"/>
        <item m="1" x="1818"/>
        <item m="1" x="6552"/>
        <item m="1" x="924"/>
        <item m="1" x="6348"/>
        <item m="1" x="4355"/>
        <item m="1" x="7671"/>
        <item m="1" x="4234"/>
        <item m="1" x="598"/>
        <item m="1" x="6916"/>
        <item m="1" x="3601"/>
        <item m="1" x="4010"/>
        <item m="1" x="3091"/>
        <item m="1" x="1103"/>
        <item m="1" x="1391"/>
        <item m="1" x="5981"/>
        <item m="1" x="5936"/>
        <item m="1" x="4107"/>
        <item m="1" x="4727"/>
        <item m="1" x="6200"/>
        <item m="1" x="7832"/>
        <item m="1" x="1382"/>
        <item m="1" x="7820"/>
        <item m="1" x="3585"/>
        <item m="1" x="4194"/>
        <item m="1" x="4587"/>
        <item m="1" x="4256"/>
        <item m="1" x="3211"/>
        <item m="1" x="298"/>
        <item m="1" x="2999"/>
        <item m="1" x="643"/>
        <item m="1" x="3431"/>
        <item m="1" x="4061"/>
        <item m="1" x="3327"/>
        <item m="1" x="6850"/>
        <item m="1" x="818"/>
        <item m="1" x="6526"/>
        <item m="1" x="7344"/>
        <item m="1" x="4351"/>
        <item m="1" x="5798"/>
        <item m="1" x="781"/>
        <item m="1" x="7037"/>
        <item m="1" x="1150"/>
        <item m="1" x="4772"/>
        <item m="1" x="4559"/>
        <item m="1" x="2716"/>
        <item m="1" x="3635"/>
        <item m="1" x="1234"/>
        <item m="1" x="3284"/>
        <item m="1" x="579"/>
        <item m="1" x="7562"/>
        <item m="1" x="2403"/>
        <item m="1" x="6230"/>
        <item m="1" x="5519"/>
        <item m="1" x="4942"/>
        <item m="1" x="7725"/>
        <item m="1" x="6676"/>
        <item m="1" x="3179"/>
        <item m="1" x="2905"/>
        <item m="1" x="5295"/>
        <item m="1" x="2355"/>
        <item m="1" x="3035"/>
        <item m="1" x="5031"/>
        <item m="1" x="6405"/>
        <item m="1" x="3059"/>
        <item m="1" x="4689"/>
        <item m="1" x="6211"/>
        <item m="1" x="5957"/>
        <item m="1" x="6066"/>
        <item m="1" x="4982"/>
        <item m="1" x="4318"/>
        <item m="1" x="2871"/>
        <item m="1" x="3812"/>
        <item m="1" x="2390"/>
        <item m="1" x="383"/>
        <item m="1" x="6627"/>
        <item m="1" x="3024"/>
        <item m="1" x="5132"/>
        <item m="1" x="4128"/>
        <item m="1" x="6762"/>
        <item m="1" x="6076"/>
        <item m="1" x="2131"/>
        <item m="1" x="3147"/>
        <item m="1" x="6939"/>
        <item m="1" x="7347"/>
        <item m="1" x="5307"/>
        <item m="1" x="5238"/>
        <item m="1" x="7107"/>
        <item m="1" x="3264"/>
        <item m="1" x="3516"/>
        <item m="1" x="7850"/>
        <item m="1" x="5443"/>
        <item m="1" x="5774"/>
        <item m="1" x="2783"/>
        <item m="1" x="243"/>
        <item m="1" x="3103"/>
        <item m="1" x="7181"/>
        <item m="1" x="2068"/>
        <item m="1" x="3779"/>
        <item m="1" x="3474"/>
        <item m="1" x="4780"/>
        <item m="1" x="2935"/>
        <item m="1" x="2080"/>
        <item m="1" x="1269"/>
        <item m="1" x="6146"/>
        <item m="1" x="1425"/>
        <item m="1" x="4712"/>
        <item m="1" x="1181"/>
        <item m="1" x="520"/>
        <item m="1" x="6773"/>
        <item m="1" x="1400"/>
        <item m="1" x="7134"/>
        <item m="1" x="7477"/>
        <item m="1" x="7184"/>
        <item m="1" x="6393"/>
        <item m="1" x="233"/>
        <item m="1" x="797"/>
        <item m="1" x="2940"/>
        <item m="1" x="5796"/>
        <item m="1" x="3280"/>
        <item m="1" x="6544"/>
        <item m="1" x="1395"/>
        <item m="1" x="3255"/>
        <item m="1" x="4825"/>
        <item m="1" x="3523"/>
        <item m="1" x="3149"/>
        <item m="1" x="4514"/>
        <item m="1" x="5233"/>
        <item m="1" x="1724"/>
        <item m="1" x="1410"/>
        <item m="1" x="7126"/>
        <item m="1" x="5868"/>
        <item m="1" x="7099"/>
        <item m="1" x="3290"/>
        <item m="1" x="5649"/>
        <item m="1" x="4123"/>
        <item m="1" x="4159"/>
        <item m="1" x="7915"/>
        <item m="1" x="397"/>
        <item m="1" x="5513"/>
        <item m="1" x="4858"/>
        <item m="1" x="4275"/>
        <item m="1" x="5909"/>
        <item m="1" x="5791"/>
        <item m="1" x="3755"/>
        <item m="1" x="7092"/>
        <item m="1" x="7721"/>
        <item m="1" x="2272"/>
        <item m="1" x="6935"/>
        <item m="1" x="7219"/>
        <item m="1" x="7245"/>
        <item m="1" x="7221"/>
        <item m="1" x="4253"/>
        <item m="1" x="7498"/>
        <item m="1" x="2394"/>
        <item m="1" x="5139"/>
        <item m="1" x="5978"/>
        <item m="1" x="1035"/>
        <item m="1" x="5101"/>
        <item m="1" x="3090"/>
        <item m="1" x="3302"/>
        <item m="1" x="3781"/>
        <item m="1" x="7028"/>
        <item m="1" x="4280"/>
        <item m="1" x="2902"/>
        <item m="1" x="2167"/>
        <item m="1" x="2354"/>
        <item m="1" x="6782"/>
        <item m="1" x="7337"/>
        <item m="1" x="6268"/>
        <item m="1" x="4308"/>
        <item m="1" x="7625"/>
        <item m="1" x="4071"/>
        <item m="1" x="1483"/>
        <item m="1" x="1071"/>
        <item m="1" x="7632"/>
        <item m="1" x="4108"/>
        <item m="1" x="7164"/>
        <item m="1" x="523"/>
        <item m="1" x="4228"/>
        <item m="1" x="4752"/>
        <item m="1" x="4629"/>
        <item m="1" x="4141"/>
        <item m="1" x="6391"/>
        <item m="1" x="7288"/>
        <item m="1" x="4987"/>
        <item m="1" x="3857"/>
        <item m="1" x="2645"/>
        <item m="1" x="1830"/>
        <item m="1" x="7766"/>
        <item m="1" x="2420"/>
        <item m="1" x="2157"/>
        <item m="1" x="843"/>
        <item m="1" x="7306"/>
        <item m="1" x="4864"/>
        <item m="1" x="7038"/>
        <item m="1" x="7461"/>
        <item m="1" x="6590"/>
        <item m="1" x="2037"/>
        <item m="1" x="1307"/>
        <item m="1" x="2719"/>
        <item m="1" x="4366"/>
        <item m="1" x="7105"/>
        <item m="1" x="4739"/>
        <item m="1" x="1032"/>
        <item m="1" x="1417"/>
        <item m="1" x="7693"/>
        <item m="1" x="1987"/>
        <item m="1" x="3182"/>
        <item m="1" x="1709"/>
        <item m="1" x="6336"/>
        <item m="1" x="1648"/>
        <item m="1" x="5123"/>
        <item m="1" x="4090"/>
        <item m="1" x="5195"/>
        <item m="1" x="5214"/>
        <item m="1" x="4421"/>
        <item m="1" x="1405"/>
        <item m="1" x="7307"/>
        <item m="1" x="4637"/>
        <item m="1" x="4125"/>
        <item m="1" x="487"/>
        <item m="1" x="1538"/>
        <item m="1" x="2267"/>
        <item m="1" x="3594"/>
        <item m="1" x="740"/>
        <item m="1" x="580"/>
        <item m="1" x="6847"/>
        <item m="1" x="3350"/>
        <item m="1" x="1912"/>
        <item m="1" x="5092"/>
        <item m="1" x="2254"/>
        <item m="1" x="5972"/>
        <item m="1" x="1562"/>
        <item m="1" x="3220"/>
        <item m="1" x="5477"/>
        <item m="1" x="5782"/>
        <item m="1" x="2616"/>
        <item m="1" x="3890"/>
        <item m="1" x="507"/>
        <item m="1" x="5177"/>
        <item m="1" x="4014"/>
        <item m="1" x="854"/>
        <item m="1" x="5457"/>
        <item m="1" x="5438"/>
        <item m="1" x="1983"/>
        <item m="1" x="4043"/>
        <item m="1" x="2649"/>
        <item m="1" x="6095"/>
        <item m="1" x="2084"/>
        <item m="1" x="7758"/>
        <item m="1" x="7101"/>
        <item m="1" x="3786"/>
        <item m="1" x="5073"/>
        <item m="1" x="1927"/>
        <item m="1" x="4209"/>
        <item m="1" x="1662"/>
        <item m="1" x="419"/>
        <item m="1" x="7484"/>
        <item m="1" x="3023"/>
        <item m="1" x="5562"/>
        <item m="1" x="3711"/>
        <item m="1" x="1749"/>
        <item m="1" x="2364"/>
        <item m="1" x="1516"/>
        <item m="1" x="863"/>
        <item m="1" x="5135"/>
        <item m="1" x="3130"/>
        <item m="1" x="1304"/>
        <item m="1" x="392"/>
        <item m="1" x="6337"/>
        <item m="1" x="2418"/>
        <item m="1" x="2117"/>
        <item m="1" x="1208"/>
        <item m="1" x="1947"/>
        <item m="1" x="2430"/>
        <item m="1" x="7691"/>
        <item m="1" x="1362"/>
        <item m="1" x="1220"/>
        <item m="1" x="3288"/>
        <item m="1" x="5580"/>
        <item m="1" x="3437"/>
        <item m="1" x="2274"/>
        <item m="1" x="3235"/>
        <item m="1" x="3426"/>
        <item m="1" x="3454"/>
        <item m="1" x="882"/>
        <item m="1" x="7317"/>
        <item m="1" x="5208"/>
        <item m="1" x="2026"/>
        <item m="1" x="6236"/>
        <item m="1" x="4494"/>
        <item m="1" x="5046"/>
        <item m="1" x="3414"/>
        <item m="1" x="1384"/>
        <item m="1" x="4963"/>
        <item m="1" x="295"/>
        <item m="1" x="6644"/>
        <item m="1" x="2592"/>
        <item m="1" x="6104"/>
        <item m="1" x="7553"/>
        <item m="1" x="6311"/>
        <item m="1" x="5226"/>
        <item m="1" x="492"/>
        <item m="1" x="6226"/>
        <item m="1" x="2597"/>
        <item m="1" x="6591"/>
        <item m="1" x="6292"/>
        <item m="1" x="3127"/>
        <item m="1" x="6573"/>
        <item m="1" x="871"/>
        <item m="1" x="1262"/>
        <item m="1" x="3968"/>
        <item m="1" x="2618"/>
        <item m="1" x="4691"/>
        <item m="1" x="4809"/>
        <item m="1" x="3817"/>
        <item m="1" x="516"/>
        <item m="1" x="4262"/>
        <item m="1" x="5414"/>
        <item m="1" x="1840"/>
        <item m="1" x="7563"/>
        <item m="1" x="6133"/>
        <item m="1" x="5288"/>
        <item m="1" x="2104"/>
        <item m="1" x="5054"/>
        <item m="1" x="6020"/>
        <item m="1" x="4711"/>
        <item m="1" x="2885"/>
        <item m="1" x="2508"/>
        <item m="1" x="6584"/>
        <item m="1" x="4546"/>
        <item m="1" x="6524"/>
        <item m="1" x="5341"/>
        <item m="1" x="2287"/>
        <item m="1" x="4524"/>
        <item m="1" x="3881"/>
        <item m="1" x="5365"/>
        <item m="1" x="5146"/>
        <item m="1" x="7868"/>
        <item m="1" x="701"/>
        <item m="1" x="6083"/>
        <item m="1" x="3818"/>
        <item m="1" x="7909"/>
        <item m="1" x="3693"/>
        <item m="1" x="5627"/>
        <item m="1" x="7323"/>
        <item m="1" x="7072"/>
        <item m="1" x="3606"/>
        <item m="1" x="6480"/>
        <item m="1" x="7295"/>
        <item m="1" x="3494"/>
        <item m="1" x="6357"/>
        <item m="1" x="7160"/>
        <item m="1" x="4874"/>
        <item m="1" x="3115"/>
        <item m="1" x="4174"/>
        <item m="1" x="5670"/>
        <item m="1" x="4403"/>
        <item m="1" x="4019"/>
        <item m="1" x="331"/>
        <item m="1" x="4969"/>
        <item m="1" x="4114"/>
        <item m="1" x="884"/>
        <item m="1" x="4589"/>
        <item m="1" x="2178"/>
        <item m="1" x="5977"/>
        <item m="1" x="3432"/>
        <item m="1" x="7732"/>
        <item m="1" x="4452"/>
        <item m="1" x="3499"/>
        <item m="1" x="1339"/>
        <item m="1" x="2655"/>
        <item m="1" x="4670"/>
        <item m="1" x="6914"/>
        <item m="1" x="1570"/>
        <item m="1" x="1336"/>
        <item m="1" x="4655"/>
        <item m="1" x="7736"/>
        <item m="1" x="1816"/>
        <item m="1" x="2594"/>
        <item m="1" x="2107"/>
        <item m="1" x="4591"/>
        <item m="1" x="3937"/>
        <item m="1" x="3587"/>
        <item m="1" x="986"/>
        <item m="1" x="6613"/>
        <item m="1" x="3470"/>
        <item m="1" x="2514"/>
        <item m="1" x="389"/>
        <item m="1" x="894"/>
        <item m="1" x="6727"/>
        <item m="1" x="4100"/>
        <item m="1" x="1329"/>
        <item m="1" x="4434"/>
        <item m="1" x="5383"/>
        <item m="1" x="729"/>
        <item m="1" x="2772"/>
        <item m="1" x="2294"/>
        <item m="1" x="2513"/>
        <item m="1" x="1677"/>
        <item m="1" x="3678"/>
        <item m="1" x="5903"/>
        <item m="1" x="3500"/>
        <item m="1" x="4416"/>
        <item m="1" x="2041"/>
        <item m="1" x="4570"/>
        <item m="1" x="6328"/>
        <item m="1" x="7826"/>
        <item m="1" x="6715"/>
        <item m="1" x="429"/>
        <item m="1" x="3036"/>
        <item m="1" x="578"/>
        <item m="1" x="3234"/>
        <item m="1" x="253"/>
        <item m="1" x="1136"/>
        <item m="1" x="5283"/>
        <item m="1" x="6127"/>
        <item m="1" x="4577"/>
        <item m="1" x="5645"/>
        <item m="1" x="7246"/>
        <item m="1" x="2747"/>
        <item m="1" x="1340"/>
        <item m="1" x="7824"/>
        <item m="1" x="539"/>
        <item m="1" x="2804"/>
        <item m="1" x="3022"/>
        <item m="1" x="2329"/>
        <item m="1" x="4446"/>
        <item m="1" x="4660"/>
        <item m="1" x="1146"/>
        <item m="1" x="2660"/>
        <item m="1" x="7039"/>
        <item m="1" x="7649"/>
        <item m="1" x="7662"/>
        <item m="1" x="3342"/>
        <item m="1" x="7079"/>
        <item m="1" x="1826"/>
        <item m="1" x="3770"/>
        <item m="1" x="6771"/>
        <item m="1" x="6659"/>
        <item m="1" x="6519"/>
        <item m="1" x="4688"/>
        <item m="1" x="6863"/>
        <item m="1" x="2361"/>
        <item m="1" x="3096"/>
        <item m="1" x="7058"/>
        <item m="1" x="918"/>
        <item m="1" x="6116"/>
        <item m="1" x="4854"/>
        <item m="1" x="1990"/>
        <item m="1" x="6318"/>
        <item m="1" x="4927"/>
        <item m="1" x="5554"/>
        <item m="1" x="1661"/>
        <item m="1" x="2573"/>
        <item m="1" x="698"/>
        <item m="1" x="5632"/>
        <item m="1" x="6905"/>
        <item m="1" x="4131"/>
        <item m="1" x="3776"/>
        <item m="1" x="5285"/>
        <item m="1" x="2197"/>
        <item m="1" x="6818"/>
        <item m="1" x="4724"/>
        <item m="1" x="759"/>
        <item m="1" x="1891"/>
        <item m="1" x="3802"/>
        <item m="1" x="7446"/>
        <item m="1" x="6183"/>
        <item m="1" x="4237"/>
        <item m="1" x="2861"/>
        <item m="1" x="2313"/>
        <item m="1" x="754"/>
        <item m="1" x="5658"/>
        <item m="1" x="7399"/>
        <item m="1" x="5260"/>
        <item m="1" x="4378"/>
        <item m="1" x="662"/>
        <item m="1" x="4561"/>
        <item m="1" x="6929"/>
        <item m="1" x="1272"/>
        <item m="1" x="395"/>
        <item m="1" x="4877"/>
        <item m="1" x="3044"/>
        <item m="1" x="6131"/>
        <item m="1" x="5597"/>
        <item m="1" x="7093"/>
        <item m="1" x="5471"/>
        <item m="1" x="7825"/>
        <item m="1" x="3668"/>
        <item m="1" x="7571"/>
        <item m="1" x="5453"/>
        <item m="1" x="1267"/>
        <item m="1" x="4400"/>
        <item m="1" x="1279"/>
        <item m="1" x="3088"/>
        <item m="1" x="7569"/>
        <item m="1" x="2967"/>
        <item m="1" x="6707"/>
        <item m="1" x="1393"/>
        <item m="1" x="5913"/>
        <item m="1" x="4335"/>
        <item m="1" x="5688"/>
        <item m="1" x="3097"/>
        <item m="1" x="7942"/>
        <item m="1" x="5762"/>
        <item m="1" x="7182"/>
        <item m="1" x="3868"/>
        <item m="1" x="6572"/>
        <item m="1" x="4845"/>
        <item m="1" x="2692"/>
        <item m="1" x="4151"/>
        <item m="1" x="7597"/>
        <item m="1" x="2421"/>
        <item m="1" x="3355"/>
        <item m="1" x="4414"/>
        <item m="1" x="2001"/>
        <item m="1" x="2819"/>
        <item m="1" x="969"/>
        <item m="1" x="794"/>
        <item m="1" x="4297"/>
        <item m="1" x="1503"/>
        <item m="1" x="2949"/>
        <item m="1" x="3561"/>
        <item m="1" x="7175"/>
        <item m="1" x="2321"/>
        <item m="1" x="4339"/>
        <item m="1" x="5512"/>
        <item m="1" x="6283"/>
        <item m="1" x="7653"/>
        <item m="1" x="5886"/>
        <item m="1" x="367"/>
        <item m="1" x="3921"/>
        <item m="1" x="5980"/>
        <item m="1" x="6272"/>
        <item m="1" x="6402"/>
        <item m="1" x="1940"/>
        <item m="1" x="6542"/>
        <item m="1" x="7250"/>
        <item m="1" x="722"/>
        <item m="1" x="1868"/>
        <item m="1" x="4632"/>
        <item m="1" x="2380"/>
        <item m="1" x="7762"/>
        <item m="1" x="3145"/>
        <item m="1" x="6442"/>
        <item m="1" x="1576"/>
        <item m="1" x="4960"/>
        <item m="1" x="7445"/>
        <item m="1" x="7324"/>
        <item m="1" x="4448"/>
        <item m="1" x="1999"/>
        <item m="1" x="7437"/>
        <item m="1" x="5201"/>
        <item m="1" x="4544"/>
        <item m="1" x="7212"/>
        <item m="1" x="1428"/>
        <item m="1" x="4613"/>
        <item m="1" x="4687"/>
        <item m="1" x="858"/>
        <item m="1" x="7372"/>
        <item m="1" x="2347"/>
        <item m="1" x="6196"/>
        <item m="1" x="7240"/>
        <item m="1" x="6734"/>
        <item m="1" x="7668"/>
        <item m="1" x="3785"/>
        <item m="1" x="7366"/>
        <item m="1" x="2959"/>
        <item m="1" x="6073"/>
        <item m="1" x="6028"/>
        <item m="1" x="7054"/>
        <item m="1" x="4855"/>
        <item m="1" x="399"/>
        <item m="1" x="5109"/>
        <item m="1" x="374"/>
        <item m="1" x="3369"/>
        <item m="1" x="7168"/>
        <item m="1" x="4922"/>
        <item m="1" x="2110"/>
        <item m="1" x="7003"/>
        <item m="1" x="3123"/>
        <item m="1" x="3752"/>
        <item m="1" x="1105"/>
        <item m="1" x="2170"/>
        <item m="1" x="4891"/>
        <item m="1" x="707"/>
        <item m="1" x="5420"/>
        <item m="1" x="5273"/>
        <item m="1" x="7464"/>
        <item m="1" x="6111"/>
        <item m="1" x="378"/>
        <item m="1" x="7350"/>
        <item m="1" x="7113"/>
        <item m="1" x="555"/>
        <item m="1" x="3929"/>
        <item m="1" x="3632"/>
        <item m="1" x="7042"/>
        <item m="1" x="2307"/>
        <item m="1" x="6069"/>
        <item m="1" x="7797"/>
        <item m="1" x="2486"/>
        <item m="1" x="1484"/>
        <item m="1" x="4541"/>
        <item m="1" x="6669"/>
        <item m="1" x="1846"/>
        <item m="1" x="6925"/>
        <item m="1" x="1653"/>
        <item m="1" x="6779"/>
        <item m="1" x="7630"/>
        <item m="1" x="440"/>
        <item m="1" x="1829"/>
        <item m="1" x="7122"/>
        <item m="1" x="4921"/>
        <item m="1" x="6681"/>
        <item m="1" x="5736"/>
        <item m="1" x="7359"/>
        <item m="1" x="1644"/>
        <item m="1" x="635"/>
        <item m="1" x="6137"/>
        <item m="1" x="1649"/>
        <item m="1" x="1273"/>
        <item m="1" x="3015"/>
        <item m="1" x="4062"/>
        <item m="1" x="5204"/>
        <item m="1" x="1634"/>
        <item m="1" x="3358"/>
        <item m="1" x="7187"/>
        <item m="1" x="788"/>
        <item m="1" x="5784"/>
        <item m="1" x="5816"/>
        <item m="1" x="2687"/>
        <item m="1" x="470"/>
        <item m="1" x="1857"/>
        <item m="1" x="1849"/>
        <item m="1" x="6625"/>
        <item m="1" x="4424"/>
        <item m="1" x="2764"/>
        <item m="1" x="259"/>
        <item m="1" x="1984"/>
        <item m="1" x="1792"/>
        <item m="1" x="7851"/>
        <item m="1" x="445"/>
        <item m="1" x="5765"/>
        <item m="1" x="5560"/>
        <item m="1" x="6974"/>
        <item m="1" x="5309"/>
        <item m="1" x="917"/>
        <item m="1" x="4483"/>
        <item m="1" x="3815"/>
        <item m="1" x="2773"/>
        <item m="1" x="3794"/>
        <item m="1" x="3690"/>
        <item m="1" x="5629"/>
        <item m="1" x="5907"/>
        <item m="1" x="1081"/>
        <item m="1" x="3842"/>
        <item m="1" x="3253"/>
        <item m="1" x="7006"/>
        <item m="1" x="5247"/>
        <item m="1" x="1532"/>
        <item m="1" x="6527"/>
        <item m="1" x="4988"/>
        <item m="1" x="7734"/>
        <item m="1" x="2569"/>
        <item m="1" x="5252"/>
        <item m="1" x="1210"/>
        <item m="1" x="7431"/>
        <item m="1" x="1445"/>
        <item m="1" x="6750"/>
        <item m="1" x="3453"/>
        <item m="1" x="565"/>
        <item m="1" x="3477"/>
        <item m="1" x="1869"/>
        <item m="1" x="1082"/>
        <item m="1" x="2112"/>
        <item m="1" x="7480"/>
        <item m="1" x="1459"/>
        <item m="1" x="2916"/>
        <item m="1" x="1718"/>
        <item m="1" x="3600"/>
        <item m="1" x="2852"/>
        <item m="1" x="5526"/>
        <item m="1" x="4946"/>
        <item m="1" x="3970"/>
        <item m="1" x="7444"/>
        <item m="1" x="3184"/>
        <item m="1" x="3961"/>
        <item m="1" x="2878"/>
        <item m="1" x="5648"/>
        <item m="1" x="5894"/>
        <item m="1" x="3768"/>
        <item m="1" x="1759"/>
        <item m="1" x="5334"/>
        <item m="1" x="5759"/>
        <item m="1" x="6728"/>
        <item m="1" x="2788"/>
        <item m="1" x="1925"/>
        <item m="1" x="271"/>
        <item m="1" x="4464"/>
        <item m="1" x="4932"/>
        <item m="1" x="3732"/>
        <item m="1" x="5674"/>
        <item m="1" x="666"/>
        <item m="1" x="1297"/>
        <item m="1" x="4881"/>
        <item m="1" x="3101"/>
        <item m="1" x="2932"/>
        <item m="1" x="973"/>
        <item m="1" x="877"/>
        <item m="1" x="6976"/>
        <item m="1" x="4287"/>
        <item m="1" x="5342"/>
        <item m="1" x="2604"/>
        <item m="1" x="5615"/>
        <item m="1" x="1725"/>
        <item m="1" x="6719"/>
        <item m="1" x="7269"/>
        <item m="1" x="1536"/>
        <item m="1" x="7271"/>
        <item m="1" x="5298"/>
        <item m="1" x="3872"/>
        <item m="1" x="6102"/>
        <item m="1" x="5397"/>
        <item m="1" x="800"/>
        <item m="1" x="7236"/>
        <item m="1" x="1310"/>
        <item m="1" x="2120"/>
        <item m="1" x="3883"/>
        <item m="1" x="1633"/>
        <item m="1" x="6032"/>
        <item m="1" x="4074"/>
        <item m="1" x="646"/>
        <item m="1" x="2350"/>
        <item m="1" x="6489"/>
        <item m="1" x="4941"/>
        <item m="1" x="2097"/>
        <item m="1" x="7304"/>
        <item m="1" x="4528"/>
        <item m="1" x="7085"/>
        <item m="1" x="2757"/>
        <item m="1" x="2515"/>
        <item m="1" x="7897"/>
        <item m="1" x="4368"/>
        <item m="1" x="7390"/>
        <item m="1" x="5045"/>
        <item m="1" x="3136"/>
        <item m="1" x="2385"/>
        <item m="1" x="926"/>
        <item m="1" x="5296"/>
        <item m="1" x="6247"/>
        <item m="1" x="2195"/>
        <item m="1" x="4740"/>
        <item m="1" x="1119"/>
        <item m="1" x="6702"/>
        <item m="1" x="4664"/>
        <item m="1" x="5373"/>
        <item m="1" x="739"/>
        <item m="1" x="2813"/>
        <item m="1" x="7799"/>
        <item m="1" x="1874"/>
        <item m="1" x="573"/>
        <item m="1" x="5462"/>
        <item m="1" x="6602"/>
        <item m="1" x="674"/>
        <item m="1" x="2562"/>
        <item m="1" x="5354"/>
        <item m="1" x="3910"/>
        <item m="1" x="6617"/>
        <item m="1" x="5376"/>
        <item m="1" x="1426"/>
        <item m="1" x="7268"/>
        <item m="1" x="7681"/>
        <item m="1" x="736"/>
        <item m="1" x="4251"/>
        <item m="1" x="4015"/>
        <item m="1" x="571"/>
        <item m="1" x="5098"/>
        <item m="1" x="5721"/>
        <item m="1" x="3133"/>
        <item m="1" x="6518"/>
        <item m="1" x="3188"/>
        <item m="1" x="6420"/>
        <item m="1" x="6219"/>
        <item m="1" x="7545"/>
        <item m="1" x="3707"/>
        <item m="1" x="950"/>
        <item m="1" x="6207"/>
        <item m="1" x="1986"/>
        <item m="1" x="3163"/>
        <item m="1" x="1185"/>
        <item m="1" x="2998"/>
        <item m="1" x="1258"/>
        <item m="1" x="5190"/>
        <item m="1" x="2383"/>
        <item m="1" x="7864"/>
        <item m="1" x="680"/>
        <item m="1" x="4493"/>
        <item m="1" x="240"/>
        <item m="1" x="4110"/>
        <item m="1" x="4225"/>
        <item m="1" x="5707"/>
        <item m="1" x="7722"/>
        <item m="1" x="563"/>
        <item m="1" x="1954"/>
        <item m="1" x="2422"/>
        <item m="1" x="2792"/>
        <item m="1" x="7069"/>
        <item m="1" x="1077"/>
        <item m="1" x="1635"/>
        <item m="1" x="4592"/>
        <item m="1" x="4077"/>
        <item m="1" x="1201"/>
        <item m="1" x="7829"/>
        <item m="1" x="5167"/>
        <item m="1" x="4771"/>
        <item m="1" x="1574"/>
        <item m="1" x="2002"/>
        <item m="1" x="5941"/>
        <item m="1" x="6741"/>
        <item m="1" x="5644"/>
        <item m="1" x="3407"/>
        <item m="1" x="3212"/>
        <item m="1" x="7518"/>
        <item m="1" x="1564"/>
        <item m="1" x="7308"/>
        <item m="1" x="6314"/>
        <item m="1" x="4112"/>
        <item m="1" x="6864"/>
        <item m="1" x="4364"/>
        <item m="1" x="5024"/>
        <item m="1" x="5544"/>
        <item m="1" x="3498"/>
        <item m="1" x="2542"/>
        <item m="1" x="852"/>
        <item m="1" x="5939"/>
        <item m="1" x="3433"/>
        <item m="1" x="2505"/>
        <item m="1" x="1186"/>
        <item m="1" x="1679"/>
        <item m="1" x="2351"/>
        <item m="1" x="1158"/>
        <item m="1" x="2105"/>
        <item m="1" x="2626"/>
        <item m="1" x="4026"/>
        <item m="1" x="6118"/>
        <item m="1" x="893"/>
        <item m="1" x="2891"/>
        <item m="1" x="6574"/>
        <item m="1" x="7945"/>
        <item m="1" x="4035"/>
        <item m="1" x="1383"/>
        <item m="1" x="4862"/>
        <item m="1" x="706"/>
        <item m="1" x="7146"/>
        <item m="1" x="4267"/>
        <item m="1" x="7900"/>
        <item m="1" x="6991"/>
        <item m="1" x="1575"/>
        <item m="1" x="1917"/>
        <item m="1" x="5862"/>
        <item m="1" x="6918"/>
        <item m="1" x="7574"/>
        <item m="1" x="1766"/>
        <item m="1" x="3655"/>
        <item m="1" x="421"/>
        <item m="1" x="4878"/>
        <item m="1" x="394"/>
        <item m="1" x="1012"/>
        <item m="1" x="767"/>
        <item m="1" x="2088"/>
        <item m="1" x="4216"/>
        <item m="1" x="5511"/>
        <item m="1" x="2630"/>
        <item m="1" x="1809"/>
        <item m="1" x="1390"/>
        <item m="1" x="4176"/>
        <item m="1" x="7209"/>
        <item m="1" x="7362"/>
        <item m="1" x="1106"/>
        <item m="1" x="3025"/>
        <item m="1" x="3824"/>
        <item m="1" x="7332"/>
        <item m="1" x="7493"/>
        <item m="1" x="6278"/>
        <item m="1" x="7070"/>
        <item m="1" x="3689"/>
        <item m="1" x="2634"/>
        <item m="1" x="3742"/>
        <item m="1" x="3952"/>
        <item m="1" x="922"/>
        <item m="1" x="6416"/>
        <item m="1" x="4790"/>
        <item m="1" x="4870"/>
        <item m="1" x="1758"/>
        <item m="1" x="2550"/>
        <item m="1" x="3694"/>
        <item m="1" x="4458"/>
        <item m="1" x="4604"/>
        <item m="1" x="7831"/>
        <item m="1" x="898"/>
        <item m="1" x="4451"/>
        <item m="1" x="2843"/>
        <item m="1" x="851"/>
        <item m="1" x="6446"/>
        <item m="1" x="5057"/>
        <item m="1" x="4008"/>
        <item m="1" x="3836"/>
        <item m="1" x="2796"/>
        <item m="1" x="4144"/>
        <item m="1" x="6049"/>
        <item m="1" x="7666"/>
        <item m="1" x="1416"/>
        <item m="1" x="2115"/>
        <item m="1" x="5041"/>
        <item m="1" x="6479"/>
        <item m="1" x="4037"/>
        <item m="1" x="1772"/>
        <item m="1" x="7272"/>
        <item m="1" x="514"/>
        <item m="1" x="5205"/>
        <item m="1" x="3028"/>
        <item m="1" x="2715"/>
        <item m="1" x="7274"/>
        <item m="1" x="7059"/>
        <item m="1" x="3084"/>
        <item m="1" x="6140"/>
        <item m="1" x="3316"/>
        <item m="1" x="5251"/>
        <item m="1" x="5578"/>
        <item m="1" x="4485"/>
        <item m="1" x="2985"/>
        <item m="1" x="2899"/>
        <item m="1" x="2289"/>
        <item m="1" x="1458"/>
        <item m="1" x="5361"/>
        <item m="1" x="6899"/>
        <item m="1" x="3592"/>
        <item m="1" x="7886"/>
        <item m="1" x="5900"/>
        <item m="1" x="6181"/>
        <item m="1" x="5779"/>
        <item m="1" x="2190"/>
        <item m="1" x="554"/>
        <item m="1" x="1346"/>
        <item m="1" x="5961"/>
        <item m="1" x="4902"/>
        <item m="1" x="796"/>
        <item m="1" x="4039"/>
        <item m="1" x="1660"/>
        <item m="1" x="6742"/>
        <item m="1" x="4900"/>
        <item m="1" x="5566"/>
        <item m="1" x="7944"/>
        <item m="1" x="7688"/>
        <item m="1" x="3790"/>
        <item m="1" x="2971"/>
        <item m="1" x="3002"/>
        <item m="1" x="7447"/>
        <item m="1" x="2285"/>
        <item m="1" x="4165"/>
        <item m="1" x="4933"/>
        <item m="1" x="7458"/>
        <item m="1" x="7355"/>
        <item m="1" x="6350"/>
        <item m="1" x="7394"/>
        <item m="1" x="4704"/>
        <item m="1" x="5038"/>
        <item m="1" x="839"/>
        <item m="1" x="2224"/>
        <item m="1" x="4827"/>
        <item m="1" x="1497"/>
        <item m="1" x="260"/>
        <item m="1" x="5198"/>
        <item m="1" x="4310"/>
        <item m="1" x="1104"/>
        <item m="1" x="2697"/>
        <item m="1" x="4648"/>
        <item m="1" x="7875"/>
        <item m="1" x="7432"/>
        <item m="1" x="5396"/>
        <item m="1" x="2614"/>
        <item m="1" x="1010"/>
        <item m="1" x="4958"/>
        <item m="1" x="4311"/>
        <item m="1" x="4843"/>
        <item m="1" x="3904"/>
        <item m="1" x="3037"/>
        <item m="1" x="790"/>
        <item m="1" x="5106"/>
        <item m="1" x="3999"/>
        <item m="1" x="1542"/>
        <item m="1" x="4055"/>
        <item m="1" x="5746"/>
        <item m="1" x="1072"/>
        <item m="1" x="4098"/>
        <item m="1" x="6865"/>
        <item m="1" x="1013"/>
        <item m="1" x="2331"/>
        <item m="1" x="7669"/>
        <item m="1" x="604"/>
        <item m="1" x="614"/>
        <item m="1" x="7020"/>
        <item m="1" x="4350"/>
        <item m="1" x="1681"/>
        <item m="1" x="3623"/>
        <item m="1" x="805"/>
        <item m="1" x="6859"/>
        <item m="1" x="1528"/>
        <item m="1" x="4713"/>
        <item m="1" x="3576"/>
        <item m="1" x="1756"/>
        <item m="1" x="970"/>
        <item m="1" x="1063"/>
        <item m="1" x="5698"/>
        <item m="1" x="5136"/>
        <item m="1" x="4636"/>
        <item m="1" x="6575"/>
        <item m="1" x="1734"/>
        <item m="1" x="426"/>
        <item m="1" x="6225"/>
        <item m="1" x="3283"/>
        <item m="1" x="2937"/>
        <item m="1" x="4574"/>
        <item m="1" x="3376"/>
        <item m="1" x="4899"/>
        <item m="1" x="4316"/>
        <item m="1" x="5757"/>
        <item m="1" x="2901"/>
        <item m="1" x="6680"/>
        <item m="1" x="4459"/>
        <item m="1" x="817"/>
        <item m="1" x="3659"/>
        <item m="1" x="3367"/>
        <item m="1" x="1656"/>
        <item m="1" x="1936"/>
        <item m="1" x="5530"/>
        <item m="1" x="4736"/>
        <item m="1" x="6603"/>
        <item m="1" x="3810"/>
        <item m="1" x="2368"/>
        <item m="1" x="1965"/>
        <item m="1" x="5094"/>
        <item m="1" x="1404"/>
        <item m="1" x="3165"/>
        <item m="1" x="5567"/>
        <item m="1" x="4718"/>
        <item m="1" x="3282"/>
        <item m="1" x="5385"/>
        <item m="1" x="6430"/>
        <item m="1" x="2435"/>
        <item m="1" x="4705"/>
        <item m="1" x="6321"/>
        <item m="1" x="6388"/>
        <item m="1" x="2782"/>
        <item m="1" x="813"/>
        <item m="1" x="5306"/>
        <item m="1" x="2338"/>
        <item m="1" x="4699"/>
        <item m="1" x="3981"/>
        <item m="1" x="7195"/>
        <item m="1" x="7682"/>
        <item m="1" x="2063"/>
        <item m="1" x="6700"/>
        <item m="1" x="2327"/>
        <item m="1" x="5838"/>
        <item m="1" x="2638"/>
        <item m="1" x="4757"/>
        <item m="1" x="2376"/>
        <item m="1" x="703"/>
        <item m="1" x="6660"/>
        <item m="1" x="758"/>
        <item m="1" x="4940"/>
        <item m="1" x="1242"/>
        <item m="1" x="3139"/>
        <item m="1" x="838"/>
        <item m="1" x="7792"/>
        <item m="1" x="2890"/>
        <item m="1" x="5351"/>
        <item m="1" x="7457"/>
        <item m="1" x="1224"/>
        <item m="1" x="2103"/>
        <item m="1" x="6581"/>
        <item m="1" x="3908"/>
        <item m="1" x="4837"/>
        <item m="1" x="7102"/>
        <item m="1" x="7532"/>
        <item m="1" x="4817"/>
        <item m="1" x="6791"/>
        <item m="1" x="4096"/>
        <item m="1" x="4244"/>
        <item m="1" x="7336"/>
        <item m="1" x="1811"/>
        <item m="1" x="4375"/>
        <item m="1" x="6968"/>
        <item m="1" x="7114"/>
        <item m="1" x="7735"/>
        <item m="1" x="4588"/>
        <item m="1" x="7854"/>
        <item m="1" x="5019"/>
        <item m="1" x="1486"/>
        <item m="1" x="2996"/>
        <item m="1" x="6722"/>
        <item m="1" x="2789"/>
        <item m="1" x="345"/>
        <item m="1" x="1197"/>
        <item m="1" x="5720"/>
        <item m="1" x="4046"/>
        <item m="1" x="2622"/>
        <item m="1" x="3052"/>
        <item m="1" x="5324"/>
        <item m="1" x="7282"/>
        <item m="1" x="1343"/>
        <item m="1" x="2326"/>
        <item m="1" x="3082"/>
        <item m="1" x="4626"/>
        <item m="1" x="3974"/>
        <item m="1" x="1241"/>
        <item m="1" x="6882"/>
        <item m="1" x="1294"/>
        <item m="1" x="6970"/>
        <item m="1" x="6077"/>
        <item m="1" x="6860"/>
        <item m="1" x="671"/>
        <item m="1" x="7066"/>
        <item m="1" x="2013"/>
        <item m="1" x="7273"/>
        <item m="1" x="1926"/>
        <item m="1" x="7450"/>
        <item m="1" x="1979"/>
        <item m="1" x="948"/>
        <item m="1" x="2443"/>
        <item m="1" x="727"/>
        <item m="1" x="4928"/>
        <item m="1" x="3140"/>
        <item m="1" x="3738"/>
        <item m="1" x="7087"/>
        <item m="1" x="5415"/>
        <item m="1" x="5469"/>
        <item m="1" x="5311"/>
        <item m="1" x="5492"/>
        <item m="1" x="7118"/>
        <item m="1" x="2761"/>
        <item m="1" x="5063"/>
        <item m="1" x="6749"/>
        <item m="1" x="3808"/>
        <item m="1" x="1823"/>
        <item m="1" x="4121"/>
        <item m="1" x="1061"/>
        <item m="1" x="7298"/>
        <item m="1" x="868"/>
        <item m="1" x="4094"/>
        <item m="1" x="2810"/>
        <item m="1" x="6696"/>
        <item m="1" x="2797"/>
        <item m="1" x="4840"/>
        <item m="1" x="1608"/>
        <item m="1" x="6498"/>
        <item m="1" x="2588"/>
        <item m="1" x="6517"/>
        <item m="1" x="518"/>
        <item m="1" x="2812"/>
        <item m="1" x="2021"/>
        <item m="1" x="3389"/>
        <item m="1" x="2102"/>
        <item m="1" x="6125"/>
        <item m="1" x="2400"/>
        <item m="1" x="5989"/>
        <item m="1" x="2857"/>
        <item m="1" x="7040"/>
        <item m="1" x="1721"/>
        <item m="1" x="7619"/>
        <item m="1" x="1319"/>
        <item m="1" x="1636"/>
        <item m="1" x="7460"/>
        <item m="1" x="1331"/>
        <item m="1" x="2911"/>
        <item m="1" x="7465"/>
        <item m="1" x="1448"/>
        <item m="1" x="5641"/>
        <item m="1" x="1385"/>
        <item m="1" x="2396"/>
        <item m="1" x="5187"/>
        <item m="1" x="7747"/>
        <item m="1" x="2239"/>
        <item m="1" x="3686"/>
        <item m="1" x="4643"/>
        <item m="1" x="1368"/>
        <item m="1" x="5158"/>
        <item m="1" x="471"/>
        <item m="1" x="7075"/>
        <item m="1" x="857"/>
        <item m="1" x="6910"/>
        <item m="1" x="2352"/>
        <item m="1" x="6325"/>
        <item m="1" x="3217"/>
        <item m="1" x="5149"/>
        <item m="1" x="2207"/>
        <item m="1" x="4911"/>
        <item m="1" x="5753"/>
        <item m="1" x="2883"/>
        <item m="1" x="3931"/>
        <item m="1" x="4516"/>
        <item m="1" x="7096"/>
        <item m="1" x="5999"/>
        <item m="1" x="2296"/>
        <item m="1" x="3483"/>
        <item m="1" x="2129"/>
        <item m="1" x="6507"/>
        <item m="1" x="4990"/>
        <item m="1" x="5225"/>
        <item m="1" x="1424"/>
        <item m="1" x="1196"/>
        <item m="1" x="3158"/>
        <item m="1" x="4359"/>
        <item m="1" x="5485"/>
        <item m="1" x="248"/>
        <item m="1" x="3261"/>
        <item m="1" x="4966"/>
        <item m="1" x="6231"/>
        <item m="1" x="2014"/>
        <item m="1" x="2061"/>
        <item m="1" x="2305"/>
        <item m="1" x="627"/>
        <item m="1" x="2685"/>
        <item m="1" x="2780"/>
        <item m="1" x="1655"/>
        <item m="1" x="5880"/>
        <item m="1" x="4972"/>
        <item m="1" x="1547"/>
        <item m="1" x="7902"/>
        <item m="1" x="6849"/>
        <item m="1" x="2876"/>
        <item m="1" x="505"/>
        <item m="1" x="1744"/>
        <item m="1" x="7012"/>
        <item m="1" x="7191"/>
        <item m="1" x="5748"/>
        <item m="1" x="2739"/>
        <item m="1" x="5540"/>
        <item m="1" x="5821"/>
        <item m="1" x="6704"/>
        <item m="1" x="607"/>
        <item m="1" x="2707"/>
        <item m="1" x="6159"/>
        <item m="1" x="3196"/>
        <item m="1" x="7127"/>
        <item m="1" x="3625"/>
        <item m="1" x="7279"/>
        <item m="1" x="4581"/>
        <item m="1" x="3663"/>
        <item m="1" x="7174"/>
        <item m="1" x="3733"/>
        <item m="1" x="5343"/>
        <item m="1" x="1996"/>
        <item m="1" x="5076"/>
        <item m="1" x="342"/>
        <item m="1" x="2571"/>
        <item m="1" x="7551"/>
        <item m="1" x="7929"/>
        <item m="1" x="2437"/>
        <item m="1" x="6275"/>
        <item m="1" x="1170"/>
        <item m="1" x="2251"/>
        <item m="1" x="990"/>
        <item m="1" x="2689"/>
        <item m="1" x="5138"/>
        <item m="1" x="968"/>
        <item m="1" x="1469"/>
        <item m="1" x="5883"/>
        <item m="1" x="5715"/>
        <item m="1" x="2837"/>
        <item m="1" x="6999"/>
        <item m="1" x="2185"/>
        <item m="1" x="2455"/>
        <item m="1" x="7889"/>
        <item m="1" x="1455"/>
        <item m="1" x="7176"/>
        <item m="1" x="1810"/>
        <item m="1" x="4620"/>
        <item m="1" x="3826"/>
        <item m="1" x="1245"/>
        <item m="1" x="5912"/>
        <item m="1" x="2983"/>
        <item m="1" x="3425"/>
        <item m="1" x="6738"/>
        <item m="1" x="4217"/>
        <item m="1" x="3173"/>
        <item m="1" x="4419"/>
        <item m="1" x="2039"/>
        <item m="1" x="6375"/>
        <item m="1" x="2557"/>
        <item m="1" x="5112"/>
        <item m="1" x="6453"/>
        <item m="1" x="2817"/>
        <item m="1" x="5810"/>
        <item m="1" x="6023"/>
        <item m="1" x="954"/>
        <item m="1" x="7822"/>
        <item m="1" x="1261"/>
        <item m="1" x="613"/>
        <item m="1" x="3343"/>
        <item m="1" x="6569"/>
        <item m="1" x="5050"/>
        <item m="1" x="976"/>
        <item m="1" x="1695"/>
        <item m="1" x="3416"/>
        <item m="1" x="687"/>
        <item m="1" x="1005"/>
        <item m="1" x="5902"/>
        <item m="1" x="5825"/>
        <item m="1" x="1461"/>
        <item m="1" x="5628"/>
        <item m="1" x="591"/>
        <item m="1" x="5172"/>
        <item m="1" x="6504"/>
        <item m="1" x="5416"/>
        <item m="1" x="5344"/>
        <item m="1" x="1066"/>
        <item m="1" x="5888"/>
        <item m="1" x="3980"/>
        <item m="1" x="991"/>
        <item m="1" x="255"/>
        <item m="1" x="5895"/>
        <item m="1" x="3356"/>
        <item m="1" x="1704"/>
        <item m="1" x="3791"/>
        <item m="1" x="2930"/>
        <item m="1" x="1950"/>
        <item m="1" x="6175"/>
        <item m="1" x="3419"/>
        <item m="1" x="6178"/>
        <item m="1" x="3543"/>
        <item m="1" x="792"/>
        <item m="1" x="6046"/>
        <item m="1" x="3153"/>
        <item m="1" x="4731"/>
        <item m="1" x="4667"/>
        <item m="1" x="2947"/>
        <item m="1" x="423"/>
        <item m="1" x="6057"/>
        <item m="1" x="5915"/>
        <item m="1" x="7496"/>
        <item m="1" x="5626"/>
        <item m="1" x="569"/>
        <item m="1" x="7507"/>
        <item m="1" x="2057"/>
        <item m="1" x="6723"/>
        <item m="1" x="524"/>
        <item m="1" x="510"/>
        <item m="1" x="1175"/>
        <item m="1" x="2619"/>
        <item m="1" x="2391"/>
        <item m="1" x="7456"/>
        <item m="1" x="4092"/>
        <item m="1" x="4097"/>
        <item m="1" x="6594"/>
        <item m="1" x="3463"/>
        <item m="1" x="2690"/>
        <item m="1" x="1982"/>
        <item m="1" x="4753"/>
        <item m="1" x="745"/>
        <item m="1" x="4883"/>
        <item m="1" x="1997"/>
        <item m="1" x="3628"/>
        <item m="1" x="2078"/>
        <item m="1" x="6846"/>
        <item m="1" x="6683"/>
        <item m="1" x="2979"/>
        <item m="1" x="1249"/>
        <item m="1" x="5937"/>
        <item m="1" x="4129"/>
        <item m="1" x="3848"/>
        <item m="1" x="373"/>
        <item m="1" x="7880"/>
        <item m="1" x="3513"/>
        <item m="1" x="6000"/>
        <item m="1" x="6997"/>
        <item m="1" x="5617"/>
        <item m="1" x="3559"/>
        <item m="1" x="5487"/>
        <item m="1" x="663"/>
        <item m="1" x="6547"/>
        <item m="1" x="2146"/>
        <item m="1" x="4690"/>
        <item m="1" x="2835"/>
        <item m="1" x="2353"/>
        <item m="1" x="1487"/>
        <item m="1" x="1586"/>
        <item m="1" x="7396"/>
        <item m="1" x="7299"/>
        <item m="1" x="1509"/>
        <item m="1" x="1956"/>
        <item m="1" x="1667"/>
        <item m="1" x="865"/>
        <item m="1" x="6169"/>
        <item m="1" x="328"/>
        <item m="1" x="952"/>
        <item m="1" x="1795"/>
        <item m="1" x="3444"/>
        <item m="1" x="6545"/>
        <item m="1" x="5197"/>
        <item m="1" x="1981"/>
        <item m="1" x="3180"/>
        <item m="1" x="2753"/>
        <item m="1" x="3975"/>
        <item m="1" x="1496"/>
        <item m="1" x="3378"/>
        <item m="1" x="7144"/>
        <item m="1" x="3684"/>
        <item m="1" x="6324"/>
        <item m="1" x="872"/>
        <item m="1" x="6310"/>
        <item m="1" x="4007"/>
        <item m="1" x="6059"/>
        <item m="1" x="6907"/>
        <item m="1" x="5224"/>
        <item m="1" x="1595"/>
        <item m="1" x="1877"/>
        <item m="1" x="7811"/>
        <item m="1" x="5042"/>
        <item m="1" x="5505"/>
        <item m="1" x="1332"/>
        <item m="1" x="600"/>
        <item m="1" x="1466"/>
        <item m="1" x="6979"/>
        <item m="1" x="3773"/>
        <item m="1" x="878"/>
        <item m="1" x="7796"/>
        <item m="1" x="3614"/>
        <item m="1" x="4824"/>
        <item m="1" x="7667"/>
        <item m="1" x="7408"/>
        <item m="1" x="6709"/>
        <item m="1" x="3603"/>
        <item m="1" x="760"/>
        <item m="1" x="5223"/>
        <item m="1" x="4259"/>
        <item m="1" x="5696"/>
        <item m="1" x="5292"/>
        <item m="1" x="6002"/>
        <item m="1" x="5820"/>
        <item m="1" x="2598"/>
        <item m="1" x="1278"/>
        <item m="1" x="3144"/>
        <item m="1" x="2720"/>
        <item m="1" x="438"/>
        <item m="1" x="4081"/>
        <item m="1" x="3956"/>
        <item m="1" x="4646"/>
        <item m="1" x="4328"/>
        <item m="1" x="6198"/>
        <item m="1" x="6937"/>
        <item m="1" x="4506"/>
        <item m="1" x="1094"/>
        <item m="1" x="5286"/>
        <item m="1" x="2497"/>
        <item m="1" x="3541"/>
        <item m="1" x="4582"/>
        <item m="1" x="3518"/>
        <item m="1" x="2216"/>
        <item m="1" x="3528"/>
        <item m="1" x="1537"/>
        <item m="1" x="1338"/>
        <item m="1" x="2278"/>
        <item m="1" x="7365"/>
        <item m="1" x="4064"/>
        <item m="1" x="1085"/>
        <item m="1" x="3106"/>
        <item m="1" x="5218"/>
        <item m="1" x="4823"/>
        <item m="1" x="656"/>
        <item m="1" x="6778"/>
        <item m="1" x="4821"/>
        <item m="1" x="1016"/>
        <item m="1" x="6536"/>
        <item m="1" x="3105"/>
        <item m="1" x="5988"/>
        <item m="1" x="2919"/>
        <item m="1" x="7482"/>
        <item m="1" x="3308"/>
        <item m="1" x="1556"/>
        <item m="1" x="4725"/>
        <item m="1" x="7341"/>
        <item m="1" x="6399"/>
        <item m="1" x="7400"/>
        <item m="1" x="1006"/>
        <item m="1" x="2198"/>
        <item m="1" x="2968"/>
        <item m="1" x="7468"/>
        <item m="1" x="4908"/>
        <item m="1" x="3674"/>
        <item m="1" x="7692"/>
        <item m="1" x="5463"/>
        <item m="1" x="2728"/>
        <item m="1" x="7801"/>
        <item m="1" x="515"/>
        <item m="1" x="4069"/>
        <item m="1" x="2260"/>
        <item m="1" x="3296"/>
        <item m="1" x="1360"/>
        <item m="1" x="4850"/>
        <item m="1" x="684"/>
        <item m="1" x="1568"/>
        <item m="1" x="1031"/>
        <item m="1" x="5240"/>
        <item m="1" x="6822"/>
        <item m="1" x="3583"/>
        <item m="1" x="6642"/>
        <item m="1" x="1781"/>
        <item m="1" x="6072"/>
        <item m="1" x="2330"/>
        <item m="1" x="3905"/>
        <item m="1" x="5284"/>
        <item m="1" x="7866"/>
        <item m="1" x="1785"/>
        <item m="1" x="2303"/>
        <item m="1" x="5996"/>
        <item m="1" x="6291"/>
        <item m="1" x="2856"/>
        <item m="1" x="403"/>
        <item m="1" x="3359"/>
        <item m="1" x="2679"/>
        <item m="1" x="2279"/>
        <item m="1" x="540"/>
        <item m="1" x="1587"/>
        <item m="1" x="7259"/>
        <item m="1" x="1041"/>
        <item m="1" x="4686"/>
        <item m="1" x="2478"/>
        <item m="1" x="6510"/>
        <item m="1" x="7846"/>
        <item m="1" x="7430"/>
        <item m="1" x="4729"/>
        <item m="1" x="4866"/>
        <item m="1" x="2428"/>
        <item m="1" x="3166"/>
        <item m="1" x="1008"/>
        <item m="1" x="5579"/>
        <item m="1" x="5799"/>
        <item m="1" x="3012"/>
        <item m="1" x="3406"/>
        <item m="1" x="4024"/>
        <item m="1" x="1796"/>
        <item m="1" x="3451"/>
        <item m="1" x="5411"/>
        <item m="1" x="608"/>
        <item m="1" x="6827"/>
        <item m="1" x="6777"/>
        <item m="1" x="2401"/>
        <item m="1" x="4491"/>
        <item m="1" x="1953"/>
        <item m="1" x="3113"/>
        <item m="1" x="4471"/>
        <item m="1" x="6481"/>
        <item m="1" x="1033"/>
        <item m="1" x="5174"/>
        <item m="1" x="1646"/>
        <item m="1" x="3809"/>
        <item m="1" x="1928"/>
        <item m="1" x="6409"/>
        <item m="1" x="888"/>
        <item m="1" x="7466"/>
        <item m="1" x="5114"/>
        <item m="1" x="3846"/>
        <item m="1" x="2324"/>
        <item m="1" x="2533"/>
        <item m="1" x="3428"/>
        <item m="1" x="1200"/>
        <item m="1" x="6015"/>
        <item m="1" x="5090"/>
        <item m="1" x="5901"/>
        <item m="1" x="1856"/>
        <item m="1" x="3962"/>
        <item m="1" x="5891"/>
        <item m="1" x="642"/>
        <item m="1" x="7953"/>
        <item m="1" x="806"/>
        <item m="1" x="5666"/>
        <item m="1" x="228"/>
        <item m="1" x="3502"/>
        <item m="1" x="1506"/>
        <item m="1" x="2062"/>
        <item m="1" x="4001"/>
        <item m="1" x="1861"/>
        <item m="1" x="2518"/>
        <item m="1" x="1844"/>
        <item m="1" x="5085"/>
        <item m="1" x="4341"/>
        <item m="1" x="1189"/>
        <item m="1" x="7198"/>
        <item m="1" x="3459"/>
        <item m="1" x="4510"/>
        <item m="1" x="2219"/>
        <item m="1" x="2255"/>
        <item m="1" x="7856"/>
        <item m="1" x="6828"/>
        <item m="1" x="6566"/>
        <item m="1" x="2051"/>
        <item m="1" x="6372"/>
        <item m="1" x="4158"/>
        <item m="1" x="7051"/>
        <item m="1" x="2109"/>
        <item m="1" x="716"/>
        <item m="1" x="2114"/>
        <item m="1" x="6128"/>
        <item m="1" x="846"/>
        <item m="1" x="2309"/>
        <item m="1" x="2599"/>
        <item m="1" x="1905"/>
        <item m="1" x="5845"/>
        <item m="1" x="3806"/>
        <item m="1" x="7348"/>
        <item m="1" x="263"/>
        <item m="1" x="7483"/>
        <item m="1" x="7697"/>
        <item m="1" x="4706"/>
        <item m="1" x="3756"/>
        <item m="1" x="7147"/>
        <item m="1" x="2845"/>
        <item m="1" x="504"/>
        <item m="1" x="657"/>
        <item m="1" x="3973"/>
        <item m="1" x="2449"/>
        <item m="1" x="5188"/>
        <item m="1" x="1353"/>
        <item m="1" x="4787"/>
        <item m="1" x="2887"/>
        <item m="1" x="7672"/>
        <item m="1" x="1277"/>
        <item m="1" x="7932"/>
        <item m="1" x="661"/>
        <item m="1" x="3549"/>
        <item m="1" x="5061"/>
        <item m="1" x="1582"/>
        <item m="1" x="7220"/>
        <item m="1" x="7086"/>
        <item m="1" x="5997"/>
        <item m="1" x="1825"/>
        <item m="1" x="3912"/>
        <item m="1" x="1192"/>
        <item m="1" x="4661"/>
        <item m="1" x="3408"/>
        <item m="1" x="1079"/>
        <item m="1" x="5078"/>
        <item m="1" x="6025"/>
        <item m="1" x="1313"/>
        <item m="1" x="7628"/>
        <item m="1" x="6286"/>
        <item m="1" x="7080"/>
        <item m="1" x="2579"/>
        <item m="1" x="1937"/>
        <item m="1" x="6134"/>
        <item m="1" x="7173"/>
        <item m="1" x="5636"/>
        <item m="1" x="2523"/>
        <item m="1" x="1839"/>
        <item m="1" x="1976"/>
        <item m="1" x="5474"/>
        <item m="1" x="7142"/>
        <item m="1" x="5222"/>
        <item m="1" x="5794"/>
        <item m="1" x="2610"/>
        <item m="1" x="4521"/>
        <item m="1" x="743"/>
        <item m="1" x="2858"/>
        <item m="1" x="3065"/>
        <item m="1" x="3313"/>
        <item m="1" x="4529"/>
        <item m="1" x="1467"/>
        <item m="1" x="6670"/>
        <item m="1" x="1767"/>
        <item m="1" x="3843"/>
        <item m="1" x="7226"/>
        <item m="1" x="7858"/>
        <item m="1" x="6619"/>
        <item m="1" x="7103"/>
        <item m="1" x="5665"/>
        <item m="1" x="3189"/>
        <item m="1" x="2388"/>
        <item m="1" x="3580"/>
        <item m="1" x="475"/>
        <item m="1" x="6703"/>
        <item m="1" x="5444"/>
        <item m="1" x="1493"/>
        <item m="1" x="6315"/>
        <item m="1" x="235"/>
        <item m="1" x="6883"/>
        <item m="1" x="4873"/>
        <item m="1" x="1535"/>
        <item m="1" x="2708"/>
        <item m="1" x="6352"/>
        <item m="1" x="4905"/>
        <item m="1" x="1020"/>
        <item m="1" x="4656"/>
        <item m="1" x="3861"/>
        <item m="1" x="4553"/>
        <item m="1" x="7406"/>
        <item m="1" x="808"/>
        <item m="1" x="5153"/>
        <item m="1" x="3447"/>
        <item m="1" x="5734"/>
        <item m="1" x="920"/>
        <item m="1" x="2643"/>
        <item m="1" x="3361"/>
        <item m="1" x="5960"/>
        <item m="1" x="355"/>
        <item m="1" x="7611"/>
        <item m="1" x="4072"/>
        <item m="1" x="3612"/>
        <item m="1" x="6836"/>
        <item m="1" x="3430"/>
        <item m="1" x="1163"/>
        <item m="1" x="1004"/>
        <item m="1" x="6858"/>
        <item m="1" x="6671"/>
        <item m="1" x="5772"/>
        <item m="1" x="5625"/>
        <item m="1" x="1603"/>
        <item m="1" x="6661"/>
        <item m="1" x="3759"/>
        <item m="1" x="3705"/>
        <item m="1" x="6635"/>
        <item m="1" x="5789"/>
        <item m="1" x="5829"/>
        <item m="1" x="6433"/>
        <item m="1" x="4291"/>
        <item m="1" x="6620"/>
        <item m="1" x="3918"/>
        <item m="1" x="7645"/>
        <item m="1" x="6543"/>
        <item m="1" x="4238"/>
        <item m="1" x="5835"/>
        <item m="1" x="5103"/>
        <item m="1" x="1288"/>
        <item m="1" x="6783"/>
        <item m="1" x="227"/>
        <item m="1" x="2003"/>
        <item m="1" x="3083"/>
        <item m="1" x="5827"/>
        <item m="1" x="7159"/>
        <item m="1" x="6872"/>
        <item m="1" x="2412"/>
        <item m="1" x="7407"/>
        <item m="1" x="4230"/>
        <item m="1" x="7905"/>
        <item m="1" x="5244"/>
        <item m="1" x="6564"/>
        <item m="1" x="3840"/>
        <item m="1" x="7091"/>
        <item m="1" x="3702"/>
        <item m="1" x="1670"/>
        <item m="1" x="2734"/>
        <item m="1" x="5422"/>
        <item m="1" x="6861"/>
        <item m="1" x="928"/>
        <item m="1" x="362"/>
        <item m="1" x="912"/>
        <item m="1" x="1757"/>
        <item m="1" x="6972"/>
        <item m="1" x="6784"/>
        <item m="1" x="3066"/>
        <item m="1" x="3579"/>
        <item m="1" x="4352"/>
        <item m="1" x="4331"/>
        <item m="1" x="4171"/>
        <item m="1" x="3484"/>
        <item m="1" x="7903"/>
        <item m="1" x="3373"/>
        <item m="1" x="2280"/>
        <item m="1" x="6190"/>
        <item m="1" x="7094"/>
        <item m="1" x="6994"/>
        <item m="1" x="4788"/>
        <item m="1" x="5412"/>
        <item m="1" x="4102"/>
        <item m="1" x="1893"/>
        <item m="1" x="2628"/>
        <item m="1" x="3250"/>
        <item m="1" x="1841"/>
        <item m="1" x="6528"/>
        <item m="1" x="2417"/>
        <item m="1" x="2567"/>
        <item m="1" x="2559"/>
        <item m="1" x="2691"/>
        <item m="1" x="2636"/>
        <item m="1" x="4645"/>
        <item m="1" x="1895"/>
        <item m="1" x="1139"/>
        <item m="1" x="1156"/>
        <item m="1" x="6618"/>
        <item m="1" x="2727"/>
        <item m="1" x="1299"/>
        <item m="1" x="463"/>
        <item m="1" x="2509"/>
        <item m="1" x="3581"/>
        <item m="1" x="4682"/>
        <item m="1" x="3896"/>
        <item m="1" x="6805"/>
        <item m="1" x="2609"/>
        <item m="1" x="811"/>
        <item m="1" x="3333"/>
        <item m="1" x="3387"/>
        <item m="1" x="1499"/>
        <item m="1" x="1420"/>
        <item m="1" x="1463"/>
        <item m="1" x="1974"/>
        <item m="1" x="3832"/>
        <item m="1" x="734"/>
        <item m="1" x="4047"/>
        <item m="1" x="2404"/>
        <item m="1" x="388"/>
        <item m="1" x="1666"/>
        <item m="1" x="2700"/>
        <item m="1" x="6945"/>
        <item m="1" x="6692"/>
        <item m="1" x="4021"/>
        <item m="1" x="3299"/>
        <item m="1" x="501"/>
        <item m="1" x="279"/>
        <item m="1" x="6781"/>
        <item m="1" x="3461"/>
        <item m="1" x="2359"/>
        <item m="1" x="1394"/>
        <item m="1" x="2122"/>
        <item m="1" x="6637"/>
        <item m="1" x="3000"/>
        <item m="1" x="1287"/>
        <item m="1" x="2006"/>
        <item m="1" x="2827"/>
        <item m="1" x="1836"/>
        <item m="1" x="4848"/>
        <item m="1" x="3838"/>
        <item m="1" x="6714"/>
        <item m="1" x="1672"/>
        <item m="1" x="4906"/>
        <item m="1" x="6717"/>
        <item m="1" x="5369"/>
        <item m="1" x="1764"/>
        <item m="1" x="2621"/>
        <item m="1" x="4501"/>
        <item m="1" x="2868"/>
        <item m="1" x="4758"/>
        <item m="1" x="5399"/>
        <item m="1" x="7479"/>
        <item m="1" x="1187"/>
        <item m="1" x="4304"/>
        <item m="1" x="774"/>
        <item m="1" x="1970"/>
        <item m="1" x="3819"/>
        <item m="1" x="6908"/>
        <item m="1" x="4829"/>
        <item m="1" x="4193"/>
        <item m="1" x="5427"/>
        <item m="1" x="4038"/>
        <item m="1" x="1943"/>
        <item m="1" x="4271"/>
        <item m="1" x="3249"/>
        <item m="1" x="5646"/>
        <item m="1" x="4481"/>
        <item m="1" x="4147"/>
        <item m="1" x="1276"/>
        <item m="1" x="2065"/>
        <item m="1" x="1026"/>
        <item m="1" x="439"/>
        <item m="1" x="3455"/>
        <item m="1" x="3164"/>
        <item m="1" x="901"/>
        <item m="1" x="4440"/>
        <item m="1" x="4211"/>
        <item m="1" x="4086"/>
        <item m="1" x="3478"/>
        <item m="1" x="7354"/>
        <item m="1" x="3006"/>
        <item m="1" x="6400"/>
        <item m="1" x="4513"/>
        <item m="1" x="5727"/>
        <item m="1" x="3009"/>
        <item m="1" x="3262"/>
        <item m="1" x="3688"/>
        <item m="1" x="7787"/>
        <item m="1" x="1801"/>
        <item m="1" x="2009"/>
        <item m="1" x="6468"/>
        <item m="1" x="2768"/>
        <item m="1" x="2472"/>
        <item m="1" x="777"/>
        <item m="1" x="5859"/>
        <item m="1" x="4461"/>
        <item m="1" x="543"/>
        <item m="1" x="3629"/>
        <item m="1" x="1847"/>
        <item m="1" x="6917"/>
        <item m="1" x="6227"/>
        <item m="1" x="3551"/>
        <item m="1" x="4674"/>
        <item m="1" x="4564"/>
        <item m="1" x="3415"/>
        <item m="1" x="2503"/>
        <item m="1" x="4954"/>
        <item m="1" x="869"/>
        <item m="1" x="2060"/>
        <item m="1" x="7840"/>
        <item m="1" x="3602"/>
        <item m="1" x="7434"/>
        <item m="1" x="2963"/>
        <item m="1" x="3944"/>
        <item m="1" x="945"/>
        <item m="1" x="6856"/>
        <item m="1" x="3729"/>
        <item m="1" x="6651"/>
        <item m="1" x="5697"/>
        <item m="1" x="6122"/>
        <item m="1" x="3176"/>
        <item m="1" x="458"/>
        <item m="1" x="3511"/>
        <item m="1" x="7791"/>
        <item m="1" x="1056"/>
        <item m="1" x="3385"/>
        <item m="1" x="6985"/>
        <item m="1" x="910"/>
        <item m="1" x="5455"/>
        <item m="1" x="364"/>
        <item m="1" x="3680"/>
        <item m="1" x="1964"/>
        <item m="1" x="1515"/>
        <item m="1" x="1808"/>
        <item m="1" x="3205"/>
        <item m="1" x="6798"/>
        <item m="1" x="3281"/>
        <item m="1" x="7414"/>
        <item m="1" x="6667"/>
        <item m="1" x="708"/>
        <item m="1" x="1492"/>
        <item m="1" x="2011"/>
        <item m="1" x="1132"/>
        <item m="1" x="1848"/>
        <item m="1" x="2580"/>
        <item m="1" x="2863"/>
        <item m="1" x="6132"/>
        <item m="1" x="246"/>
        <item m="1" x="5313"/>
        <item m="1" x="6753"/>
        <item m="1" x="541"/>
        <item m="1" x="5451"/>
        <item m="1" x="5651"/>
        <item m="1" x="6235"/>
        <item m="1" x="6802"/>
        <item m="1" x="417"/>
        <item m="1" x="3547"/>
        <item m="1" x="5879"/>
        <item m="1" x="3177"/>
        <item m="1" x="5127"/>
        <item m="1" x="6541"/>
        <item m="1" x="967"/>
        <item m="1" x="5329"/>
        <item m="1" x="1247"/>
        <item m="1" x="5982"/>
        <item m="1" x="951"/>
        <item m="1" x="837"/>
        <item m="1" x="1176"/>
        <item m="1" x="1121"/>
        <item m="1" x="2367"/>
        <item m="1" x="1301"/>
        <item m="1" x="3784"/>
        <item m="1" x="4285"/>
        <item m="1" x="7686"/>
        <item m="1" x="963"/>
        <item m="1" x="4920"/>
        <item m="1" x="2981"/>
        <item m="1" x="3795"/>
        <item m="1" x="6532"/>
        <item m="1" x="5852"/>
        <item m="1" x="5211"/>
        <item m="1" x="1518"/>
        <item m="1" x="2144"/>
        <item m="1" x="4571"/>
        <item m="1" x="6037"/>
        <item m="1" x="1048"/>
        <item m="1" x="4363"/>
        <item m="1" x="5368"/>
        <item m="1" x="2952"/>
        <item m="1" x="3297"/>
        <item m="1" x="5815"/>
        <item m="1" x="7874"/>
        <item m="1" x="5918"/>
        <item m="1" x="7436"/>
        <item m="1" x="5551"/>
        <item m="1" x="4084"/>
        <item m="1" x="3560"/>
        <item m="1" x="6553"/>
        <item m="1" x="4250"/>
        <item m="1" x="2714"/>
        <item m="1" x="1566"/>
        <item m="1" x="6293"/>
        <item m="1" x="7565"/>
        <item m="1" x="4887"/>
        <item m="1" x="6080"/>
        <item m="1" x="5082"/>
        <item m="1" x="636"/>
        <item m="1" x="6624"/>
        <item m="1" x="3443"/>
        <item m="1" x="5023"/>
        <item m="1" x="446"/>
        <item m="1" x="2976"/>
        <item m="1" x="5059"/>
        <item m="1" x="3951"/>
        <item m="1" x="1015"/>
        <item m="1" x="6404"/>
        <item m="1" x="1583"/>
        <item m="1" x="277"/>
        <item m="1" x="7557"/>
        <item m="1" x="1967"/>
        <item m="1" x="7419"/>
        <item m="1" x="6951"/>
        <item m="1" x="5067"/>
        <item m="1" x="3909"/>
        <item m="1" x="4998"/>
        <item m="1" x="7227"/>
        <item m="1" x="5007"/>
        <item m="1" x="4761"/>
        <item m="1" x="1993"/>
        <item m="1" x="3081"/>
        <item m="1" x="4070"/>
        <item m="1" x="545"/>
        <item m="1" x="1491"/>
        <item m="1" x="7852"/>
        <item m="1" x="4805"/>
        <item m="1" x="650"/>
        <item m="1" x="5667"/>
        <item m="1" x="2586"/>
        <item m="1" x="1529"/>
        <item m="1" x="1870"/>
        <item m="1" x="7019"/>
        <item m="1" x="4947"/>
        <item m="1" x="5378"/>
        <item m="1" x="7067"/>
        <item m="1" x="7674"/>
        <item m="1" x="7804"/>
        <item m="1" x="6512"/>
        <item m="1" x="2070"/>
        <item m="1" x="6174"/>
        <item m="1" x="824"/>
        <item m="1" x="4696"/>
        <item m="1" x="319"/>
        <item m="1" x="4139"/>
        <item m="1" x="5971"/>
        <item m="1" x="3845"/>
        <item m="1" x="3272"/>
        <item m="1" x="7552"/>
        <item m="1" x="5391"/>
        <item m="1" x="4118"/>
        <item m="1" x="6369"/>
        <item m="1" x="3241"/>
        <item m="1" x="732"/>
        <item m="1" x="966"/>
        <item m="1" x="2342"/>
        <item m="1" x="312"/>
        <item m="1" x="5527"/>
        <item m="1" x="2631"/>
        <item m="1" x="5294"/>
        <item m="1" x="5445"/>
        <item m="1" x="1919"/>
        <item m="1" x="2541"/>
        <item m="1" x="2568"/>
        <item m="1" x="6323"/>
        <item m="1" x="6767"/>
        <item m="1" x="7894"/>
        <item m="1" x="2743"/>
        <item m="1" x="3390"/>
        <item m="1" x="410"/>
        <item m="1" x="631"/>
        <item m="1" x="7258"/>
        <item m="1" x="2755"/>
        <item m="1" x="3542"/>
        <item m="1" x="7947"/>
        <item m="1" x="400"/>
        <item m="1" x="340"/>
        <item m="1" x="6957"/>
        <item m="1" x="4456"/>
        <item m="1" x="3054"/>
        <item m="1" x="4760"/>
        <item m="1" x="3964"/>
        <item m="1" x="3971"/>
        <item m="1" x="5315"/>
        <item m="1" x="4616"/>
        <item m="1" x="7523"/>
        <item m="1" x="1945"/>
        <item m="1" x="1270"/>
        <item m="1" x="7987"/>
        <item m="1" x="2020"/>
        <item m="1" x="5514"/>
        <item m="1" x="3208"/>
        <item m="1" x="7582"/>
        <item m="1" x="2210"/>
        <item m="1" x="6538"/>
        <item m="1" x="4489"/>
        <item m="1" x="7471"/>
        <item m="1" x="7322"/>
        <item m="1" x="5237"/>
        <item m="1" x="2101"/>
        <item m="1" x="334"/>
        <item m="1" x="5841"/>
        <item m="1" x="1051"/>
        <item m="1" x="7652"/>
        <item m="1" x="3749"/>
        <item m="1" x="4490"/>
        <item m="1" x="3413"/>
        <item m="1" x="2459"/>
        <item m="1" x="5603"/>
        <item m="1" x="566"/>
        <item m="1" x="7848"/>
        <item m="1" x="3068"/>
        <item m="1" x="5033"/>
        <item m="1" x="6938"/>
        <item m="1" x="538"/>
        <item m="1" x="7491"/>
        <item m="1" x="7381"/>
        <item m="1" x="6955"/>
        <item m="1" x="2499"/>
        <item m="1" x="352"/>
        <item m="1" x="4605"/>
        <item m="1" x="958"/>
        <item m="1" x="5776"/>
        <item m="1" x="1388"/>
        <item m="1" x="303"/>
        <item m="1" x="4520"/>
        <item m="1" x="5359"/>
        <item m="1" x="2378"/>
        <item m="1" x="7570"/>
        <item m="1" x="5003"/>
        <item m="1" x="5111"/>
        <item m="1" x="491"/>
        <item m="1" x="4146"/>
        <item m="1" x="853"/>
        <item m="1" x="595"/>
        <item m="1" x="4915"/>
        <item m="1" x="7487"/>
        <item m="1" x="2539"/>
        <item m="1" x="4956"/>
        <item m="1" x="733"/>
        <item m="1" x="3347"/>
        <item m="1" x="2841"/>
        <item m="1" x="1325"/>
        <item m="1" x="4300"/>
        <item m="1" x="6447"/>
        <item m="1" x="5733"/>
        <item m="1" x="4040"/>
        <item m="1" x="4372"/>
        <item m="1" x="4945"/>
        <item m="1" x="2552"/>
        <item m="1" x="5885"/>
        <item m="1" x="4361"/>
        <item m="1" x="7786"/>
        <item m="1" x="3911"/>
        <item m="1" x="7351"/>
        <item m="1" x="2823"/>
        <item m="1" x="881"/>
        <item m="1" x="782"/>
        <item m="1" x="5730"/>
        <item m="1" x="2874"/>
        <item m="1" x="4572"/>
        <item m="1" x="3719"/>
        <item m="1" x="6427"/>
        <item m="1" x="1629"/>
        <item m="1" x="6509"/>
        <item m="1" x="5747"/>
        <item m="1" x="3894"/>
        <item m="1" x="5183"/>
        <item m="1" x="6678"/>
        <item m="1" x="742"/>
        <item m="1" x="3867"/>
        <item m="1" x="4242"/>
        <item m="1" x="3514"/>
        <item m="1" x="3653"/>
        <item m="1" x="3098"/>
        <item m="1" x="5763"/>
        <item m="1" x="4875"/>
        <item m="1" x="418"/>
        <item m="1" x="3723"/>
        <item m="1" x="4596"/>
        <item m="1" x="7841"/>
        <item m="1" x="3955"/>
        <item m="1" x="931"/>
        <item m="1" x="4910"/>
        <item m="1" x="3213"/>
        <item m="1" x="7046"/>
        <item m="1" x="4600"/>
        <item m="1" x="6956"/>
        <item m="1" x="6195"/>
        <item m="1" x="1300"/>
        <item m="1" x="7476"/>
        <item m="1" x="6922"/>
        <item m="1" x="7948"/>
        <item m="1" x="531"/>
        <item m="1" x="6843"/>
        <item m="1" x="7517"/>
        <item m="1" x="1225"/>
        <item m="1" x="7435"/>
        <item m="1" x="2489"/>
        <item m="1" x="7836"/>
        <item m="1" x="1606"/>
        <item m="1" x="7798"/>
        <item m="1" x="2590"/>
        <item m="1" x="1250"/>
        <item m="1" x="3491"/>
        <item m="1" x="7911"/>
        <item m="1" x="6364"/>
        <item m="1" x="1604"/>
        <item m="1" x="3222"/>
        <item m="1" x="5124"/>
        <item m="1" x="953"/>
        <item m="1" x="1214"/>
        <item m="1" x="6786"/>
        <item m="1" x="4383"/>
        <item m="1" x="3285"/>
        <item m="1" x="6787"/>
        <item m="1" x="2520"/>
        <item m="1" x="5973"/>
        <item m="1" x="7428"/>
        <item m="1" x="4290"/>
        <item m="1" x="943"/>
        <item m="1" x="2095"/>
        <item m="1" x="1076"/>
        <item m="1" x="2696"/>
        <item m="1" x="4398"/>
        <item m="1" x="4642"/>
        <item m="1" x="5932"/>
        <item m="1" x="2050"/>
        <item m="1" x="849"/>
        <item m="1" x="3672"/>
        <item m="1" x="1610"/>
        <item m="1" x="2750"/>
        <item m="1" x="6708"/>
        <item m="1" x="7642"/>
        <item m="1" x="7353"/>
        <item m="1" x="1921"/>
        <item m="1" x="1804"/>
        <item m="1" x="5348"/>
        <item m="1" x="6414"/>
        <item m="1" x="1952"/>
        <item m="1" x="4111"/>
        <item m="1" x="3722"/>
        <item m="1" x="2141"/>
        <item m="1" x="4283"/>
        <item m="1" x="2889"/>
        <item m="1" x="1366"/>
        <item m="1" x="2180"/>
        <item m="1" x="5892"/>
        <item m="1" x="4985"/>
        <item m="1" x="3360"/>
        <item m="1" x="7751"/>
        <item m="1" x="509"/>
        <item m="1" x="1154"/>
        <item m="1" x="603"/>
        <item m="1" x="6497"/>
        <item m="1" x="587"/>
        <item m="1" x="5012"/>
        <item m="1" x="932"/>
        <item m="1" x="4381"/>
        <item m="1" x="1327"/>
        <item m="1" x="2656"/>
        <item m="1" x="3960"/>
        <item m="1" x="7614"/>
        <item m="1" x="1109"/>
        <item m="1" x="3947"/>
        <item m="1" x="5581"/>
        <item m="1" x="2563"/>
        <item m="1" x="2089"/>
        <item m="1" x="982"/>
        <item m="1" x="6044"/>
        <item m="1" x="1951"/>
        <item m="1" x="3259"/>
        <item m="1" x="5914"/>
        <item m="1" x="7360"/>
        <item m="1" x="1860"/>
        <item m="1" x="4879"/>
        <item m="1" x="2654"/>
        <item m="1" x="3892"/>
        <item m="1" x="3236"/>
        <item m="1" x="2543"/>
        <item m="1" x="2160"/>
        <item m="1" x="861"/>
        <item m="1" x="2957"/>
        <item m="1" x="4457"/>
        <item m="1" x="7215"/>
        <item m="1" x="4169"/>
        <item m="1" x="6677"/>
        <item m="1" x="5858"/>
        <item m="1" x="5985"/>
        <item m="1" x="3254"/>
        <item m="1" x="1596"/>
        <item m="1" x="3056"/>
        <item m="1" x="2765"/>
        <item m="1" x="5107"/>
        <item m="1" x="4437"/>
        <item m="1" x="2798"/>
        <item m="1" x="5539"/>
        <item m="1" x="7635"/>
        <item m="1" x="330"/>
        <item m="1" x="3940"/>
        <item m="1" x="4088"/>
        <item m="1" x="5077"/>
        <item m="1" x="5227"/>
        <item m="1" x="5568"/>
        <item m="1" x="6383"/>
        <item m="1" x="6240"/>
        <item m="1" x="1563"/>
        <item m="1" x="4505"/>
        <item m="1" x="2766"/>
        <item m="1" x="1645"/>
        <item m="1" x="6171"/>
        <item m="1" x="1122"/>
        <item m="1" x="5055"/>
        <item m="1" x="4178"/>
        <item m="1" x="4042"/>
        <item m="1" x="3150"/>
        <item m="1" x="3865"/>
        <item m="1" x="7939"/>
        <item m="1" x="2894"/>
        <item m="1" x="2465"/>
        <item m="1" x="793"/>
        <item m="1" x="5974"/>
        <item m="1" x="7815"/>
        <item m="1" x="1543"/>
        <item m="1" x="5180"/>
        <item m="1" x="1871"/>
        <item m="1" x="3172"/>
        <item m="1" x="3895"/>
        <item m="1" x="5452"/>
        <item m="1" x="7283"/>
        <item m="1" x="7233"/>
        <item m="1" x="7313"/>
        <item m="1" x="6419"/>
        <item m="1" x="5209"/>
        <item m="1" x="3462"/>
        <item m="1" x="7817"/>
        <item m="1" x="7026"/>
        <item m="1" x="605"/>
        <item m="1" x="7615"/>
        <item m="1" x="4068"/>
        <item m="1" x="6465"/>
        <item m="1" x="4187"/>
        <item m="1" x="409"/>
        <item m="1" x="3257"/>
        <item m="1" x="3772"/>
        <item m="1" x="2397"/>
        <item m="1" x="3925"/>
        <item m="1" x="6460"/>
        <item m="1" x="4301"/>
        <item m="1" x="5122"/>
        <item m="1" x="3566"/>
        <item m="1" x="287"/>
        <item m="1" x="6373"/>
        <item m="1" x="2500"/>
        <item m="1" x="4677"/>
        <item m="1" x="4980"/>
        <item m="1" x="2975"/>
        <item m="1" x="7777"/>
        <item m="1" x="776"/>
        <item m="1" x="4721"/>
        <item m="1" x="6152"/>
        <item m="1" x="3510"/>
        <item m="1" x="7469"/>
        <item m="1" x="5766"/>
        <item m="1" x="4807"/>
        <item m="1" x="5814"/>
        <item m="1" x="5433"/>
        <item m="1" x="7526"/>
        <item m="1" x="264"/>
        <item m="1" x="4767"/>
        <item m="1" x="2083"/>
        <item m="1" x="4140"/>
        <item m="1" x="4065"/>
        <item m="1" x="4716"/>
        <item m="1" x="4937"/>
        <item m="1" x="3618"/>
        <item m="1" x="1089"/>
        <item m="1" x="5618"/>
        <item m="1" x="1589"/>
        <item m="1" x="365"/>
        <item m="1" x="2348"/>
        <item m="1" x="1750"/>
        <item m="1" x="2483"/>
        <item m="1" x="7192"/>
        <item m="1" x="6312"/>
        <item m="1" x="1179"/>
        <item m="1" x="3232"/>
        <item m="1" x="3275"/>
        <item m="1" x="6540"/>
        <item m="1" x="4150"/>
        <item m="1" x="6969"/>
        <item m="1" x="4201"/>
        <item m="1" x="1029"/>
        <item m="1" x="7580"/>
        <item m="1" x="1024"/>
        <item m="1" x="3853"/>
        <item m="1" x="3122"/>
        <item m="1" x="1321"/>
        <item m="1" x="7124"/>
        <item m="1" x="7474"/>
        <item m="1" x="3913"/>
        <item m="1" x="4996"/>
        <item m="1" x="1057"/>
        <item m="1" x="6424"/>
        <item m="1" x="3774"/>
        <item m="1" x="7541"/>
        <item m="1" x="1202"/>
        <item m="1" x="6500"/>
        <item m="1" x="6425"/>
        <item m="1" x="4180"/>
        <item m="1" x="810"/>
        <item m="1" x="5695"/>
        <item m="1" x="4994"/>
        <item m="1" x="2466"/>
        <item m="1" x="7171"/>
        <item m="1" x="4143"/>
        <item m="1" x="5819"/>
        <item m="1" x="1971"/>
        <item m="1" x="7426"/>
        <item m="1" x="2431"/>
        <item m="1" x="4762"/>
        <item m="1" x="1446"/>
        <item m="1" x="5293"/>
        <item m="1" x="7937"/>
        <item m="1" x="1333"/>
        <item m="1" x="3171"/>
        <item m="1" x="3992"/>
        <item m="1" x="6730"/>
        <item m="1" x="3314"/>
        <item m="1" x="4218"/>
        <item m="1" x="1992"/>
        <item m="1" x="7015"/>
        <item m="1" x="6565"/>
        <item m="1" x="4871"/>
        <item m="1" x="5428"/>
        <item m="1" x="2814"/>
        <item m="1" x="226"/>
        <item m="1" x="5671"/>
        <item m="1" x="5303"/>
        <item m="1" x="5258"/>
        <item m="1" x="5377"/>
        <item m="1" x="625"/>
        <item m="1" x="7073"/>
        <item m="1" x="3643"/>
        <item m="1" x="7277"/>
        <item m="1" x="6919"/>
        <item m="1" x="3856"/>
        <item m="1" x="1052"/>
        <item m="1" x="7749"/>
        <item m="1" x="2047"/>
        <item m="1" x="2575"/>
        <item m="1" x="7425"/>
        <item m="1" x="890"/>
        <item m="1" x="1504"/>
        <item m="1" x="2247"/>
        <item m="1" x="1443"/>
        <item m="1" x="7989"/>
        <item m="1" x="3391"/>
        <item m="1" x="2601"/>
        <item m="1" x="3501"/>
        <item m="1" x="7973"/>
        <item m="1" x="799"/>
        <item m="1" x="7610"/>
        <item m="1" x="391"/>
        <item m="1" x="5768"/>
        <item m="1" x="6695"/>
        <item m="1" x="6748"/>
        <item m="1" x="4992"/>
        <item m="1" x="5800"/>
        <item m="1" x="5653"/>
        <item m="1" x="6470"/>
        <item m="1" x="3935"/>
        <item m="1" x="7218"/>
        <item m="1" x="6097"/>
        <item m="1" x="4708"/>
        <item m="1" x="4002"/>
        <item m="1" x="444"/>
        <item m="1" x="1580"/>
        <item m="1" x="7397"/>
        <item m="1" x="1698"/>
        <item m="1" x="1599"/>
        <item m="1" x="1827"/>
        <item m="1" x="5506"/>
        <item m="1" x="4798"/>
        <item m="1" x="7950"/>
        <item m="1" x="5515"/>
        <item m="1" x="6851"/>
        <item m="1" x="302"/>
        <item m="1" x="7644"/>
        <item m="1" x="3907"/>
        <item m="1" x="5242"/>
        <item m="1" x="5700"/>
        <item m="1" x="3074"/>
        <item m="1" x="6639"/>
        <item m="1" x="7814"/>
        <item m="1" x="5015"/>
        <item m="1" x="1585"/>
        <item m="1" x="6900"/>
        <item m="1" x="3715"/>
        <item m="1" x="2046"/>
        <item m="1" x="1131"/>
        <item m="1" x="4202"/>
        <item m="1" x="585"/>
        <item m="1" x="899"/>
        <item m="1" x="6161"/>
        <item m="1" x="5876"/>
        <item m="1" x="4365"/>
        <item m="1" x="1291"/>
        <item m="1" x="3801"/>
        <item m="1" x="4676"/>
        <item m="1" x="4197"/>
        <item m="1" x="5326"/>
        <item m="1" x="4782"/>
        <item m="1" x="1872"/>
        <item m="1" x="526"/>
        <item m="1" x="1494"/>
        <item m="1" x="4634"/>
        <item m="1" x="4312"/>
        <item m="1" x="6429"/>
        <item m="1" x="876"/>
        <item m="1" x="338"/>
        <item m="1" x="2956"/>
        <item m="1" x="2698"/>
        <item m="1" x="6233"/>
        <item m="1" x="2204"/>
        <item m="1" x="7311"/>
        <item m="1" x="6418"/>
        <item m="1" x="1406"/>
        <item m="1" x="442"/>
        <item m="1" x="6204"/>
        <item m="1" x="5861"/>
        <item m="1" x="4292"/>
        <item m="1" x="2248"/>
        <item m="1" x="1058"/>
        <item m="1" x="7056"/>
        <item m="1" x="4853"/>
        <item m="1" x="5952"/>
        <item m="1" x="1902"/>
        <item m="1" x="7166"/>
        <item m="1" x="2425"/>
        <item m="1" x="7380"/>
        <item m="1" x="4685"/>
        <item m="1" x="7345"/>
        <item m="1" x="5966"/>
        <item m="1" x="1259"/>
        <item m="1" x="3574"/>
        <item m="1" x="3665"/>
        <item m="1" x="4801"/>
        <item m="1" x="768"/>
        <item m="1" x="6904"/>
        <item m="1" x="5875"/>
        <item m="1" x="3372"/>
        <item m="1" x="1498"/>
        <item m="1" x="7810"/>
        <item m="1" x="7229"/>
        <item m="1" x="4433"/>
        <item m="1" x="300"/>
        <item m="1" x="7314"/>
        <item m="1" x="1820"/>
        <item m="1" x="6903"/>
        <item m="1" x="2751"/>
        <item m="1" x="2099"/>
        <item m="1" x="7130"/>
        <item m="1" x="655"/>
        <item m="1" x="5808"/>
        <item m="1" x="3401"/>
        <item m="1" x="2666"/>
        <item m="1" x="6192"/>
        <item m="1" x="350"/>
        <item m="1" x="2339"/>
        <item m="1" x="3341"/>
        <item m="1" x="2647"/>
        <item m="1" x="2234"/>
        <item m="1" x="5833"/>
        <item m="1" x="2849"/>
        <item m="1" x="1765"/>
        <item m="1" x="7560"/>
        <item m="1" x="7455"/>
        <item m="1" x="2490"/>
        <item m="1" x="2074"/>
        <item m="1" x="3771"/>
        <item m="1" x="3820"/>
        <item m="1" x="7062"/>
        <item m="1" x="6403"/>
        <item m="1" x="1110"/>
        <item m="1" x="3480"/>
        <item m="1" x="7300"/>
        <item m="1" x="5434"/>
        <item m="1" x="6874"/>
        <item m="1" x="1215"/>
        <item m="1" x="1337"/>
        <item m="1" x="2989"/>
        <item m="1" x="4254"/>
        <item m="1" x="3744"/>
        <item m="1" x="1909"/>
        <item m="1" x="7463"/>
        <item m="1" x="1924"/>
        <item m="1" x="4547"/>
        <item m="1" x="7281"/>
        <item m="1" x="1283"/>
        <item m="1" x="6182"/>
        <item m="1" x="1588"/>
        <item m="1" x="2398"/>
        <item m="1" x="4420"/>
        <item m="1" x="2377"/>
        <item m="1" x="5764"/>
        <item m="1" x="5919"/>
        <item m="1" x="2317"/>
        <item m="1" x="6930"/>
        <item m="1" x="1615"/>
        <item m="1" x="1097"/>
        <item m="1" x="772"/>
        <item m="1" x="7244"/>
        <item m="1" x="4606"/>
        <item m="1" x="4622"/>
        <item m="1" x="3073"/>
        <item m="1" x="5489"/>
        <item m="1" x="2961"/>
        <item m="1" x="1162"/>
        <item m="1" x="4404"/>
        <item m="1" x="1376"/>
        <item m="1" x="4321"/>
        <item m="1" x="375"/>
        <item m="1" x="5301"/>
        <item m="1" x="2366"/>
        <item m="1" x="311"/>
        <item m="1" x="7881"/>
        <item m="1" x="6439"/>
        <item m="1" x="7608"/>
        <item m="1" x="6276"/>
        <item m="1" x="7505"/>
        <item m="1" x="2067"/>
        <item m="1" x="1700"/>
        <item m="1" x="6129"/>
        <item m="1" x="1654"/>
        <item m="1" x="2648"/>
        <item m="1" x="5472"/>
        <item m="1" x="2748"/>
        <item m="1" x="5650"/>
        <item m="1" x="5874"/>
        <item m="1" x="1045"/>
        <item m="1" x="1946"/>
        <item m="1" x="6296"/>
        <item m="1" x="5571"/>
        <item m="1" x="1774"/>
        <item m="1" x="1594"/>
        <item m="1" x="5606"/>
        <item m="1" x="2319"/>
        <item m="1" x="472"/>
        <item m="1" x="6123"/>
        <item m="1" x="3916"/>
        <item m="1" x="7376"/>
        <item m="1" x="7439"/>
        <item m="1" x="6335"/>
        <item m="1" x="4759"/>
        <item m="1" x="1626"/>
        <item m="1" x="1784"/>
        <item m="1" x="5347"/>
        <item m="1" x="1342"/>
        <item m="1" x="1557"/>
        <item m="1" x="2637"/>
        <item m="1" x="3349"/>
        <item m="1" x="6941"/>
        <item m="1" x="2076"/>
        <item m="1" x="3919"/>
        <item m="1" x="2277"/>
        <item m="1" x="5321"/>
        <item m="1" x="6609"/>
        <item m="1" x="615"/>
        <item m="1" x="1296"/>
        <item m="1" x="3202"/>
        <item m="1" x="2942"/>
        <item m="1" x="6587"/>
        <item m="1" x="6105"/>
        <item m="1" x="4919"/>
        <item m="1" x="7041"/>
        <item m="1" x="2553"/>
        <item m="1" x="1991"/>
        <item m="1" x="3109"/>
        <item m="1" x="4733"/>
        <item m="1" x="6250"/>
        <item m="1" x="2475"/>
        <item m="1" x="7409"/>
        <item m="1" x="1481"/>
        <item m="1" x="1683"/>
        <item m="1" x="2308"/>
        <item m="1" x="6220"/>
        <item m="1" x="7853"/>
        <item m="1" x="1567"/>
        <item m="1" x="2642"/>
        <item m="1" x="6027"/>
        <item m="1" x="1100"/>
        <item m="1" x="6829"/>
        <item m="1" x="6186"/>
        <item m="1" x="1472"/>
        <item m="1" x="7663"/>
        <item m="1" x="5717"/>
        <item m="1" x="1286"/>
        <item m="1" x="4066"/>
        <item m="1" x="4786"/>
        <item m="1" x="6725"/>
        <item m="1" x="6890"/>
        <item m="1" x="443"/>
        <item m="1" x="1755"/>
        <item m="1" x="3609"/>
        <item m="1" x="1770"/>
        <item m="1" x="5964"/>
        <item m="1" x="6693"/>
        <item m="1" x="1549"/>
        <item m="1" x="5780"/>
        <item m="1" x="921"/>
        <item m="1" x="765"/>
        <item m="1" x="1238"/>
        <item m="1" x="7278"/>
        <item m="1" x="2405"/>
        <item m="1" x="542"/>
        <item m="1" x="5962"/>
        <item m="1" x="1957"/>
        <item m="1" x="6568"/>
        <item m="1" x="1510"/>
        <item m="1" x="318"/>
        <item m="1" x="4745"/>
        <item m="1" x="4573"/>
        <item m="1" x="3765"/>
        <item m="1" x="7132"/>
        <item m="1" x="2310"/>
        <item m="1" x="5884"/>
        <item m="1" x="7254"/>
        <item m="1" x="6891"/>
        <item m="1" x="1907"/>
        <item m="1" x="2526"/>
        <item m="1" x="1778"/>
        <item m="1" x="3485"/>
        <item m="1" x="1092"/>
        <item m="1" x="3517"/>
        <item m="1" x="751"/>
        <item m="1" x="360"/>
        <item m="1" x="2292"/>
        <item m="1" x="1173"/>
        <item m="1" x="6736"/>
        <item m="1" x="4799"/>
        <item m="1" x="2133"/>
        <item m="1" x="820"/>
        <item m="1" x="3620"/>
        <item m="1" x="5239"/>
        <item m="1" x="2016"/>
        <item m="1" x="1519"/>
        <item m="1" x="6823"/>
        <item m="1" x="6610"/>
        <item m="1" x="3329"/>
        <item m="1" x="1773"/>
        <item m="1" x="937"/>
        <item m="1" x="5806"/>
        <item m="1" x="4846"/>
        <item m="1" x="6101"/>
        <item m="1" x="2805"/>
        <item m="1" x="7137"/>
        <item m="1" x="2763"/>
        <item m="1" x="7949"/>
        <item m="1" x="4949"/>
        <item m="1" x="7148"/>
        <item m="1" x="7661"/>
        <item m="1" x="6367"/>
        <item m="1" x="6273"/>
        <item m="1" x="7338"/>
        <item m="1" x="7000"/>
        <item m="1" x="3242"/>
        <item m="1" x="1581"/>
        <item m="1" x="6655"/>
        <item m="1" x="1152"/>
        <item m="1" x="2332"/>
        <item m="1" x="6064"/>
        <item m="1" x="5056"/>
        <item m="1" x="284"/>
        <item m="1" x="7714"/>
        <item m="1" x="1962"/>
        <item m="1" x="2226"/>
        <item m="1" x="1302"/>
        <item m="1" x="7343"/>
        <item m="1" x="885"/>
        <item m="1" x="964"/>
        <item m="1" x="6698"/>
        <item m="1" x="1260"/>
        <item m="1" x="427"/>
        <item m="1" x="3186"/>
        <item m="1" x="7253"/>
        <item m="1" x="310"/>
        <item m="1" x="6349"/>
        <item m="1" x="3244"/>
        <item m="1" x="1726"/>
        <item m="1" x="6013"/>
        <item m="1" x="7485"/>
        <item m="1" x="3969"/>
        <item m="1" x="6356"/>
        <item m="1" x="3920"/>
        <item m="1" x="4649"/>
        <item m="1" x="6091"/>
        <item m="1" x="784"/>
        <item m="1" x="1178"/>
        <item m="1" x="1884"/>
        <item m="1" x="1414"/>
        <item m="1" x="2043"/>
        <item m="1" x="5640"/>
        <item m="1" x="1315"/>
        <item m="1" x="5959"/>
        <item m="1" x="7664"/>
        <item m="1" x="691"/>
        <item m="1" x="2161"/>
        <item m="1" x="2411"/>
        <item m="1" x="5598"/>
        <item m="1" x="916"/>
        <item m="1" x="3340"/>
        <item m="1" x="2927"/>
        <item m="1" x="6685"/>
        <item m="1" x="2646"/>
        <item m="1" x="4560"/>
        <item m="1" x="6788"/>
        <item m="1" x="4971"/>
        <item m="1" x="7920"/>
        <item m="1" x="4715"/>
        <item m="1" x="2501"/>
        <item m="1" x="5500"/>
        <item m="1" x="3891"/>
        <item m="1" x="4190"/>
        <item m="1" x="4299"/>
        <item m="1" x="7838"/>
        <item m="1" x="1745"/>
        <item m="1" x="3985"/>
        <item m="1" x="379"/>
        <item m="1" x="879"/>
        <item m="1" x="6009"/>
        <item m="1" x="2407"/>
        <item m="1" x="6623"/>
        <item m="1" x="5332"/>
        <item m="1" x="1578"/>
        <item m="1" x="4441"/>
        <item m="1" x="3979"/>
        <item m="1" x="6752"/>
        <item m="1" x="3993"/>
        <item m="1" x="5130"/>
        <item m="1" x="2464"/>
        <item m="1" x="2336"/>
        <item m="1" x="1320"/>
        <item m="1" x="320"/>
        <item m="1" x="1923"/>
        <item m="1" x="7564"/>
        <item m="1" x="3192"/>
        <item m="1" x="4425"/>
        <item m="1" x="5446"/>
        <item m="1" x="361"/>
        <item m="1" x="237"/>
        <item m="1" x="6154"/>
        <item m="1" x="4981"/>
        <item m="1" x="812"/>
        <item m="1" x="2759"/>
        <item m="1" x="711"/>
        <item m="1" x="5072"/>
        <item m="1" x="3077"/>
        <item m="1" x="3155"/>
        <item m="1" x="7001"/>
        <item m="1" x="4134"/>
        <item m="1" x="1845"/>
        <item m="1" x="5151"/>
        <item m="1" x="645"/>
        <item m="1" x="1789"/>
        <item m="1" x="5159"/>
        <item m="1" x="6881"/>
        <item m="1" x="6747"/>
        <item m="1" x="6893"/>
        <item m="1" x="590"/>
        <item m="1" x="1212"/>
        <item m="1" x="5108"/>
        <item m="1" x="3256"/>
        <item m="1" x="1217"/>
        <item m="1" x="1617"/>
        <item m="1" x="4373"/>
        <item m="1" x="2023"/>
        <item m="1" x="3226"/>
        <item m="1" x="4835"/>
        <item m="1" x="4257"/>
        <item m="1" x="7327"/>
        <item m="1" x="5622"/>
        <item m="1" x="2717"/>
        <item m="1" x="7812"/>
        <item m="1" x="3976"/>
        <item m="1" x="3080"/>
        <item m="1" x="2072"/>
        <item m="1" x="7556"/>
        <item m="1" x="2822"/>
        <item m="1" x="4443"/>
        <item m="1" x="4427"/>
        <item m="1" x="4542"/>
        <item m="1" x="3286"/>
        <item m="1" x="905"/>
        <item m="1" x="1513"/>
        <item m="1" x="7060"/>
        <item m="1" x="7700"/>
        <item m="1" x="624"/>
        <item m="1" x="2245"/>
        <item m="1" x="4231"/>
        <item m="1" x="6993"/>
        <item m="1" x="3724"/>
        <item m="1" x="6811"/>
        <item m="1" x="549"/>
        <item m="1" x="2166"/>
        <item m="1" x="6647"/>
        <item m="1" x="5920"/>
        <item m="1" x="7701"/>
        <item m="1" x="6522"/>
        <item m="1" x="2683"/>
        <item m="1" x="1111"/>
        <item m="1" x="5363"/>
        <item m="1" x="7005"/>
        <item m="1" x="6201"/>
        <item m="1" x="1834"/>
        <item m="1" x="2939"/>
        <item m="1" x="7459"/>
        <item m="1" x="5837"/>
        <item m="1" x="4245"/>
        <item m="1" x="3005"/>
        <item m="1" x="6950"/>
        <item m="1" x="7806"/>
        <item m="1" x="7117"/>
        <item m="1" x="6007"/>
        <item m="1" x="489"/>
        <item m="1" x="1265"/>
        <item m="1" x="6385"/>
        <item m="1" x="6554"/>
        <item m="1" x="6876"/>
        <item m="1" x="5778"/>
        <item m="1" x="3747"/>
        <item m="1" x="4342"/>
        <item m="1" x="348"/>
        <item m="1" x="2661"/>
        <item m="1" x="3076"/>
        <item m="1" x="1099"/>
        <item m="1" x="909"/>
        <item m="1" x="4851"/>
        <item m="1" x="6770"/>
        <item m="1" x="7715"/>
        <item m="1" x="4681"/>
        <item m="1" x="7438"/>
        <item m="1" x="6923"/>
        <item m="1" x="5599"/>
        <item m="1" x="1989"/>
        <item m="1" x="5924"/>
        <item m="1" x="5476"/>
        <item m="1" x="3468"/>
        <item m="1" x="7509"/>
        <item m="1" x="1389"/>
        <item m="1" x="1036"/>
        <item m="1" x="4608"/>
        <item m="1" x="4841"/>
        <item m="1" x="6668"/>
        <item m="1" x="3699"/>
        <item m="1" x="6467"/>
        <item m="1" x="5289"/>
        <item m="1" x="7200"/>
        <item m="1" x="3168"/>
        <item m="1" x="5048"/>
        <item m="1" x="5923"/>
        <item m="1" x="4478"/>
        <item m="1" x="1890"/>
        <item m="1" x="1141"/>
        <item m="1" x="2709"/>
        <item m="1" x="6726"/>
        <item m="1" x="1887"/>
        <item m="1" x="6407"/>
        <item m="1" x="1153"/>
        <item m="1" x="1715"/>
        <item m="1" x="7860"/>
        <item m="1" x="1289"/>
        <item m="1" x="2793"/>
        <item m="1" x="5156"/>
        <item m="1" x="6550"/>
        <item m="1" x="3206"/>
        <item m="1" x="2281"/>
        <item m="1" x="7342"/>
        <item m="1" x="6622"/>
        <item m="1" x="2205"/>
        <item m="1" x="5770"/>
        <item m="1" x="4968"/>
        <item m="1" x="2236"/>
        <item m="1" x="5729"/>
        <item m="1" x="3057"/>
        <item m="1" x="6649"/>
        <item m="1" x="2004"/>
        <item m="1" x="1314"/>
        <item m="1" x="1174"/>
        <item m="1" x="1733"/>
        <item m="1" x="290"/>
        <item m="1" x="370"/>
        <item m="1" x="7554"/>
        <item m="1" x="7186"/>
        <item m="1" x="4575"/>
        <item m="1" x="6601"/>
        <item m="1" x="6897"/>
        <item m="1" x="7162"/>
        <item m="1" x="325"/>
        <item m="1" x="1023"/>
        <item m="1" x="2487"/>
        <item m="1" x="7082"/>
        <item m="1" x="6265"/>
        <item m="1" x="5947"/>
        <item m="1" x="5431"/>
        <item m="1" x="4792"/>
        <item m="1" x="947"/>
        <item m="1" x="5287"/>
        <item m="1" x="5302"/>
        <item m="1" x="282"/>
        <item m="1" x="1534"/>
        <item m="1" x="5357"/>
        <item m="1" x="4344"/>
        <item m="1" x="283"/>
        <item m="1" x="4694"/>
        <item m="1" x="5842"/>
        <item m="1" x="386"/>
        <item m="1" x="5155"/>
        <item m="1" x="3198"/>
        <item m="1" x="5677"/>
        <item m="1" x="3887"/>
        <item m="1" x="3648"/>
        <item m="1" x="1372"/>
        <item m="1" x="1614"/>
        <item m="1" x="7684"/>
        <item m="1" x="3611"/>
        <item m="1" x="4473"/>
        <item m="1" x="6223"/>
        <item m="1" x="2997"/>
        <item m="1" x="519"/>
        <item m="1" x="5911"/>
        <item m="1" x="7316"/>
        <item m="1" x="4742"/>
        <item m="1" x="7617"/>
        <item m="1" x="3644"/>
        <item m="1" x="2125"/>
        <item m="1" x="4584"/>
        <item m="1" x="5664"/>
        <item m="1" x="6206"/>
        <item m="1" x="1002"/>
        <item m="1" x="6502"/>
        <item m="1" x="6978"/>
        <item m="1" x="4296"/>
        <item m="1" x="254"/>
        <item m="1" x="1762"/>
        <item m="1" x="3157"/>
        <item m="1" x="3927"/>
        <item m="1" x="4025"/>
        <item m="1" x="5409"/>
        <item m="1" x="7061"/>
        <item m="1" x="4426"/>
        <item m="1" x="5850"/>
        <item m="1" x="1918"/>
        <item m="1" x="7837"/>
        <item m="1" x="3100"/>
        <item m="1" x="1159"/>
        <item m="1" x="5681"/>
        <item m="1" x="3888"/>
        <item m="1" x="1161"/>
        <item m="1" x="4376"/>
        <item m="1" x="5178"/>
        <item m="1" x="2413"/>
        <item m="1" x="4880"/>
        <item m="1" x="6785"/>
        <item m="1" x="4833"/>
        <item m="1" x="2862"/>
        <item m="1" x="7537"/>
        <item m="1" x="3467"/>
        <item m="1" x="3816"/>
        <item m="1" x="2659"/>
        <item m="1" x="7994"/>
        <item m="1" x="5380"/>
        <item m="1" x="4472"/>
        <item m="1" x="5689"/>
        <item m="1" x="4639"/>
        <item m="1" x="3011"/>
        <item m="1" x="6390"/>
        <item m="1" x="4152"/>
        <item m="1" x="629"/>
        <item m="1" x="1124"/>
        <item m="1" x="1898"/>
        <item m="1" x="3934"/>
        <item m="1" x="3662"/>
        <item m="1" x="7588"/>
        <item m="1" x="3310"/>
        <item m="1" x="1864"/>
        <item m="1" x="6054"/>
        <item m="1" x="7946"/>
        <item m="1" x="6973"/>
        <item m="1" x="3481"/>
        <item m="1" x="4898"/>
        <item m="1" x="7842"/>
        <item m="1" x="3639"/>
        <item m="1" x="1539"/>
        <item m="1" x="2386"/>
        <item m="1" x="1155"/>
        <item m="1" x="3642"/>
        <item m="1" x="1865"/>
        <item m="1" x="5400"/>
        <item m="1" x="6306"/>
        <item m="1" x="6417"/>
        <item m="1" x="7984"/>
        <item m="1" x="7996"/>
        <item m="1" x="5965"/>
        <item m="1" x="5333"/>
        <item m="1" x="3159"/>
        <item m="1" x="2429"/>
        <item m="1" x="6653"/>
        <item m="1" x="7729"/>
        <item m="1" x="7986"/>
        <item m="1" x="4120"/>
        <item m="1" x="479"/>
        <item m="1" x="2528"/>
        <item m="1" x="3007"/>
        <item m="1" x="3691"/>
        <item m="1" x="2188"/>
        <item m="1" x="5388"/>
        <item m="1" x="4265"/>
        <item m="1" x="5660"/>
        <item m="1" x="7979"/>
        <item m="1" x="3990"/>
        <item m="1" x="2951"/>
        <item m="1" x="7202"/>
        <item m="1" x="955"/>
        <item m="1" x="3569"/>
        <item m="1" x="3595"/>
        <item m="1" x="3953"/>
        <item m="1" x="7074"/>
        <item m="1" x="7260"/>
        <item m="1" x="7968"/>
        <item m="1" x="2092"/>
        <item m="1" x="3382"/>
        <item m="1" x="2522"/>
        <item m="1" x="4869"/>
        <item m="1" x="5542"/>
        <item m="1" x="1944"/>
        <item m="1" x="3718"/>
        <item m="1" x="2675"/>
        <item m="1" x="7865"/>
        <item m="1" x="7196"/>
        <item m="1" x="6508"/>
        <item m="1" x="484"/>
        <item m="1" x="6259"/>
        <item m="1" x="1593"/>
        <item m="1" x="3396"/>
        <item m="1" x="7452"/>
        <item m="1" x="6611"/>
        <item m="1" x="7960"/>
        <item m="1" x="7521"/>
        <item m="1" x="5654"/>
        <item m="1" x="6145"/>
        <item m="1" x="4601"/>
        <item m="1" x="3654"/>
        <item m="1" x="2672"/>
        <item m="1" x="6089"/>
        <item m="1" x="7743"/>
        <item m="1" x="4839"/>
        <item m="1" x="4189"/>
        <item m="1" x="1609"/>
        <item m="1" x="3878"/>
        <item m="1" x="2071"/>
        <item m="1" x="3797"/>
        <item m="1" x="7369"/>
        <item m="1" x="1266"/>
        <item m="1" x="7955"/>
        <item m="1" x="7008"/>
        <item m="1" x="5847"/>
        <item m="1" x="5719"/>
        <item m="1" x="2138"/>
        <item m="1" x="1348"/>
        <item m="1" x="2154"/>
        <item m="1" x="1485"/>
        <item m="1" x="2848"/>
        <item m="1" x="3490"/>
        <item m="1" x="7914"/>
        <item m="1" x="3388"/>
        <item m="1" x="5202"/>
        <item m="1" x="3661"/>
        <item m="1" x="7346"/>
        <item m="1" x="6867"/>
        <item m="1" x="626"/>
        <item m="1" x="326"/>
        <item m="1" x="468"/>
        <item m="1" x="6078"/>
        <item m="1" x="4638"/>
        <item m="1" x="978"/>
        <item m="1" x="6966"/>
        <item m="1" x="564"/>
        <item m="1" x="3026"/>
        <item m="1" x="4995"/>
        <item m="1" x="2304"/>
        <item m="1" x="7997"/>
        <item m="1" x="815"/>
        <item m="1" x="3879"/>
        <item m="1" x="3917"/>
        <item m="1" x="2671"/>
        <item m="1" x="6478"/>
        <item m="1" x="3958"/>
        <item m="1" x="4203"/>
        <item m="1" x="6839"/>
        <item m="1" x="4624"/>
        <item m="1" x="7687"/>
        <item m="1" x="6520"/>
        <item m="1" x="3789"/>
        <item m="1" x="1140"/>
        <item m="1" x="2244"/>
        <item m="1" x="276"/>
        <item m="1" x="1087"/>
        <item m="1" x="7049"/>
        <item m="1" x="2106"/>
        <item m="1" x="3783"/>
        <item m="1" x="1480"/>
        <item m="1" x="4508"/>
        <item m="1" x="5836"/>
        <item m="1" x="6477"/>
        <item m="1" x="2182"/>
        <item m="1" x="6287"/>
        <item m="1" x="5669"/>
        <item m="1" x="6487"/>
        <item m="1" x="6299"/>
        <item m="1" x="3187"/>
        <item m="1" x="7481"/>
        <item m="1" x="7917"/>
        <item m="1" x="7169"/>
        <item m="1" x="6596"/>
        <item m="1" x="7290"/>
        <item m="1" x="7873"/>
        <item m="1" x="4240"/>
        <item m="1" x="7985"/>
        <item m="1" x="1123"/>
        <item m="1" x="2174"/>
        <item m="1" x="1169"/>
        <item m="1" x="4329"/>
        <item m="1" x="2934"/>
        <item m="1" x="2830"/>
        <item m="1" x="7594"/>
        <item m="1" x="896"/>
        <item m="1" x="1889"/>
        <item m="1" x="7045"/>
        <item m="1" x="7964"/>
        <item m="1" x="2159"/>
        <item m="1" x="5524"/>
        <item m="1" x="5467"/>
        <item m="1" x="3041"/>
        <item m="1" x="6136"/>
        <item m="1" x="5848"/>
        <item m="1" x="1876"/>
        <item m="1" x="1753"/>
        <item m="1" x="4385"/>
        <item m="1" x="1439"/>
        <item m="1" x="1361"/>
        <item m="1" x="1958"/>
        <item m="1" x="7927"/>
        <item m="1" x="1358"/>
        <item m="1" x="1512"/>
        <item m="1" x="6330"/>
        <item m="1" x="1938"/>
        <item m="1" x="3884"/>
        <item m="1" x="4539"/>
        <item m="1" x="7896"/>
        <item m="1" x="5000"/>
        <item m="1" x="1206"/>
        <item m="1" x="6267"/>
        <item m="1" x="6746"/>
        <item m="1" x="4707"/>
        <item m="1" x="5148"/>
        <item m="1" x="7980"/>
        <item m="1" x="4220"/>
        <item m="1" x="1545"/>
        <item m="1" x="5070"/>
        <item m="1" x="7977"/>
        <item m="1" x="1309"/>
        <item m="1" x="1652"/>
        <item m="1" x="305"/>
        <item m="1" x="4380"/>
        <item m="1" x="1354"/>
        <item m="1" x="4018"/>
        <item m="1" x="7370"/>
        <item m="1" x="7318"/>
        <item m="1" x="1226"/>
        <item m="1" x="4820"/>
        <item m="1" x="4415"/>
        <item m="1" x="3392"/>
        <item m="1" x="3412"/>
        <item m="1" x="1706"/>
        <item m="1" x="4566"/>
        <item m="1" x="1776"/>
        <item m="1" x="4163"/>
        <item m="1" x="3720"/>
        <item m="1" x="499"/>
        <item m="1" x="7287"/>
        <item m="1" x="5910"/>
        <item m="1" x="4384"/>
        <item m="1" x="3871"/>
        <item m="1" x="6408"/>
        <item m="1" x="1352"/>
        <item m="1" x="3429"/>
        <item m="1" x="1737"/>
        <item m="1" x="4836"/>
        <item m="1" x="7489"/>
        <item m="1" x="659"/>
        <item m="1" x="7966"/>
        <item m="1" x="5097"/>
        <item m="1" x="1149"/>
        <item m="1" x="2860"/>
        <item m="1" x="2229"/>
        <item m="1" x="7382"/>
        <item m="1" x="3828"/>
        <item m="1" x="7998"/>
        <item m="1" x="3291"/>
        <item m="1" x="7887"/>
        <item m="1" x="451"/>
        <item m="1" x="5851"/>
        <item m="1" x="7834"/>
        <item m="1" x="5220"/>
        <item m="1" x="1577"/>
        <item m="1" x="1548"/>
        <item m="1" x="3240"/>
        <item m="1" x="6561"/>
        <item m="1" x="5751"/>
        <item m="1" x="7623"/>
        <item m="1" x="2799"/>
        <item m="1" x="7071"/>
        <item m="1" x="3716"/>
        <item m="1" x="3567"/>
        <item m="1" x="3032"/>
        <item m="1" x="1511"/>
        <item m="1" x="2729"/>
        <item m="1" x="4698"/>
        <item m="1" x="7981"/>
        <item m="1" x="989"/>
        <item m="1" x="4362"/>
        <item m="1" x="2627"/>
        <item m="1" x="7462"/>
        <item m="1" x="2019"/>
        <item m="1" x="4162"/>
        <item m="1" x="927"/>
        <item m="1" x="5647"/>
        <item m="1" x="1030"/>
        <item m="1" x="3950"/>
        <item m="1" x="7982"/>
        <item m="1" x="1271"/>
        <item m="1" x="5839"/>
        <item m="1" x="2139"/>
        <item m="1" x="1571"/>
        <item m="1" x="5403"/>
        <item m="1" x="2574"/>
        <item m="1" x="780"/>
        <item m="1" x="2086"/>
        <item m="1" x="2119"/>
        <item m="1" x="4519"/>
        <item m="1" x="6188"/>
        <item m="1" x="6471"/>
        <item m="1" x="7217"/>
        <item m="1" x="3175"/>
        <item m="1" x="6790"/>
        <item m="1" x="1117"/>
        <item m="1" x="2549"/>
        <item m="1" x="2290"/>
        <item m="1" x="6492"/>
        <item m="1" x="7971"/>
        <item m="1" x="5756"/>
        <item m="1" x="2924"/>
        <item m="1" x="5213"/>
        <item m="1" x="4578"/>
        <item m="1" x="3169"/>
        <item m="1" x="7991"/>
        <item m="1" x="6033"/>
        <item m="1" x="4781"/>
        <item m="1" x="2363"/>
        <item m="1" x="4697"/>
        <item m="1" x="1125"/>
        <item m="1" x="6854"/>
        <item m="1" x="7043"/>
        <item m="1" x="4236"/>
        <item m="1" x="3546"/>
        <item m="1" x="7361"/>
        <item m="1" x="2565"/>
        <item m="1" x="7988"/>
        <item m="1" x="7962"/>
        <item m="1" x="5497"/>
        <item m="1" x="2990"/>
        <item m="1" x="5788"/>
        <item m="1" x="5741"/>
        <item m="1" x="4852"/>
        <item m="1" x="3525"/>
        <item m="1" x="4000"/>
        <item m="1" x="1693"/>
        <item m="1" x="610"/>
        <item m="1" x="6062"/>
        <item m="1" x="238"/>
        <item m="1" x="3545"/>
        <item m="1" x="6386"/>
        <item m="1" x="3984"/>
        <item m="1" x="7111"/>
        <item m="1" x="1165"/>
        <item m="1" x="6688"/>
        <item m="1" x="2886"/>
        <item m="1" x="2300"/>
        <item m="1" x="6163"/>
        <item m="1" x="7990"/>
        <item m="1" x="7392"/>
        <item m="1" x="7935"/>
        <item m="1" x="6006"/>
        <item m="1" x="7475"/>
        <item m="1" x="6586"/>
        <item m="1" x="7717"/>
        <item m="1" x="2155"/>
        <item m="1" x="4693"/>
        <item m="1" x="6115"/>
        <item m="1" x="5590"/>
        <item m="1" x="3218"/>
        <item m="1" x="3017"/>
        <item m="1" x="4056"/>
        <item m="1" x="1090"/>
        <item m="1" x="1787"/>
        <item m="1" x="611"/>
        <item m="1" x="7922"/>
        <item m="1" x="4022"/>
        <item m="1" x="2670"/>
        <item m="1" x="1091"/>
        <item m="1" x="5034"/>
        <item m="1" x="5221"/>
        <item m="1" x="5682"/>
        <item m="1" x="7959"/>
        <item m="1" x="5613"/>
        <item m="1" x="7970"/>
        <item m="1" x="425"/>
        <item m="1" x="7983"/>
        <item m="1" x="3116"/>
        <item m="1" x="7995"/>
        <item m="1" x="1182"/>
        <item m="1" x="5679"/>
        <item m="1" x="7975"/>
        <item m="1" x="2181"/>
        <item m="1" x="5878"/>
        <item m="1" x="7358"/>
        <item m="1" x="6756"/>
        <item m="1" x="7473"/>
        <item m="1" x="2165"/>
        <item m="1" x="749"/>
        <item m="1" x="1555"/>
        <item m="1" x="5817"/>
        <item m="1" x="7097"/>
        <item m="1" x="1913"/>
        <item m="1" x="3758"/>
        <item m="1" x="7969"/>
        <item m="1" x="2548"/>
        <item m="1" x="7978"/>
        <item m="1" x="1098"/>
        <item m="1" x="3456"/>
        <item m="1" x="5235"/>
        <item m="1" x="685"/>
        <item m="1" x="803"/>
        <item m="1" x="4167"/>
        <item m="1" x="2409"/>
        <item m="1" x="525"/>
        <item m="1" x="4282"/>
        <item m="1" x="7965"/>
        <item m="1" x="2399"/>
        <item m="1" x="709"/>
        <item m="1" x="4938"/>
        <item m="1" x="7276"/>
        <item m="1" x="2564"/>
        <item m="1" x="6817"/>
        <item m="1" x="4531"/>
        <item m="1" x="3311"/>
        <item m="1" x="7992"/>
        <item m="1" x="4889"/>
        <item m="1" x="819"/>
        <item m="1" x="1650"/>
        <item m="1" x="7999"/>
        <item m="1" x="5594"/>
        <item m="1" x="4028"/>
        <item m="1" x="5528"/>
        <item m="1" x="6473"/>
        <item m="1" x="6092"/>
        <item m="1" x="3743"/>
        <item m="1" x="7993"/>
        <item m="1" x="5486"/>
        <item m="1" x="3647"/>
        <item m="1" x="7448"/>
        <item m="1" x="5525"/>
        <item m="1" x="4030"/>
        <item m="1" x="5157"/>
        <item m="1" x="6148"/>
        <item m="1" x="7907"/>
        <item m="1" x="1814"/>
        <item m="1" x="7242"/>
        <item m="1" x="7441"/>
        <item m="1" x="3640"/>
        <item m="1" x="4033"/>
        <item m="1" x="3563"/>
        <item m="1" x="5040"/>
        <item m="1" x="47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3">
    <field x="14"/>
    <field x="6"/>
    <field x="15"/>
  </rowFields>
  <rowItems count="423">
    <i>
      <x v="479"/>
    </i>
    <i>
      <x v="476"/>
    </i>
    <i>
      <x v="428"/>
    </i>
    <i>
      <x v="475"/>
    </i>
    <i>
      <x v="778"/>
    </i>
    <i>
      <x v="477"/>
    </i>
    <i>
      <x v="417"/>
    </i>
    <i>
      <x v="837"/>
    </i>
    <i>
      <x v="73"/>
    </i>
    <i>
      <x v="650"/>
    </i>
    <i>
      <x v="160"/>
    </i>
    <i>
      <x v="703"/>
    </i>
    <i>
      <x v="71"/>
    </i>
    <i>
      <x v="156"/>
    </i>
    <i>
      <x v="779"/>
    </i>
    <i>
      <x v="6"/>
    </i>
    <i>
      <x v="701"/>
    </i>
    <i>
      <x v="977"/>
    </i>
    <i>
      <x v="768"/>
    </i>
    <i>
      <x v="680"/>
    </i>
    <i>
      <x v="89"/>
    </i>
    <i>
      <x v="164"/>
    </i>
    <i>
      <x v="996"/>
    </i>
    <i>
      <x v="174"/>
    </i>
    <i>
      <x v="1105"/>
    </i>
    <i>
      <x v="110"/>
    </i>
    <i>
      <x v="11"/>
    </i>
    <i>
      <x v="496"/>
    </i>
    <i>
      <x v="511"/>
    </i>
    <i>
      <x/>
    </i>
    <i>
      <x v="1003"/>
    </i>
    <i>
      <x v="350"/>
    </i>
    <i>
      <x v="878"/>
    </i>
    <i>
      <x v="60"/>
    </i>
    <i>
      <x v="275"/>
    </i>
    <i>
      <x v="927"/>
    </i>
    <i>
      <x v="702"/>
    </i>
    <i>
      <x v="327"/>
    </i>
    <i>
      <x v="679"/>
    </i>
    <i>
      <x v="982"/>
    </i>
    <i>
      <x v="48"/>
    </i>
    <i>
      <x v="13"/>
    </i>
    <i>
      <x v="528"/>
    </i>
    <i>
      <x v="707"/>
    </i>
    <i>
      <x v="21"/>
    </i>
    <i>
      <x v="146"/>
    </i>
    <i>
      <x v="675"/>
    </i>
    <i>
      <x v="154"/>
    </i>
    <i>
      <x v="1012"/>
    </i>
    <i>
      <x v="114"/>
    </i>
    <i>
      <x v="975"/>
    </i>
    <i>
      <x v="3"/>
    </i>
    <i>
      <x v="662"/>
    </i>
    <i>
      <x v="51"/>
    </i>
    <i>
      <x v="490"/>
    </i>
    <i>
      <x v="27"/>
    </i>
    <i>
      <x v="599"/>
    </i>
    <i>
      <x v="168"/>
    </i>
    <i>
      <x v="538"/>
    </i>
    <i>
      <x v="1120"/>
    </i>
    <i>
      <x v="307"/>
    </i>
    <i>
      <x v="536"/>
    </i>
    <i>
      <x v="1113"/>
    </i>
    <i>
      <x v="1018"/>
    </i>
    <i>
      <x v="187"/>
    </i>
    <i>
      <x v="50"/>
    </i>
    <i>
      <x v="842"/>
    </i>
    <i>
      <x v="150"/>
    </i>
    <i>
      <x v="1022"/>
    </i>
    <i>
      <x v="22"/>
    </i>
    <i>
      <x v="145"/>
    </i>
    <i>
      <x v="159"/>
    </i>
    <i>
      <x v="913"/>
    </i>
    <i>
      <x v="105"/>
    </i>
    <i>
      <x v="567"/>
    </i>
    <i>
      <x v="1099"/>
    </i>
    <i>
      <x v="236"/>
    </i>
    <i>
      <x v="740"/>
    </i>
    <i>
      <x v="18"/>
    </i>
    <i>
      <x v="971"/>
    </i>
    <i>
      <x v="757"/>
    </i>
    <i>
      <x v="319"/>
    </i>
    <i>
      <x v="377"/>
    </i>
    <i>
      <x v="198"/>
    </i>
    <i>
      <x v="36"/>
    </i>
    <i>
      <x v="593"/>
    </i>
    <i>
      <x v="47"/>
    </i>
    <i>
      <x v="243"/>
    </i>
    <i>
      <x v="1041"/>
    </i>
    <i>
      <x v="624"/>
    </i>
    <i>
      <x v="720"/>
    </i>
    <i>
      <x v="4"/>
    </i>
    <i>
      <x v="640"/>
    </i>
    <i>
      <x v="1011"/>
    </i>
    <i>
      <x v="149"/>
    </i>
    <i>
      <x v="1079"/>
    </i>
    <i>
      <x v="1119"/>
    </i>
    <i>
      <x v="807"/>
    </i>
    <i>
      <x v="411"/>
    </i>
    <i>
      <x v="756"/>
    </i>
    <i>
      <x v="143"/>
    </i>
    <i>
      <x v="429"/>
    </i>
    <i>
      <x v="1090"/>
    </i>
    <i>
      <x v="1026"/>
    </i>
    <i>
      <x v="1015"/>
    </i>
    <i>
      <x v="871"/>
    </i>
    <i>
      <x v="783"/>
    </i>
    <i>
      <x v="991"/>
    </i>
    <i>
      <x v="334"/>
    </i>
    <i>
      <x v="956"/>
    </i>
    <i>
      <x v="1069"/>
    </i>
    <i>
      <x v="119"/>
    </i>
    <i>
      <x v="932"/>
    </i>
    <i>
      <x v="972"/>
    </i>
    <i>
      <x v="1025"/>
    </i>
    <i>
      <x v="1061"/>
    </i>
    <i>
      <x v="547"/>
    </i>
    <i>
      <x v="349"/>
    </i>
    <i>
      <x v="658"/>
    </i>
    <i>
      <x v="405"/>
    </i>
    <i>
      <x v="600"/>
    </i>
    <i>
      <x v="1056"/>
    </i>
    <i>
      <x v="1088"/>
    </i>
    <i>
      <x v="686"/>
    </i>
    <i>
      <x v="721"/>
    </i>
    <i>
      <x v="626"/>
    </i>
    <i>
      <x v="699"/>
    </i>
    <i>
      <x v="969"/>
    </i>
    <i>
      <x v="1108"/>
    </i>
    <i>
      <x v="710"/>
    </i>
    <i>
      <x v="271"/>
    </i>
    <i>
      <x v="70"/>
    </i>
    <i>
      <x v="602"/>
    </i>
    <i>
      <x v="709"/>
    </i>
    <i>
      <x v="332"/>
    </i>
    <i>
      <x v="848"/>
    </i>
    <i>
      <x v="499"/>
    </i>
    <i>
      <x v="322"/>
    </i>
    <i>
      <x v="72"/>
    </i>
    <i>
      <x v="732"/>
    </i>
    <i>
      <x v="929"/>
    </i>
    <i>
      <x v="831"/>
    </i>
    <i>
      <x v="437"/>
    </i>
    <i>
      <x v="42"/>
    </i>
    <i>
      <x v="325"/>
    </i>
    <i>
      <x v="1106"/>
    </i>
    <i>
      <x v="714"/>
    </i>
    <i>
      <x v="817"/>
    </i>
    <i>
      <x v="666"/>
    </i>
    <i>
      <x v="488"/>
    </i>
    <i>
      <x v="305"/>
    </i>
    <i>
      <x v="765"/>
    </i>
    <i>
      <x v="1031"/>
    </i>
    <i>
      <x v="937"/>
    </i>
    <i>
      <x v="1010"/>
    </i>
    <i>
      <x v="273"/>
    </i>
    <i>
      <x v="970"/>
    </i>
    <i>
      <x v="949"/>
    </i>
    <i>
      <x v="1117"/>
    </i>
    <i>
      <x v="161"/>
    </i>
    <i>
      <x v="794"/>
    </i>
    <i>
      <x v="388"/>
    </i>
    <i>
      <x v="577"/>
    </i>
    <i>
      <x v="742"/>
    </i>
    <i>
      <x v="562"/>
    </i>
    <i>
      <x v="1087"/>
    </i>
    <i>
      <x v="863"/>
    </i>
    <i>
      <x v="581"/>
    </i>
    <i>
      <x v="632"/>
    </i>
    <i>
      <x v="468"/>
    </i>
    <i>
      <x v="1109"/>
    </i>
    <i>
      <x v="945"/>
    </i>
    <i>
      <x v="1085"/>
    </i>
    <i>
      <x v="16"/>
    </i>
    <i>
      <x v="7"/>
    </i>
    <i>
      <x v="771"/>
    </i>
    <i>
      <x v="452"/>
    </i>
    <i>
      <x v="459"/>
    </i>
    <i>
      <x v="484"/>
    </i>
    <i>
      <x v="208"/>
    </i>
    <i>
      <x v="419"/>
    </i>
    <i>
      <x v="681"/>
    </i>
    <i>
      <x v="33"/>
    </i>
    <i>
      <x v="774"/>
    </i>
    <i>
      <x v="1035"/>
    </i>
    <i>
      <x v="1100"/>
    </i>
    <i>
      <x v="930"/>
    </i>
    <i>
      <x v="8"/>
    </i>
    <i>
      <x v="1111"/>
    </i>
    <i>
      <x v="596"/>
    </i>
    <i>
      <x v="1114"/>
    </i>
    <i>
      <x v="65"/>
    </i>
    <i>
      <x v="1102"/>
    </i>
    <i>
      <x v="678"/>
    </i>
    <i>
      <x v="1054"/>
    </i>
    <i>
      <x v="204"/>
    </i>
    <i>
      <x v="885"/>
    </i>
    <i>
      <x v="10"/>
    </i>
    <i>
      <x v="1057"/>
    </i>
    <i>
      <x v="106"/>
    </i>
    <i>
      <x v="963"/>
    </i>
    <i>
      <x v="571"/>
    </i>
    <i>
      <x v="2"/>
    </i>
    <i>
      <x v="1096"/>
    </i>
    <i>
      <x v="936"/>
    </i>
    <i>
      <x v="700"/>
    </i>
    <i>
      <x v="1000"/>
    </i>
    <i>
      <x v="1092"/>
    </i>
    <i>
      <x v="239"/>
    </i>
    <i>
      <x v="244"/>
    </i>
    <i>
      <x v="1089"/>
    </i>
    <i>
      <x v="729"/>
    </i>
    <i>
      <x v="347"/>
    </i>
    <i>
      <x v="177"/>
    </i>
    <i>
      <x v="246"/>
    </i>
    <i>
      <x v="1118"/>
    </i>
    <i>
      <x v="942"/>
    </i>
    <i>
      <x v="306"/>
    </i>
    <i>
      <x v="1067"/>
    </i>
    <i>
      <x v="989"/>
    </i>
    <i>
      <x v="1112"/>
    </i>
    <i>
      <x v="418"/>
    </i>
    <i>
      <x v="438"/>
    </i>
    <i>
      <x v="621"/>
    </i>
    <i>
      <x v="738"/>
    </i>
    <i>
      <x v="1030"/>
    </i>
    <i>
      <x v="718"/>
    </i>
    <i>
      <x v="762"/>
    </i>
    <i>
      <x v="558"/>
    </i>
    <i>
      <x v="844"/>
    </i>
    <i>
      <x v="1115"/>
    </i>
    <i>
      <x v="58"/>
    </i>
    <i>
      <x v="122"/>
    </i>
    <i>
      <x v="968"/>
    </i>
    <i>
      <x v="960"/>
    </i>
    <i>
      <x v="879"/>
    </i>
    <i>
      <x v="76"/>
    </i>
    <i>
      <x v="1098"/>
    </i>
    <i>
      <x v="1110"/>
    </i>
    <i>
      <x v="81"/>
    </i>
    <i>
      <x v="1070"/>
    </i>
    <i>
      <x v="947"/>
    </i>
    <i>
      <x v="918"/>
    </i>
    <i>
      <x v="415"/>
    </i>
    <i>
      <x v="804"/>
    </i>
    <i>
      <x v="53"/>
    </i>
    <i>
      <x v="1091"/>
    </i>
    <i>
      <x v="82"/>
    </i>
    <i>
      <x v="1084"/>
    </i>
    <i>
      <x v="750"/>
    </i>
    <i>
      <x v="554"/>
    </i>
    <i>
      <x v="862"/>
    </i>
    <i>
      <x v="755"/>
    </i>
    <i>
      <x v="967"/>
    </i>
    <i>
      <x v="348"/>
    </i>
    <i>
      <x v="773"/>
    </i>
    <i>
      <x v="1007"/>
    </i>
    <i>
      <x v="250"/>
    </i>
    <i>
      <x v="249"/>
    </i>
    <i>
      <x v="622"/>
    </i>
    <i>
      <x v="1095"/>
    </i>
    <i>
      <x v="1103"/>
    </i>
    <i>
      <x v="1068"/>
    </i>
    <i>
      <x v="825"/>
    </i>
    <i>
      <x v="717"/>
    </i>
    <i>
      <x v="118"/>
    </i>
    <i>
      <x v="1101"/>
    </i>
    <i>
      <x v="586"/>
    </i>
    <i>
      <x v="1094"/>
    </i>
    <i>
      <x v="851"/>
    </i>
    <i>
      <x v="447"/>
    </i>
    <i>
      <x v="142"/>
    </i>
    <i>
      <x v="873"/>
    </i>
    <i>
      <x v="1038"/>
    </i>
    <i>
      <x v="1013"/>
    </i>
    <i>
      <x v="1116"/>
    </i>
    <i>
      <x v="668"/>
    </i>
    <i>
      <x v="735"/>
    </i>
    <i>
      <x v="840"/>
    </i>
    <i>
      <x v="634"/>
    </i>
    <i>
      <x v="920"/>
    </i>
    <i>
      <x v="1107"/>
    </i>
    <i>
      <x v="1086"/>
    </i>
    <i>
      <x v="1093"/>
    </i>
    <i>
      <x v="326"/>
    </i>
    <i>
      <x v="1044"/>
    </i>
    <i>
      <x v="1097"/>
    </i>
    <i>
      <x v="1104"/>
    </i>
    <i>
      <x v="215"/>
    </i>
    <i>
      <x v="387"/>
    </i>
    <i>
      <x v="224"/>
    </i>
    <i>
      <x v="803"/>
    </i>
    <i>
      <x v="898"/>
    </i>
    <i>
      <x v="919"/>
    </i>
    <i>
      <x v="706"/>
    </i>
    <i>
      <x v="881"/>
    </i>
    <i>
      <x v="826"/>
    </i>
    <i>
      <x v="923"/>
    </i>
    <i>
      <x v="268"/>
    </i>
    <i>
      <x v="90"/>
    </i>
    <i>
      <x v="904"/>
    </i>
    <i>
      <x v="647"/>
    </i>
    <i>
      <x v="1004"/>
    </i>
    <i>
      <x v="74"/>
    </i>
    <i>
      <x v="340"/>
    </i>
    <i>
      <x v="288"/>
    </i>
    <i>
      <x v="877"/>
    </i>
    <i>
      <x v="172"/>
    </i>
    <i>
      <x v="587"/>
    </i>
    <i>
      <x v="660"/>
    </i>
    <i>
      <x v="589"/>
    </i>
    <i>
      <x v="939"/>
    </i>
    <i>
      <x v="628"/>
    </i>
    <i>
      <x v="940"/>
    </i>
    <i>
      <x v="994"/>
    </i>
    <i>
      <x v="433"/>
    </i>
    <i>
      <x v="998"/>
    </i>
    <i>
      <x v="944"/>
    </i>
    <i>
      <x v="1002"/>
    </i>
    <i>
      <x v="549"/>
    </i>
    <i>
      <x v="1006"/>
    </i>
    <i>
      <x v="946"/>
    </i>
    <i>
      <x v="108"/>
    </i>
    <i>
      <x v="251"/>
    </i>
    <i>
      <x v="820"/>
    </i>
    <i>
      <x v="948"/>
    </i>
    <i>
      <x v="582"/>
    </i>
    <i>
      <x v="883"/>
    </i>
    <i>
      <x v="905"/>
    </i>
    <i>
      <x v="950"/>
    </i>
    <i>
      <x v="540"/>
    </i>
    <i>
      <x v="294"/>
    </i>
    <i>
      <x v="379"/>
    </i>
    <i>
      <x v="958"/>
    </i>
    <i>
      <x v="726"/>
    </i>
    <i>
      <x v="959"/>
    </i>
    <i>
      <x v="896"/>
    </i>
    <i>
      <x v="809"/>
    </i>
    <i>
      <x v="911"/>
    </i>
    <i>
      <x v="961"/>
    </i>
    <i>
      <x v="917"/>
    </i>
    <i>
      <x v="747"/>
    </i>
    <i>
      <x v="962"/>
    </i>
    <i>
      <x v="795"/>
    </i>
    <i>
      <x v="131"/>
    </i>
    <i>
      <x v="995"/>
    </i>
    <i>
      <x v="964"/>
    </i>
    <i>
      <x v="997"/>
    </i>
    <i>
      <x v="965"/>
    </i>
    <i>
      <x v="999"/>
    </i>
    <i>
      <x v="966"/>
    </i>
    <i>
      <x v="1001"/>
    </i>
    <i>
      <x v="815"/>
    </i>
    <i>
      <x v="216"/>
    </i>
    <i>
      <x v="186"/>
    </i>
    <i>
      <x v="1005"/>
    </i>
    <i>
      <x v="79"/>
    </i>
    <i>
      <x v="818"/>
    </i>
    <i>
      <x v="133"/>
    </i>
    <i>
      <x v="217"/>
    </i>
    <i>
      <x v="625"/>
    </i>
    <i>
      <x v="270"/>
    </i>
    <i>
      <x v="93"/>
    </i>
    <i>
      <x v="139"/>
    </i>
    <i>
      <x v="973"/>
    </i>
    <i>
      <x v="109"/>
    </i>
    <i>
      <x v="974"/>
    </i>
    <i>
      <x v="712"/>
    </i>
    <i>
      <x v="311"/>
    </i>
    <i>
      <x v="785"/>
    </i>
    <i>
      <x v="245"/>
    </i>
    <i>
      <x v="360"/>
    </i>
    <i>
      <x v="41"/>
    </i>
    <i>
      <x v="1053"/>
    </i>
    <i>
      <x v="978"/>
    </i>
    <i>
      <x v="365"/>
    </i>
    <i>
      <x v="979"/>
    </i>
    <i>
      <x v="111"/>
    </i>
    <i>
      <x v="980"/>
    </i>
    <i>
      <x v="833"/>
    </i>
    <i>
      <x v="981"/>
    </i>
    <i>
      <x v="260"/>
    </i>
    <i>
      <x v="31"/>
    </i>
    <i>
      <x v="894"/>
    </i>
    <i>
      <x v="983"/>
    </i>
    <i>
      <x v="907"/>
    </i>
    <i>
      <x v="984"/>
    </i>
    <i>
      <x v="140"/>
    </i>
    <i>
      <x v="985"/>
    </i>
    <i>
      <x v="112"/>
    </i>
    <i>
      <x v="986"/>
    </i>
    <i>
      <x v="595"/>
    </i>
    <i>
      <x v="739"/>
    </i>
    <i>
      <x v="843"/>
    </i>
    <i>
      <x v="544"/>
    </i>
    <i>
      <x v="128"/>
    </i>
    <i>
      <x v="462"/>
    </i>
    <i>
      <x v="987"/>
    </i>
    <i>
      <x v="241"/>
    </i>
    <i>
      <x v="988"/>
    </i>
    <i>
      <x v="789"/>
    </i>
    <i>
      <x v="855"/>
    </i>
    <i>
      <x v="852"/>
    </i>
    <i>
      <x v="776"/>
    </i>
    <i>
      <x v="414"/>
    </i>
    <i>
      <x v="639"/>
    </i>
    <i>
      <x v="40"/>
    </i>
    <i>
      <x v="456"/>
    </i>
    <i>
      <x v="751"/>
    </i>
    <i>
      <x v="990"/>
    </i>
    <i>
      <x v="864"/>
    </i>
    <i>
      <x v="761"/>
    </i>
    <i>
      <x v="117"/>
    </i>
    <i>
      <x v="516"/>
    </i>
    <i>
      <x v="635"/>
    </i>
    <i>
      <x v="601"/>
    </i>
    <i>
      <x v="443"/>
    </i>
    <i>
      <x v="763"/>
    </i>
    <i>
      <x v="992"/>
    </i>
    <i>
      <x v="866"/>
    </i>
    <i>
      <x v="993"/>
    </i>
    <i>
      <x v="97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.  Sales _x000a_2023 " fld="10" baseField="4" baseItem="7" numFmtId="169"/>
    <dataField name="C. Sales _x000a_2022 " fld="9" baseField="4" baseItem="7" numFmtId="169"/>
    <dataField name="C. Sales Δ _x000a_23 vs 22" fld="16" baseField="0" baseItem="0" numFmtId="42"/>
    <dataField name="C. Sales % _x000a_Δ 23 vs 22" fld="17" baseField="0" baseItem="0" numFmtId="165"/>
    <dataField name="YD² _x000a_2023   " fld="12" baseField="13" baseItem="117" numFmtId="3"/>
    <dataField name="YD² _x000a_2022  " fld="11" baseField="13" baseItem="117" numFmtId="3"/>
    <dataField name="Yd² Δ _x000a_23 vs 22" fld="18" baseField="0" baseItem="0" numFmtId="3"/>
    <dataField name="Yd² % Δ _x000a_23 vs 22" fld="19" baseField="0" baseItem="0" numFmtId="165"/>
  </dataFields>
  <formats count="9">
    <format dxfId="8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2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81">
      <pivotArea dataOnly="0" outline="0" fieldPosition="0">
        <references count="1">
          <reference field="4294967294" count="1">
            <x v="4"/>
          </reference>
        </references>
      </pivotArea>
    </format>
    <format dxfId="80">
      <pivotArea dataOnly="0" outline="0" fieldPosition="0">
        <references count="1">
          <reference field="4294967294" count="1">
            <x v="7"/>
          </reference>
        </references>
      </pivotArea>
    </format>
    <format dxfId="79">
      <pivotArea field="13" type="button" dataOnly="0" labelOnly="1" outline="0"/>
    </format>
  </formats>
  <conditionalFormats count="4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2">
    <filter fld="14" type="captionNotEqual" evalOrder="-1" id="3" stringValue1="(blank)">
      <autoFilter ref="A1">
        <filterColumn colId="0">
          <customFilters>
            <customFilter operator="notEqual" val="(blank)"/>
          </customFilters>
        </filterColumn>
      </autoFilter>
    </filter>
    <filter fld="13" type="captionNotEqual" evalOrder="-1" id="2" stringValue1="(blank)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Product Type  -  Material">
  <location ref="A1:I69" firstHeaderRow="0" firstDataRow="1" firstDataCol="1"/>
  <pivotFields count="20">
    <pivotField showAll="0"/>
    <pivotField showAll="0"/>
    <pivotField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 defaultSubtotal="0"/>
    <pivotField showAll="0" defaultSubtotal="0"/>
    <pivotField axis="axisRow" showAll="0" sortType="descending">
      <items count="115">
        <item sd="0" m="1" x="87"/>
        <item sd="0" m="1" x="91"/>
        <item sd="0" x="56"/>
        <item sd="0" x="21"/>
        <item sd="0" x="0"/>
        <item sd="0" x="1"/>
        <item sd="0" m="1" x="80"/>
        <item sd="0" m="1" x="72"/>
        <item sd="0" x="15"/>
        <item sd="0" x="60"/>
        <item sd="0" x="11"/>
        <item sd="0" x="12"/>
        <item sd="0" x="24"/>
        <item sd="0" x="25"/>
        <item sd="0" x="37"/>
        <item sd="0" m="1" x="69"/>
        <item sd="0" x="31"/>
        <item sd="0" x="36"/>
        <item sd="0" x="14"/>
        <item sd="0" x="20"/>
        <item sd="0" m="1" x="92"/>
        <item sd="0" x="8"/>
        <item sd="0" m="1" x="106"/>
        <item sd="0" x="33"/>
        <item sd="0" x="16"/>
        <item sd="0" m="1" x="68"/>
        <item sd="0" x="3"/>
        <item sd="0" x="2"/>
        <item sd="0" x="34"/>
        <item sd="0" x="38"/>
        <item sd="0" x="6"/>
        <item sd="0" x="5"/>
        <item sd="0" x="19"/>
        <item sd="0" x="46"/>
        <item sd="0" x="22"/>
        <item sd="0" m="1" x="101"/>
        <item sd="0" x="62"/>
        <item sd="0" x="63"/>
        <item sd="0" x="57"/>
        <item sd="0" m="1" x="89"/>
        <item sd="0" m="1" x="96"/>
        <item sd="0" m="1" x="74"/>
        <item sd="0" x="9"/>
        <item sd="0" x="30"/>
        <item sd="0" x="67"/>
        <item sd="0" x="40"/>
        <item sd="0" x="52"/>
        <item sd="0" x="45"/>
        <item sd="0" m="1" x="94"/>
        <item sd="0" x="4"/>
        <item sd="0" x="23"/>
        <item sd="0" x="29"/>
        <item sd="0" m="1" x="79"/>
        <item sd="0" m="1" x="112"/>
        <item sd="0" x="7"/>
        <item sd="0" x="17"/>
        <item sd="0" m="1" x="99"/>
        <item sd="0" x="18"/>
        <item sd="0" x="10"/>
        <item sd="0" m="1" x="73"/>
        <item sd="0" x="35"/>
        <item sd="0" m="1" x="95"/>
        <item sd="0" x="39"/>
        <item sd="0" m="1" x="100"/>
        <item sd="0" m="1" x="111"/>
        <item sd="0" m="1" x="84"/>
        <item sd="0" m="1" x="77"/>
        <item sd="0" x="65"/>
        <item sd="0" x="61"/>
        <item sd="0" x="50"/>
        <item sd="0" x="13"/>
        <item sd="0" m="1" x="98"/>
        <item sd="0" m="1" x="107"/>
        <item sd="0" m="1" x="71"/>
        <item sd="0" x="55"/>
        <item sd="0" x="49"/>
        <item sd="0" m="1" x="105"/>
        <item sd="0" m="1" x="104"/>
        <item sd="0" m="1" x="78"/>
        <item sd="0" m="1" x="97"/>
        <item sd="0" m="1" x="83"/>
        <item sd="0" x="64"/>
        <item sd="0" x="44"/>
        <item sd="0" x="26"/>
        <item sd="0" m="1" x="113"/>
        <item sd="0" x="28"/>
        <item sd="0" m="1" x="75"/>
        <item sd="0" x="41"/>
        <item sd="0" m="1" x="85"/>
        <item sd="0" x="32"/>
        <item sd="0" x="42"/>
        <item sd="0" m="1" x="76"/>
        <item sd="0" x="53"/>
        <item sd="0" m="1" x="86"/>
        <item sd="0" x="59"/>
        <item sd="0" m="1" x="110"/>
        <item sd="0" x="54"/>
        <item sd="0" m="1" x="90"/>
        <item sd="0" x="43"/>
        <item sd="0" x="47"/>
        <item sd="0" m="1" x="108"/>
        <item sd="0" m="1" x="82"/>
        <item sd="0" m="1" x="81"/>
        <item sd="0" m="1" x="93"/>
        <item sd="0" m="1" x="102"/>
        <item sd="0" m="1" x="103"/>
        <item sd="0" x="27"/>
        <item sd="0" x="48"/>
        <item sd="0" m="1" x="70"/>
        <item sd="0" x="51"/>
        <item m="1" x="88"/>
        <item m="1" x="109"/>
        <item sd="0" x="66"/>
        <item sd="0" x="5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/>
    <pivotField dataField="1" showAll="0"/>
    <pivotField dataField="1" showAll="0"/>
    <pivotField dataField="1" showAll="0" defaultSubtotal="0"/>
    <pivotField dataField="1" showAll="0" defaultSubtota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8000">
        <item x="221"/>
        <item m="1" x="4738"/>
        <item m="1" x="1231"/>
        <item m="1" x="6004"/>
        <item m="1" x="1592"/>
        <item m="1" x="1760"/>
        <item m="1" x="4822"/>
        <item m="1" x="6869"/>
        <item m="1" x="2369"/>
        <item m="1" x="7490"/>
        <item m="1" x="5219"/>
        <item m="1" x="6413"/>
        <item m="1" x="2476"/>
        <item m="1" x="2395"/>
        <item m="1" x="7718"/>
        <item m="1" x="2926"/>
        <item m="1" x="6284"/>
        <item m="1" x="5206"/>
        <item m="1" x="7805"/>
        <item m="1" x="5424"/>
        <item m="1" x="4550"/>
        <item m="1" x="381"/>
        <item m="1" x="7972"/>
        <item m="1" x="6422"/>
        <item m="1" x="1687"/>
        <item m="1" x="4499"/>
        <item m="1" x="2200"/>
        <item m="1" x="5743"/>
        <item m="1" x="1222"/>
        <item m="1" x="5940"/>
        <item m="1" x="6449"/>
        <item m="1" x="266"/>
        <item m="1" x="5635"/>
        <item m="1" x="1248"/>
        <item m="1" x="5935"/>
        <item m="1" x="4454"/>
        <item m="1" x="6600"/>
        <item m="1" x="3434"/>
        <item m="1" x="6421"/>
        <item m="1" x="1195"/>
        <item m="1" x="5742"/>
        <item m="1" x="274"/>
        <item m="1" x="6374"/>
        <item m="1" x="7095"/>
        <item m="1" x="7845"/>
        <item m="1" x="2712"/>
        <item m="1" x="5461"/>
        <item m="1" x="5401"/>
        <item m="1" x="5938"/>
        <item m="1" x="1213"/>
        <item m="1" x="2028"/>
        <item m="1" x="3183"/>
        <item m="1" x="251"/>
        <item m="1" x="1831"/>
        <item m="1" x="1042"/>
        <item m="1" x="5014"/>
        <item m="1" x="2012"/>
        <item m="1" x="3346"/>
        <item m="1" x="4684"/>
        <item m="1" x="7449"/>
        <item m="1" x="7731"/>
        <item m="1" x="1232"/>
        <item m="1" x="866"/>
        <item m="1" x="2663"/>
        <item m="1" x="4369"/>
        <item m="1" x="4779"/>
        <item m="1" x="3435"/>
        <item m="1" x="3554"/>
        <item m="1" x="2008"/>
        <item m="1" x="6302"/>
        <item m="1" x="7940"/>
        <item m="1" x="2721"/>
        <item m="1" x="3124"/>
        <item m="1" x="6812"/>
        <item m="1" x="644"/>
        <item m="1" x="2828"/>
        <item m="1" x="2834"/>
        <item m="1" x="3862"/>
        <item m="1" x="6106"/>
        <item m="1" x="2584"/>
        <item m="1" x="5482"/>
        <item m="1" x="971"/>
        <item m="1" x="4393"/>
        <item m="1" x="1508"/>
        <item m="1" x="6346"/>
        <item m="1" x="4082"/>
        <item m="1" x="6558"/>
        <item m="1" x="5725"/>
        <item m="1" x="1930"/>
        <item m="1" x="1341"/>
        <item m="1" x="2118"/>
        <item m="1" x="4327"/>
        <item m="1" x="2052"/>
        <item m="1" x="5290"/>
        <item m="1" x="2882"/>
        <item m="1" x="6640"/>
        <item m="1" x="5263"/>
        <item m="1" x="4692"/>
        <item m="1" x="919"/>
        <item m="1" x="4534"/>
        <item m="1" x="4264"/>
        <item m="1" x="2838"/>
        <item m="1" x="2510"/>
        <item m="1" x="6988"/>
        <item m="1" x="3706"/>
        <item m="1" x="2880"/>
        <item m="1" x="3402"/>
        <item m="1" x="5656"/>
        <item m="1" x="1007"/>
        <item m="1" x="6475"/>
        <item m="1" x="1995"/>
        <item m="1" x="7967"/>
        <item m="1" x="4168"/>
        <item m="1" x="1418"/>
        <item m="1" x="6387"/>
        <item m="1" x="6684"/>
        <item m="1" x="1069"/>
        <item m="1" x="7309"/>
        <item m="1" x="2358"/>
        <item m="1" x="5118"/>
        <item m="1" x="934"/>
        <item m="1" x="4732"/>
        <item m="1" x="6592"/>
        <item m="1" x="6202"/>
        <item m="1" x="2054"/>
        <item m="1" x="816"/>
        <item m="1" x="2731"/>
        <item m="1" x="3464"/>
        <item m="1" x="5802"/>
        <item m="1" x="7593"/>
        <item m="1" x="1883"/>
        <item m="1" x="6277"/>
        <item m="1" x="1625"/>
        <item m="1" x="5889"/>
        <item m="1" x="2992"/>
        <item m="1" x="2943"/>
        <item m="1" x="4783"/>
        <item m="1" x="4631"/>
        <item m="1" x="3658"/>
        <item m="1" x="597"/>
        <item m="1" x="1523"/>
        <item m="1" x="2270"/>
        <item m="1" x="1828"/>
        <item m="1" x="3731"/>
        <item m="1" x="382"/>
        <item m="1" x="7779"/>
        <item m="1" x="7793"/>
        <item m="1" x="2790"/>
        <item m="1" x="756"/>
        <item m="1" x="558"/>
        <item m="1" x="1873"/>
        <item m="1" x="2538"/>
        <item m="1" x="3219"/>
        <item m="1" x="4302"/>
        <item m="1" x="5021"/>
        <item m="1" x="5459"/>
        <item m="1" x="7703"/>
        <item m="1" x="6436"/>
        <item m="1" x="7527"/>
        <item m="1" x="3700"/>
        <item m="1" x="7601"/>
        <item m="1" x="5441"/>
        <item m="1" x="5175"/>
        <item m="1" x="7371"/>
        <item m="1" x="5532"/>
        <item m="1" x="3764"/>
        <item m="1" x="1800"/>
        <item m="1" x="2778"/>
        <item m="1" x="6794"/>
        <item m="1" x="5863"/>
        <item m="1" x="1761"/>
        <item m="1" x="313"/>
        <item m="1" x="3486"/>
        <item m="1" x="3734"/>
        <item m="1" x="7879"/>
        <item m="1" x="5362"/>
        <item m="1" x="1713"/>
        <item m="1" x="1184"/>
        <item m="1" x="3695"/>
        <item m="1" x="6866"/>
        <item m="1" x="7974"/>
        <item m="1" x="6342"/>
        <item m="1" x="5276"/>
        <item m="1" x="5690"/>
        <item m="1" x="6631"/>
        <item m="1" x="5325"/>
        <item m="1" x="2126"/>
        <item m="1" x="1059"/>
        <item m="1" x="3323"/>
        <item m="1" x="4802"/>
        <item m="1" x="4791"/>
        <item m="1" x="3588"/>
        <item m="1" x="6260"/>
        <item m="1" x="862"/>
        <item m="1" x="3061"/>
        <item m="1" x="7863"/>
        <item m="1" x="1142"/>
        <item m="1" x="4083"/>
        <item m="1" x="3966"/>
        <item m="1" x="3305"/>
        <item m="1" x="5846"/>
        <item m="1" x="3092"/>
        <item m="1" x="3552"/>
        <item m="1" x="2909"/>
        <item m="1" x="431"/>
        <item m="1" x="6187"/>
        <item m="1" x="5926"/>
        <item m="1" x="6801"/>
        <item m="1" x="5060"/>
        <item m="1" x="651"/>
        <item m="1" x="5550"/>
        <item m="1" x="714"/>
        <item m="1" x="4515"/>
        <item m="1" x="3489"/>
        <item m="1" x="5442"/>
        <item m="1" x="2803"/>
        <item m="1" x="1817"/>
        <item m="1" x="4986"/>
        <item m="1" x="1968"/>
        <item m="1" x="836"/>
        <item m="1" x="1949"/>
        <item m="1" x="556"/>
        <item m="1" x="1722"/>
        <item m="1" x="3977"/>
        <item m="1" x="6155"/>
        <item m="1" x="3227"/>
        <item m="1" x="3131"/>
        <item m="1" x="7007"/>
        <item m="1" x="7847"/>
        <item m="1" x="7416"/>
        <item m="1" x="4977"/>
        <item m="1" x="2545"/>
        <item m="1" x="6902"/>
        <item m="1" x="7770"/>
        <item m="1" x="534"/>
        <item m="1" x="5518"/>
        <item m="1" x="6674"/>
        <item m="1" x="7637"/>
        <item m="1" x="3448"/>
        <item m="1" x="596"/>
        <item m="1" x="7228"/>
        <item m="1" x="1436"/>
        <item m="1" x="4248"/>
        <item m="1" x="2779"/>
        <item m="1" x="3191"/>
        <item m="1" x="7339"/>
        <item m="1" x="2925"/>
        <item m="1" x="5630"/>
        <item m="1" x="2452"/>
        <item m="1" x="5058"/>
        <item m="1" x="3303"/>
        <item m="1" x="6654"/>
        <item m="1" x="3204"/>
        <item m="1" x="5390"/>
        <item m="1" x="6825"/>
        <item m="1" x="7928"/>
        <item m="1" x="6807"/>
        <item m="1" x="2259"/>
        <item m="1" x="7756"/>
        <item m="1" x="1050"/>
        <item m="1" x="1243"/>
        <item m="1" x="6806"/>
        <item m="1" x="6840"/>
        <item m="1" x="1311"/>
        <item m="1" x="2442"/>
        <item m="1" x="3325"/>
        <item m="1" x="2970"/>
        <item m="1" x="704"/>
        <item m="1" x="3949"/>
        <item m="1" x="7745"/>
        <item m="1" x="5610"/>
        <item m="1" x="3948"/>
        <item m="1" x="1028"/>
        <item m="1" x="3479"/>
        <item m="1" x="6912"/>
        <item m="1" x="6732"/>
        <item m="1" x="6290"/>
        <item m="1" x="5745"/>
        <item m="1" x="2682"/>
        <item m="1" x="5601"/>
        <item m="1" x="7587"/>
        <item m="1" x="5706"/>
        <item m="1" x="2379"/>
        <item m="1" x="7783"/>
        <item m="1" x="2881"/>
        <item m="1" x="7821"/>
        <item m="1" x="7500"/>
        <item m="1" x="5331"/>
        <item m="1" x="2933"/>
        <item m="1" x="6099"/>
        <item m="1" x="4710"/>
        <item m="1" x="4080"/>
        <item m="1" x="396"/>
        <item m="1" x="6124"/>
        <item m="1" x="4370"/>
        <item m="1" x="2556"/>
        <item m="1" x="3568"/>
        <item m="1" x="5143"/>
        <item m="1" x="7511"/>
        <item m="1" x="1605"/>
        <item m="1" x="3472"/>
        <item m="1" x="2581"/>
        <item m="1" x="2268"/>
        <item m="1" x="7522"/>
        <item m="1" x="5752"/>
        <item m="1" x="7305"/>
        <item m="1" x="5987"/>
        <item m="1" x="4991"/>
        <item m="1" x="1328"/>
        <item m="1" x="6486"/>
        <item m="1" x="6666"/>
        <item m="1" x="6022"/>
        <item m="1" x="6560"/>
        <item m="1" x="773"/>
        <item m="1" x="7933"/>
        <item m="1" x="1675"/>
        <item m="1" x="5053"/>
        <item m="1" x="1350"/>
        <item m="1" x="2264"/>
        <item m="1" x="6370"/>
        <item m="1" x="497"/>
        <item m="1" x="983"/>
        <item m="1" x="3152"/>
        <item m="1" x="6031"/>
        <item m="1" x="3185"/>
        <item m="1" x="7065"/>
        <item m="1" x="1673"/>
        <item m="1" x="3780"/>
        <item m="1" x="1963"/>
        <item m="1" x="5950"/>
        <item m="1" x="2341"/>
        <item m="1" x="2895"/>
        <item m="1" x="3003"/>
        <item m="1" x="1851"/>
        <item m="1" x="6643"/>
        <item m="1" x="7211"/>
        <item m="1" x="6258"/>
        <item m="1" x="681"/>
        <item m="1" x="3362"/>
        <item m="1" x="7893"/>
        <item m="1" x="5141"/>
        <item m="1" x="2787"/>
        <item m="1" x="3995"/>
        <item m="1" x="5823"/>
        <item m="1" x="2530"/>
        <item m="1" x="6194"/>
        <item m="1" x="7263"/>
        <item m="1" x="5860"/>
        <item m="1" x="903"/>
        <item m="1" x="6793"/>
        <item m="1" x="3201"/>
        <item m="1" x="1735"/>
        <item m="1" x="1752"/>
        <item m="1" x="4627"/>
        <item m="1" x="4763"/>
        <item m="1" x="3799"/>
        <item m="1" x="7976"/>
        <item m="1" x="6690"/>
        <item m="1" x="2974"/>
        <item m="1" x="5027"/>
        <item m="1" x="6535"/>
        <item m="1" x="1429"/>
        <item m="1" x="4113"/>
        <item m="1" x="5687"/>
        <item m="1" x="3181"/>
        <item m="1" x="1454"/>
        <item m="1" x="2853"/>
        <item m="1" x="933"/>
        <item m="1" x="6815"/>
        <item m="1" x="6228"/>
        <item m="1" x="7631"/>
        <item m="1" x="4500"/>
        <item m="1" x="6842"/>
        <item m="1" x="6085"/>
        <item m="1" x="4666"/>
        <item m="1" x="5547"/>
        <item m="1" x="7136"/>
        <item m="1" x="3763"/>
        <item m="1" x="7266"/>
        <item m="1" x="2194"/>
        <item m="1" x="6114"/>
        <item m="1" x="4388"/>
        <item m="1" x="6583"/>
        <item m="1" x="3093"/>
        <item m="1" x="1452"/>
        <item m="1" x="6438"/>
        <item m="1" x="5394"/>
        <item m="1" x="6886"/>
        <item m="1" x="5831"/>
        <item m="1" x="5684"/>
        <item m="1" x="2665"/>
        <item m="1" x="3986"/>
        <item m="1" x="3506"/>
        <item m="1" x="4543"/>
        <item m="1" x="5168"/>
        <item m="1" x="5370"/>
        <item m="1" x="4913"/>
        <item m="1" x="2015"/>
        <item m="1" x="6636"/>
        <item m="1" x="778"/>
        <item m="1" x="5760"/>
        <item m="1" x="4058"/>
        <item m="1" x="5990"/>
        <item m="1" x="1920"/>
        <item m="1" x="7386"/>
        <item m="1" x="2519"/>
        <item m="1" x="4048"/>
        <item m="1" x="4422"/>
        <item m="1" x="2554"/>
        <item m="1" x="6462"/>
        <item m="1" x="6499"/>
        <item m="1" x="249"/>
        <item m="1" x="5095"/>
        <item m="1" x="807"/>
        <item m="1" x="6410"/>
        <item m="1" x="5277"/>
        <item m="1" x="3796"/>
        <item m="1" x="5318"/>
        <item m="1" x="7592"/>
        <item m="1" x="4658"/>
        <item m="1" x="6371"/>
        <item m="1" x="1803"/>
        <item m="1" x="261"/>
        <item m="1" x="785"/>
        <item m="1" x="3507"/>
        <item m="1" x="415"/>
        <item m="1" x="7412"/>
        <item m="1" x="2073"/>
        <item m="1" x="4953"/>
        <item m="1" x="677"/>
        <item m="1" x="7908"/>
        <item m="1" x="2477"/>
        <item m="1" x="3260"/>
        <item m="1" x="3129"/>
        <item m="1" x="6026"/>
        <item m="1" x="3085"/>
        <item m="1" x="7578"/>
        <item m="1" x="2611"/>
        <item m="1" x="2177"/>
        <item m="1" x="7524"/>
        <item m="1" x="368"/>
        <item m="1" x="5662"/>
        <item m="1" x="3792"/>
        <item m="1" x="2617"/>
        <item m="1" x="6397"/>
        <item m="1" x="4346"/>
        <item m="1" x="4099"/>
        <item m="1" x="3460"/>
        <item m="1" x="6261"/>
        <item m="1" x="6729"/>
        <item m="1" x="7289"/>
        <item m="1" x="527"/>
        <item m="1" x="4186"/>
        <item m="1" x="6304"/>
        <item m="1" x="4973"/>
        <item m="1" x="6799"/>
        <item m="1" x="3309"/>
        <item m="1" x="2298"/>
        <item m="1" x="1780"/>
        <item m="1" x="3379"/>
        <item m="1" x="4497"/>
        <item m="1" x="4243"/>
        <item m="1" x="6835"/>
        <item m="1" x="5790"/>
        <item m="1" x="2357"/>
        <item m="1" x="7310"/>
        <item m="1" x="6761"/>
        <item m="1" x="3482"/>
        <item m="1" x="6380"/>
        <item m="1" x="2473"/>
        <item m="1" x="7128"/>
        <item m="1" x="7016"/>
        <item m="1" x="6058"/>
        <item m="1" x="2722"/>
        <item m="1" x="5196"/>
        <item m="1" x="4709"/>
        <item m="1" x="2328"/>
        <item m="1" x="2441"/>
        <item m="1" x="1959"/>
        <item m="1" x="5545"/>
        <item m="1" x="6043"/>
        <item m="1" x="6353"/>
        <item m="1" x="4423"/>
        <item m="1" x="6061"/>
        <item m="1" x="2381"/>
        <item m="1" x="3046"/>
        <item m="1" x="5867"/>
        <item m="1" x="1190"/>
        <item m="1" x="262"/>
        <item m="1" x="6998"/>
        <item m="1" x="2652"/>
        <item m="1" x="6650"/>
        <item m="1" x="1409"/>
        <item m="1" x="1705"/>
        <item m="1" x="5352"/>
        <item m="1" x="3298"/>
        <item m="1" x="5709"/>
        <item m="1" x="7036"/>
        <item m="1" x="7576"/>
        <item m="1" x="4289"/>
        <item m="1" x="7321"/>
        <item m="1" x="2945"/>
        <item m="1" x="6713"/>
        <item m="1" x="7002"/>
        <item m="1" x="4896"/>
        <item m="1" x="4890"/>
        <item m="1" x="462"/>
        <item m="1" x="1228"/>
        <item m="1" x="7855"/>
        <item m="1" x="2806"/>
        <item m="1" x="2286"/>
        <item m="1" x="719"/>
        <item m="1" x="2929"/>
        <item m="1" x="1502"/>
        <item m="1" x="5652"/>
        <item m="1" x="840"/>
        <item m="1" x="6345"/>
        <item m="1" x="6848"/>
        <item m="1" x="3709"/>
        <item m="1" x="3607"/>
        <item m="1" x="4036"/>
        <item m="1" x="4104"/>
        <item m="1" x="6472"/>
        <item m="1" x="1602"/>
        <item m="1" x="6731"/>
        <item m="1" x="5243"/>
        <item m="1" x="3228"/>
        <item m="1" x="1674"/>
        <item m="1" x="3673"/>
        <item m="1" x="5254"/>
        <item m="1" x="3004"/>
        <item m="1" x="5986"/>
        <item m="1" x="6189"/>
        <item m="1" x="4907"/>
        <item m="1" x="4057"/>
        <item m="1" x="2213"/>
        <item m="1" x="3739"/>
        <item m="1" x="3274"/>
        <item m="1" x="6679"/>
        <item m="1" x="6513"/>
        <item m="1" x="1282"/>
        <item m="1" x="4856"/>
        <item m="1" x="5398"/>
        <item m="1" x="883"/>
        <item m="1" x="7486"/>
        <item m="1" x="5164"/>
        <item m="1" x="1501"/>
        <item m="1" x="6063"/>
        <item m="1" x="7961"/>
        <item m="1" x="7451"/>
        <item m="1" x="3650"/>
        <item m="1" x="7659"/>
        <item m="1" x="3839"/>
        <item m="1" x="6087"/>
        <item m="1" x="7410"/>
        <item m="1" x="7030"/>
        <item m="1" x="6112"/>
        <item m="1" x="5744"/>
        <item m="1" x="6503"/>
        <item m="1" x="1520"/>
        <item m="1" x="376"/>
        <item m="1" x="4054"/>
        <item m="1" x="7023"/>
        <item m="1" x="2639"/>
        <item m="1" x="231"/>
        <item m="1" x="6887"/>
        <item m="1" x="3319"/>
        <item m="1" x="3225"/>
        <item m="1" x="4367"/>
        <item m="1" x="601"/>
        <item m="1" x="2312"/>
        <item m="1" x="3117"/>
        <item m="1" x="3924"/>
        <item m="1" x="5345"/>
        <item m="1" x="4916"/>
        <item m="1" x="2644"/>
        <item m="1" x="730"/>
        <item m="1" x="4926"/>
        <item m="1" x="2175"/>
        <item m="1" x="5583"/>
        <item m="1" x="737"/>
        <item m="1" x="2629"/>
        <item m="1" x="3938"/>
        <item m="1" x="1573"/>
        <item m="1" x="5887"/>
        <item m="1" x="324"/>
        <item m="1" x="2973"/>
        <item m="1" x="3423"/>
        <item m="1" x="1256"/>
        <item m="1" x="6932"/>
        <item m="1" x="5686"/>
        <item m="1" x="4865"/>
        <item m="1" x="2035"/>
        <item m="1" x="7800"/>
        <item m="1" x="3613"/>
        <item m="1" x="5382"/>
        <item m="1" x="3200"/>
        <item m="1" x="886"/>
        <item m="1" x="5456"/>
        <item m="1" x="804"/>
        <item m="1" x="4166"/>
        <item m="1" x="7759"/>
        <item m="1" x="4012"/>
        <item m="1" x="3465"/>
        <item m="1" x="3637"/>
        <item m="1" x="4386"/>
        <item m="1" x="7802"/>
        <item m="1" x="225"/>
        <item m="1" x="2650"/>
        <item m="1" x="5943"/>
        <item m="1" x="7665"/>
        <item m="1" x="7702"/>
        <item m="1" x="4961"/>
        <item m="1" x="3107"/>
        <item m="1" x="5356"/>
        <item m="1" x="7784"/>
        <item m="1" x="2946"/>
        <item m="1" x="5556"/>
        <item m="1" x="2108"/>
        <item m="1" x="7301"/>
        <item m="1" x="6138"/>
        <item m="1" x="6029"/>
        <item m="1" x="5203"/>
        <item m="1" x="3539"/>
        <item m="1" x="347"/>
        <item m="1" x="2387"/>
        <item m="1" x="2879"/>
        <item m="1" x="6406"/>
        <item m="1" x="2966"/>
        <item m="1" x="1164"/>
        <item m="1" x="6962"/>
        <item m="1" x="5426"/>
        <item m="1" x="7771"/>
        <item m="1" x="1312"/>
        <item m="1" x="7515"/>
        <item m="1" x="3070"/>
        <item m="1" x="841"/>
        <item m="1" x="2320"/>
        <item m="1" x="7050"/>
        <item m="1" x="1148"/>
        <item m="1" x="2416"/>
        <item m="1" x="6147"/>
        <item m="1" x="477"/>
        <item m="1" x="1621"/>
        <item m="1" x="7494"/>
        <item m="1" x="6911"/>
        <item m="1" x="5029"/>
        <item m="1" x="5896"/>
        <item m="1" x="2171"/>
        <item m="1" x="5828"/>
        <item m="1" x="7256"/>
        <item m="1" x="3873"/>
        <item m="1" x="7363"/>
        <item m="1" x="3475"/>
        <item m="1" x="826"/>
        <item m="1" x="4568"/>
        <item m="1" x="1524"/>
        <item m="1" x="6720"/>
        <item m="1" x="4184"/>
        <item m="1" x="2547"/>
        <item m="1" x="7340"/>
        <item m="1" x="2196"/>
        <item m="1" x="4614"/>
        <item m="1" x="586"/>
        <item m="1" x="4348"/>
        <item m="1" x="6257"/>
        <item m="1" x="956"/>
        <item m="1" x="2948"/>
        <item m="1" x="5473"/>
        <item m="1" x="5804"/>
        <item m="1" x="3087"/>
        <item m="1" x="4734"/>
        <item m="1" x="6329"/>
        <item m="1" x="6820"/>
        <item m="1" x="301"/>
        <item m="1" x="7941"/>
        <item m="1" x="1000"/>
        <item m="1" x="6451"/>
        <item m="1" x="4773"/>
        <item m="1" x="1274"/>
        <item m="1" x="7916"/>
        <item m="1" x="5739"/>
        <item m="1" x="4586"/>
        <item m="1" x="1875"/>
        <item m="1" x="3108"/>
        <item m="1" x="2148"/>
        <item m="1" x="7899"/>
        <item m="1" x="557"/>
        <item m="1" x="2635"/>
        <item m="1" x="4970"/>
        <item m="1" x="5355"/>
        <item m="1" x="979"/>
        <item m="1" x="552"/>
        <item m="1" x="252"/>
        <item m="1" x="1450"/>
        <item m="1" x="3933"/>
        <item m="1" x="223"/>
        <item m="1" x="7708"/>
        <item m="1" x="6253"/>
        <item m="1" x="5253"/>
        <item m="1" x="787"/>
        <item m="1" x="2344"/>
        <item m="1" x="7606"/>
        <item m="1" x="4978"/>
        <item m="1" x="2605"/>
        <item m="1" x="7620"/>
        <item m="1" x="5713"/>
        <item m="1" x="4450"/>
        <item m="1" x="7077"/>
        <item m="1" x="6588"/>
        <item m="1" x="6832"/>
        <item m="1" x="6530"/>
        <item m="1" x="1054"/>
        <item m="1" x="4816"/>
        <item m="1" x="6889"/>
        <item m="1" x="3008"/>
        <item m="1" x="6156"/>
        <item m="1" x="5857"/>
        <item m="1" x="1257"/>
        <item m="1" x="7293"/>
        <item m="1" x="3473"/>
        <item m="1" x="3405"/>
        <item m="1" x="4142"/>
        <item m="1" x="286"/>
        <item m="1" x="1969"/>
        <item m="1" x="2111"/>
        <item m="1" x="7572"/>
        <item m="1" x="6845"/>
        <item m="1" x="7296"/>
        <item m="1" x="6047"/>
        <item m="1" x="5521"/>
        <item m="1" x="987"/>
        <item m="1" x="6878"/>
        <item m="1" x="2094"/>
        <item m="1" x="3508"/>
        <item m="1" x="4154"/>
        <item m="1" x="7760"/>
        <item m="1" x="2958"/>
        <item m="1" x="6476"/>
        <item m="1" x="4671"/>
        <item m="1" x="1359"/>
        <item m="1" x="7193"/>
        <item m="1" x="2960"/>
        <item m="1" x="4540"/>
        <item m="1" x="5541"/>
        <item m="1" x="5592"/>
        <item m="1" x="6055"/>
        <item m="1" x="1899"/>
        <item m="1" x="6557"/>
        <item m="1" x="2474"/>
        <item m="1" x="5708"/>
        <item m="1" x="1716"/>
        <item m="1" x="1422"/>
        <item m="1" x="641"/>
        <item m="1" x="3357"/>
        <item m="1" x="5126"/>
        <item m="1" x="783"/>
        <item m="1" x="2334"/>
        <item m="1" x="4936"/>
        <item m="1" x="5379"/>
        <item m="1" x="4247"/>
        <item m="1" x="2993"/>
        <item m="1" x="5496"/>
        <item m="1" x="7754"/>
        <item m="1" x="5573"/>
        <item m="1" x="7383"/>
        <item m="1" x="2064"/>
        <item m="1" x="411"/>
        <item m="1" x="1112"/>
        <item m="1" x="1526"/>
        <item m="1" x="2840"/>
        <item m="1" x="7378"/>
        <item m="1" x="2859"/>
        <item m="1" x="7870"/>
        <item m="1" x="589"/>
        <item m="1" x="2142"/>
        <item m="1" x="4602"/>
        <item m="1" x="4793"/>
        <item m="1" x="3063"/>
        <item m="1" x="5509"/>
        <item m="1" x="4307"/>
        <item m="1" x="588"/>
        <item m="1" x="7885"/>
        <item m="1" x="3312"/>
        <item m="1" x="6718"/>
        <item m="1" x="2641"/>
        <item m="1" x="1929"/>
        <item m="1" x="5418"/>
        <item m="1" x="7699"/>
        <item m="1" x="2410"/>
        <item m="1" x="4153"/>
        <item m="1" x="3345"/>
        <item m="1" x="1521"/>
        <item m="1" x="7108"/>
        <item m="1" x="3571"/>
        <item m="1" x="7957"/>
        <item m="1" x="3371"/>
        <item m="1" x="6579"/>
        <item m="1" x="2752"/>
        <item m="1" x="6927"/>
        <item m="1" x="1915"/>
        <item m="1" x="3162"/>
        <item m="1" x="2703"/>
        <item m="1" x="4041"/>
        <item m="1" x="5480"/>
        <item m="1" x="2291"/>
        <item m="1" x="5312"/>
        <item m="1" x="4182"/>
        <item m="1" x="6382"/>
        <item m="1" x="2419"/>
        <item m="1" x="2134"/>
        <item m="1" x="2723"/>
        <item m="1" x="7883"/>
        <item m="1" x="4549"/>
        <item m="1" x="7738"/>
        <item m="1" x="981"/>
        <item m="1" x="406"/>
        <item m="1" x="7454"/>
        <item m="1" x="7690"/>
        <item m="1" x="5546"/>
        <item m="1" x="5929"/>
        <item m="1" x="6913"/>
        <item m="1" x="1253"/>
        <item m="1" x="7315"/>
        <item m="1" x="6252"/>
        <item m="1" x="3289"/>
        <item m="1" x="3750"/>
        <item m="1" x="4832"/>
        <item m="1" x="5405"/>
        <item m="1" x="5692"/>
        <item m="1" x="5100"/>
        <item m="1" x="2206"/>
        <item m="1" x="2444"/>
        <item m="1" x="2273"/>
        <item m="1" x="7752"/>
        <item m="1" x="670"/>
        <item m="1" x="6629"/>
        <item m="1" x="4219"/>
        <item m="1" x="1813"/>
        <item m="1" x="3586"/>
        <item m="1" x="3877"/>
        <item m="1" x="4173"/>
        <item m="1" x="7503"/>
        <item m="1" x="7583"/>
        <item m="1" x="4399"/>
        <item m="1" x="2349"/>
        <item m="1" x="1423"/>
        <item m="1" x="7789"/>
        <item m="1" x="5737"/>
        <item m="1" x="2854"/>
        <item m="1" x="6664"/>
        <item m="1" x="3854"/>
        <item m="1" x="4599"/>
        <item m="1" x="5516"/>
        <item m="1" x="7716"/>
        <item m="1" x="6739"/>
        <item m="1" x="3339"/>
        <item m="1" x="7616"/>
        <item m="1" x="2212"/>
        <item m="1" x="7591"/>
        <item m="1" x="285"/>
        <item m="1" x="1598"/>
        <item m="1" x="3874"/>
        <item m="1" x="5498"/>
        <item m="1" x="2781"/>
        <item m="1" x="5435"/>
        <item m="1" x="5266"/>
        <item m="1" x="5120"/>
        <item m="1" x="7032"/>
        <item m="1" x="5704"/>
        <item m="1" x="6051"/>
        <item m="1" x="6234"/>
        <item m="1" x="4079"/>
        <item m="1" x="2356"/>
        <item m="1" x="1172"/>
        <item m="1" x="6113"/>
        <item m="1" x="6599"/>
        <item m="1" x="7795"/>
        <item m="1" x="3540"/>
        <item m="1" x="2730"/>
        <item m="1" x="4834"/>
        <item m="1" x="5694"/>
        <item m="1" x="4774"/>
        <item m="1" x="3237"/>
        <item m="1" x="3748"/>
        <item m="1" x="7568"/>
        <item m="1" x="7711"/>
        <item m="1" x="6604"/>
        <item m="1" x="7709"/>
        <item m="1" x="5728"/>
        <item m="1" x="5051"/>
        <item m="1" x="6440"/>
        <item m="1" x="4975"/>
        <item m="1" x="1805"/>
        <item m="1" x="5278"/>
        <item m="1" x="6760"/>
        <item m="1" x="7638"/>
        <item m="1" x="5364"/>
        <item m="1" x="855"/>
        <item m="1" x="7520"/>
        <item m="1" x="1374"/>
        <item m="1" x="4198"/>
        <item m="1" x="6441"/>
        <item m="1" x="5080"/>
        <item m="1" x="3556"/>
        <item m="1" x="5154"/>
        <item m="1" x="2211"/>
        <item m="1" x="358"/>
        <item m="1" x="5777"/>
        <item m="1" x="4959"/>
        <item m="1" x="864"/>
        <item m="1" x="1478"/>
        <item m="1" x="6458"/>
        <item m="1" x="6065"/>
        <item m="1" x="2758"/>
        <item m="1" x="2977"/>
        <item m="1" x="6160"/>
        <item m="1" x="4523"/>
        <item m="1" x="3324"/>
        <item m="1" x="7877"/>
        <item m="1" x="690"/>
        <item m="1" x="695"/>
        <item m="1" x="4214"/>
        <item m="1" x="1742"/>
        <item m="1" x="3641"/>
        <item m="1" x="3885"/>
        <item m="1" x="7647"/>
        <item m="1" x="4196"/>
        <item m="1" x="335"/>
        <item m="1" x="7433"/>
        <item m="1" x="4449"/>
        <item m="1" x="763"/>
        <item m="1" x="6255"/>
        <item m="1" x="2451"/>
        <item m="1" x="4119"/>
        <item m="1" x="2512"/>
        <item m="1" x="5750"/>
        <item m="1" x="3928"/>
        <item m="1" x="3170"/>
        <item m="1" x="3863"/>
        <item m="1" x="304"/>
        <item m="1" x="4477"/>
        <item m="1" x="5582"/>
        <item m="1" x="2479"/>
        <item m="1" x="5338"/>
        <item m="1" x="7429"/>
        <item m="1" x="2333"/>
        <item m="1" x="5084"/>
        <item m="1" x="3889"/>
        <item m="1" x="6924"/>
        <item m="1" x="7679"/>
        <item m="1" x="6606"/>
        <item m="1" x="6238"/>
        <item m="1" x="3852"/>
        <item m="1" x="6868"/>
        <item m="1" x="6242"/>
        <item m="1" x="2424"/>
        <item m="1" x="5314"/>
        <item m="1" x="1852"/>
        <item m="1" x="3823"/>
        <item m="1" x="2531"/>
        <item m="1" x="435"/>
        <item m="1" x="4653"/>
        <item m="1" x="1275"/>
        <item m="1" x="3436"/>
        <item m="1" x="1133"/>
        <item m="1" x="4044"/>
        <item m="1" x="2718"/>
        <item m="1" x="1933"/>
        <item m="1" x="3807"/>
        <item m="1" x="6014"/>
        <item m="1" x="6142"/>
        <item m="1" x="4305"/>
        <item m="1" x="5210"/>
        <item m="1" x="1373"/>
        <item m="1" x="715"/>
        <item m="1" x="1095"/>
        <item m="1" x="7497"/>
        <item m="1" x="464"/>
        <item m="1" x="1055"/>
        <item m="1" x="5591"/>
        <item m="1" x="6003"/>
        <item m="1" x="2269"/>
        <item m="1" x="483"/>
        <item m="1" x="4470"/>
        <item m="1" x="2978"/>
        <item m="1" x="2587"/>
        <item m="1" x="6895"/>
        <item m="1" x="4412"/>
        <item m="1" x="4590"/>
        <item m="1" x="7627"/>
        <item m="1" x="6705"/>
        <item m="1" x="6687"/>
        <item m="1" x="6285"/>
        <item m="1" x="3831"/>
        <item m="1" x="473"/>
        <item m="1" x="5475"/>
        <item m="1" x="3767"/>
        <item m="1" x="6437"/>
        <item m="1" x="1080"/>
        <item m="1" x="6529"/>
        <item m="1" x="3627"/>
        <item m="1" x="7573"/>
        <item m="1" x="5508"/>
        <item m="1" x="5890"/>
        <item m="1" x="7194"/>
        <item m="1" x="2116"/>
        <item m="1" x="2664"/>
        <item m="1" x="5928"/>
        <item m="1" x="2448"/>
        <item m="1" x="930"/>
        <item m="1" x="5071"/>
        <item m="1" x="4063"/>
        <item m="1" x="5022"/>
        <item m="1" x="2075"/>
        <item m="1" x="6724"/>
        <item m="1" x="593"/>
        <item m="1" x="6605"/>
        <item m="1" x="2824"/>
        <item m="1" x="2713"/>
        <item m="1" x="5147"/>
        <item m="1" x="2735"/>
        <item m="1" x="4345"/>
        <item m="1" x="7921"/>
        <item m="1" x="757"/>
        <item m="1" x="1639"/>
        <item m="1" x="4293"/>
        <item m="1" x="2832"/>
        <item m="1" x="2215"/>
        <item m="1" x="2393"/>
        <item m="1" x="5466"/>
        <item m="1" x="3301"/>
        <item m="1" x="2017"/>
        <item m="1" x="7761"/>
        <item m="1" x="1727"/>
        <item m="1" x="2100"/>
        <item m="1" x="7241"/>
        <item m="1" x="5830"/>
        <item m="1" x="5792"/>
        <item m="1" x="2025"/>
        <item m="1" x="679"/>
        <item m="1" x="7172"/>
        <item m="1" x="4815"/>
        <item m="1" x="1364"/>
        <item m="1" x="3590"/>
        <item m="1" x="6035"/>
        <item m="1" x="2736"/>
        <item m="1" x="845"/>
        <item m="1" x="3901"/>
        <item m="1" x="3708"/>
        <item m="1" x="408"/>
        <item m="1" x="482"/>
        <item m="1" x="7179"/>
        <item m="1" x="1009"/>
        <item m="1" x="5367"/>
        <item m="1" x="315"/>
        <item m="1" x="7780"/>
        <item m="1" x="6585"/>
        <item m="1" x="5991"/>
        <item m="1" x="6809"/>
        <item m="1" x="4126"/>
        <item m="1" x="6834"/>
        <item m="1" x="1552"/>
        <item m="1" x="1833"/>
        <item m="1" x="2991"/>
        <item m="1" x="3363"/>
        <item m="1" x="789"/>
        <item m="1" x="6297"/>
        <item m="1" x="4595"/>
        <item m="1" x="2770"/>
        <item m="1" x="4498"/>
        <item m="1" x="1434"/>
        <item m="1" x="1525"/>
        <item m="1" x="3151"/>
        <item m="1" x="3010"/>
        <item m="1" x="3121"/>
        <item m="1" x="4060"/>
        <item m="1" x="6294"/>
        <item m="1" x="1453"/>
        <item m="1" x="6821"/>
        <item m="1" x="2040"/>
        <item m="1" x="5787"/>
        <item m="1" x="2742"/>
        <item m="1" x="3788"/>
        <item m="1" x="5998"/>
        <item m="1" x="992"/>
        <item m="1" x="7083"/>
        <item m="1" x="6263"/>
        <item m="1" x="2176"/>
        <item m="1" x="999"/>
        <item m="1" x="2005"/>
        <item m="1" x="4103"/>
        <item m="1" x="592"/>
        <item m="1" x="280"/>
        <item m="1" x="2923"/>
        <item m="1" x="2323"/>
        <item m="1" x="5272"/>
        <item m="1" x="747"/>
        <item m="1" x="4872"/>
        <item m="1" x="4468"/>
        <item m="1" x="2414"/>
        <item m="1" x="4867"/>
        <item m="1" x="6657"/>
        <item m="1" x="5953"/>
        <item m="1" x="4923"/>
        <item m="1" x="726"/>
        <item m="1" x="1223"/>
        <item m="1" x="4306"/>
        <item m="1" x="4598"/>
        <item m="1" x="3048"/>
        <item m="1" x="5430"/>
        <item m="1" x="6764"/>
        <item m="1" x="5624"/>
        <item m="1" x="2090"/>
        <item m="1" x="5517"/>
        <item m="1" x="5408"/>
        <item m="1" x="3524"/>
        <item m="1" x="2191"/>
        <item m="1" x="1040"/>
        <item m="1" x="5631"/>
        <item m="1" x="3726"/>
        <item m="1" x="2241"/>
        <item m="1" x="7952"/>
        <item m="1" x="1135"/>
        <item m="1" x="7924"/>
        <item m="1" x="6362"/>
        <item m="1" x="5115"/>
        <item m="1" x="7566"/>
        <item m="1" x="2677"/>
        <item m="1" x="7143"/>
        <item m="1" x="289"/>
        <item m="1" x="3533"/>
        <item m="1" x="6990"/>
        <item m="1" x="1298"/>
        <item m="1" x="1659"/>
        <item m="1" x="2228"/>
        <item m="1" x="3991"/>
        <item m="1" x="3033"/>
        <item m="1" x="2053"/>
        <item m="1" x="6819"/>
        <item m="1" x="5018"/>
        <item m="1" x="6844"/>
        <item m="1" x="3239"/>
        <item m="1" x="2516"/>
        <item m="1" x="5994"/>
        <item m="1" x="3292"/>
        <item m="1" x="630"/>
        <item m="1" x="4669"/>
        <item m="1" x="3833"/>
        <item m="1" x="2189"/>
        <item m="1" x="7155"/>
        <item m="1" x="6018"/>
        <item m="1" x="6246"/>
        <item m="1" x="7210"/>
        <item m="1" x="5620"/>
        <item m="1" x="7963"/>
        <item m="1" x="4800"/>
        <item m="1" x="4195"/>
        <item m="1" x="1144"/>
        <item m="1" x="2801"/>
        <item m="1" x="2884"/>
        <item m="1" x="1623"/>
        <item m="1" x="3575"/>
        <item m="1" x="5612"/>
        <item m="1" x="7830"/>
        <item m="1" x="2436"/>
        <item m="1" x="801"/>
        <item m="1" x="1022"/>
        <item m="1" x="1204"/>
        <item m="1" x="5639"/>
        <item m="1" x="460"/>
        <item m="1" x="6452"/>
        <item m="1" x="3565"/>
        <item m="1" x="6094"/>
        <item m="1" x="2346"/>
        <item m="1" x="7048"/>
        <item m="1" x="3148"/>
        <item m="1" x="1647"/>
        <item m="1" x="5856"/>
        <item m="1" x="5166"/>
        <item m="1" x="6831"/>
        <item m="1" x="5520"/>
        <item m="1" x="5872"/>
        <item m="1" x="1692"/>
        <item m="1" x="2851"/>
        <item m="1" x="2128"/>
        <item m="1" x="3442"/>
        <item m="1" x="3714"/>
        <item m="1" x="7022"/>
        <item m="1" x="3031"/>
        <item m="1" x="5340"/>
        <item m="1" x="2591"/>
        <item m="1" x="1546"/>
        <item m="1" x="6559"/>
        <item m="1" x="4769"/>
        <item m="1" x="4406"/>
        <item m="1" x="3548"/>
        <item m="1" x="4495"/>
        <item m="1" x="2913"/>
        <item m="1" x="4263"/>
        <item m="1" x="2214"/>
        <item m="1" x="6523"/>
        <item m="1" x="6079"/>
        <item m="1" x="7746"/>
        <item m="1" x="3209"/>
        <item m="1" x="904"/>
        <item m="1" x="6264"/>
        <item m="1" x="7737"/>
        <item m="1" x="5854"/>
        <item m="1" x="2173"/>
        <item m="1" x="3304"/>
        <item m="1" x="3669"/>
        <item m="1" x="7387"/>
        <item m="1" x="5769"/>
        <item m="1" x="4683"/>
        <item m="1" x="2315"/>
        <item m="1" x="517"/>
        <item m="1" x="6735"/>
        <item m="1" x="7530"/>
        <item m="1" x="1701"/>
        <item m="1" x="4625"/>
        <item m="1" x="3058"/>
        <item m="1" x="3775"/>
        <item m="1" x="959"/>
        <item m="1" x="5703"/>
        <item m="1" x="6796"/>
        <item m="1" x="2738"/>
        <item m="1" x="7808"/>
        <item m="1" x="5261"/>
        <item m="1" x="7555"/>
        <item m="1" x="3622"/>
        <item m="1" x="2434"/>
        <item m="1" x="4979"/>
        <item m="1" x="5811"/>
        <item m="1" x="3987"/>
        <item m="1" x="4429"/>
        <item m="1" x="3458"/>
        <item m="1" x="7550"/>
        <item m="1" x="7190"/>
        <item m="1" x="941"/>
        <item m="1" x="2199"/>
        <item m="1" x="3095"/>
        <item m="1" x="4320"/>
        <item m="1" x="3344"/>
        <item m="1" x="6466"/>
        <item m="1" x="1707"/>
        <item m="1" x="281"/>
        <item m="1" x="4004"/>
        <item m="1" x="2662"/>
        <item m="1" x="4109"/>
        <item m="1" x="1948"/>
        <item m="1" x="3418"/>
        <item m="1" x="5535"/>
        <item m="1" x="3717"/>
        <item m="1" x="2965"/>
        <item m="1" x="5795"/>
        <item m="1" x="3534"/>
        <item m="1" x="5807"/>
        <item m="1" x="7224"/>
        <item m="1" x="3001"/>
        <item m="1" x="5250"/>
        <item m="1" x="6288"/>
        <item m="1" x="5873"/>
        <item m="1" x="6332"/>
        <item m="1" x="3047"/>
        <item m="1" x="5705"/>
        <item m="1" x="2815"/>
        <item m="1" x="988"/>
        <item m="1" x="7534"/>
        <item m="1" x="829"/>
        <item m="1" x="3529"/>
        <item m="1" x="1171"/>
        <item m="1" x="3045"/>
        <item m="1" x="5643"/>
        <item m="1" x="1791"/>
        <item m="1" x="4701"/>
        <item m="1" x="7265"/>
        <item m="1" x="1768"/>
        <item m="1" x="7871"/>
        <item m="1" x="7931"/>
        <item m="1" x="1985"/>
        <item m="1" x="4156"/>
        <item m="1" x="1115"/>
        <item m="1" x="5904"/>
        <item m="1" x="5783"/>
        <item m="1" x="2725"/>
        <item m="1" x="5275"/>
        <item m="1" x="6630"/>
        <item m="1" x="5533"/>
        <item m="1" x="7705"/>
        <item m="1" x="2373"/>
        <item m="1" x="2045"/>
        <item m="1" x="1442"/>
        <item m="1" x="4354"/>
        <item m="1" x="6266"/>
        <item m="1" x="1988"/>
        <item m="1" x="5102"/>
        <item m="1" x="4886"/>
        <item m="1" x="384"/>
        <item m="1" x="5754"/>
        <item m="1" x="273"/>
        <item m="1" x="4525"/>
        <item m="1" x="4323"/>
        <item m="1" x="4482"/>
        <item m="1" x="459"/>
        <item m="1" x="3142"/>
        <item m="1" x="5104"/>
        <item m="1" x="2056"/>
        <item m="1" x="2024"/>
        <item m="1" x="1351"/>
        <item m="1" x="7579"/>
        <item m="1" x="4206"/>
        <item m="1" x="6179"/>
        <item m="1" x="2846"/>
        <item m="1" x="7753"/>
        <item m="1" x="5574"/>
        <item m="1" x="621"/>
        <item m="1" x="4417"/>
        <item m="1" x="4474"/>
        <item m="1" x="3411"/>
        <item m="1" x="351"/>
        <item m="1" x="6665"/>
        <item m="1" x="6010"/>
        <item m="1" x="2583"/>
        <item m="1" x="7712"/>
        <item m="1" x="1062"/>
        <item m="1" x="664"/>
        <item m="1" x="4776"/>
        <item m="1" x="5930"/>
        <item m="1" x="5675"/>
        <item m="1" x="5840"/>
        <item m="1" x="1268"/>
        <item m="1" x="2085"/>
        <item m="1" x="7776"/>
        <item m="1" x="3869"/>
        <item m="1" x="6215"/>
        <item m="1" x="4076"/>
        <item m="1" x="6525"/>
        <item m="1" x="3374"/>
        <item m="1" x="4222"/>
        <item m="1" x="7116"/>
        <item m="1" x="6045"/>
        <item m="1" x="3713"/>
        <item m="1" x="7901"/>
        <item m="1" x="5749"/>
        <item m="1" x="5113"/>
        <item m="1" x="6212"/>
        <item m="1" x="6431"/>
        <item m="1" x="269"/>
        <item m="1" x="3210"/>
        <item m="1" x="7719"/>
        <item m="1" x="4005"/>
        <item m="1" x="6981"/>
        <item m="1" x="5898"/>
        <item m="1" x="4266"/>
        <item m="1" x="6533"/>
        <item m="1" x="694"/>
        <item m="1" x="913"/>
        <item m="1" x="744"/>
        <item m="1" x="2087"/>
        <item m="1" x="3247"/>
        <item m="1" x="6036"/>
        <item m="1" x="6495"/>
        <item m="1" x="4635"/>
        <item m="1" x="2316"/>
        <item m="1" x="465"/>
        <item m="1" x="2560"/>
        <item m="1" x="5761"/>
        <item m="1" x="1798"/>
        <item m="1" x="705"/>
        <item m="1" x="7778"/>
        <item m="1" x="5586"/>
        <item m="1" x="5758"/>
        <item m="1" x="7068"/>
        <item m="1" x="4347"/>
        <item m="1" x="5142"/>
        <item m="1" x="3067"/>
        <item m="1" x="4466"/>
        <item m="1" x="4951"/>
        <item m="1" x="1438"/>
        <item m="1" x="6377"/>
        <item m="1" x="6551"/>
        <item m="1" x="5504"/>
        <item m="1" x="5634"/>
        <item m="1" x="2048"/>
        <item m="1" x="3278"/>
        <item m="1" x="7264"/>
        <item m="1" x="5843"/>
        <item m="1" x="4826"/>
        <item m="1" x="7223"/>
        <item m="1" x="2042"/>
        <item m="1" x="7773"/>
        <item m="1" x="2374"/>
        <item m="1" x="6733"/>
        <item m="1" x="575"/>
        <item m="1" x="2791"/>
        <item m="1" x="5179"/>
        <item m="1" x="3704"/>
        <item m="1" x="7898"/>
        <item m="1" x="4603"/>
        <item m="1" x="7876"/>
        <item m="1" x="7389"/>
        <item m="1" x="2276"/>
        <item m="1" x="6270"/>
        <item m="1" x="6244"/>
        <item m="1" x="2897"/>
        <item m="1" x="7612"/>
        <item m="1" x="1901"/>
        <item m="1" x="5200"/>
        <item m="1" x="6271"/>
        <item m="1" x="7558"/>
        <item m="1" x="4984"/>
        <item m="1" x="1126"/>
        <item m="1" x="441"/>
        <item m="1" x="3558"/>
        <item m="1" x="6338"/>
        <item m="1" x="2293"/>
        <item m="1" x="3761"/>
        <item m="1" x="4507"/>
        <item m="1" x="748"/>
        <item m="1" x="6697"/>
        <item m="1" x="1708"/>
        <item m="1" x="7120"/>
        <item m="1" x="291"/>
        <item m="1" x="4615"/>
        <item m="1" x="2096"/>
        <item m="1" x="995"/>
        <item m="1" x="2777"/>
        <item m="1" x="583"/>
        <item m="1" x="3835"/>
        <item m="1" x="4777"/>
        <item m="1" x="1462"/>
        <item m="1" x="4768"/>
        <item m="1" x="6162"/>
        <item m="1" x="1356"/>
        <item m="1" x="2603"/>
        <item m="1" x="1285"/>
        <item m="1" x="5619"/>
        <item m="1" x="3982"/>
        <item m="1" x="3114"/>
        <item m="1" x="4402"/>
        <item m="1" x="1627"/>
        <item m="1" x="7539"/>
        <item m="1" x="4558"/>
        <item m="1" x="7828"/>
        <item m="1" x="7011"/>
        <item m="1" x="2651"/>
        <item m="1" x="6249"/>
        <item m="1" x="4392"/>
        <item m="1" x="1180"/>
        <item m="1" x="2168"/>
        <item m="1" x="4145"/>
        <item m="1" x="2480"/>
        <item m="1" x="1786"/>
        <item m="1" x="6075"/>
        <item m="1" x="6494"/>
        <item m="1" x="5256"/>
        <item m="1" x="3279"/>
        <item m="1" x="2457"/>
        <item m="1" x="6967"/>
        <item m="1" x="7153"/>
        <item m="1" x="2931"/>
        <item m="1" x="6546"/>
        <item m="1" x="4537"/>
        <item m="1" x="5871"/>
        <item m="1" x="5824"/>
        <item m="1" x="584"/>
        <item m="1" x="7919"/>
        <item m="1" x="7312"/>
        <item m="1" x="6797"/>
        <item m="1" x="5983"/>
        <item m="1" x="4765"/>
        <item m="1" x="7377"/>
        <item m="1" x="1344"/>
        <item m="1" x="307"/>
        <item m="1" x="2566"/>
        <item m="1" x="3156"/>
        <item m="1" x="5308"/>
        <item m="1" x="4413"/>
        <item m="1" x="4962"/>
        <item m="1" x="7237"/>
        <item m="1" x="3697"/>
        <item m="1" x="7213"/>
        <item m="1" x="3746"/>
        <item m="1" x="5572"/>
        <item m="1" x="1651"/>
        <item m="1" x="1858"/>
        <item m="1" x="7704"/>
        <item m="1" x="2833"/>
        <item m="1" x="5319"/>
        <item m="1" x="5068"/>
        <item m="1" x="6173"/>
        <item m="1" x="346"/>
        <item m="1" x="4557"/>
        <item m="1" x="3712"/>
        <item m="1" x="5805"/>
        <item m="1" x="5922"/>
        <item m="1" x="1717"/>
        <item m="1" x="5587"/>
        <item m="1" x="634"/>
        <item m="1" x="1290"/>
        <item m="1" x="2653"/>
        <item m="1" x="6098"/>
        <item m="1" x="449"/>
        <item m="1" x="5523"/>
        <item m="1" x="5231"/>
        <item m="1" x="4411"/>
        <item m="1" x="7152"/>
        <item m="1" x="3564"/>
        <item m="1" x="390"/>
        <item m="1" x="6983"/>
        <item m="1" x="6712"/>
        <item m="1" x="6521"/>
        <item m="1" x="1419"/>
        <item m="1" x="4227"/>
        <item m="1" x="5740"/>
        <item m="1" x="5672"/>
        <item m="1" x="6980"/>
        <item m="1" x="6243"/>
        <item m="1" x="6384"/>
        <item m="1" x="6755"/>
        <item m="1" x="6556"/>
        <item m="1" x="3778"/>
        <item m="1" x="892"/>
        <item m="1" x="7604"/>
        <item m="1" x="3646"/>
        <item m="1" x="6488"/>
        <item m="1" x="485"/>
        <item m="1" x="7839"/>
        <item m="1" x="4885"/>
        <item m="1" x="7379"/>
        <item m="1" x="5255"/>
        <item m="1" x="2208"/>
        <item m="1" x="2408"/>
        <item m="1" x="1191"/>
        <item m="1" x="724"/>
        <item m="1" x="2098"/>
        <item m="1" x="6093"/>
        <item m="1" x="1430"/>
        <item m="1" x="7768"/>
        <item m="1" x="457"/>
        <item m="1" x="1732"/>
        <item m="1" x="1403"/>
        <item m="1" x="7782"/>
        <item m="1" x="6803"/>
        <item m="1" x="5322"/>
        <item m="1" x="4122"/>
        <item m="1" x="5449"/>
        <item m="1" x="3827"/>
        <item m="1" x="4654"/>
        <item m="1" x="6379"/>
        <item m="1" x="1432"/>
        <item m="1" x="6454"/>
        <item m="1" x="6662"/>
        <item m="1" x="3666"/>
        <item m="1" x="1047"/>
        <item m="1" x="3055"/>
        <item m="1" x="3018"/>
        <item m="1" x="3013"/>
        <item m="1" x="7706"/>
        <item m="1" x="771"/>
        <item m="1" x="2362"/>
        <item m="1" x="4051"/>
        <item m="1" x="3735"/>
        <item m="1" x="1068"/>
        <item m="1" x="481"/>
        <item m="1" x="1021"/>
        <item m="1" x="7422"/>
        <item m="1" x="7536"/>
        <item m="1" x="7818"/>
        <item m="1" x="5016"/>
        <item m="1" x="3263"/>
        <item m="1" x="602"/>
        <item m="1" x="6090"/>
        <item m="1" x="867"/>
        <item m="1" x="5611"/>
        <item m="1" x="5144"/>
        <item m="1" x="6949"/>
        <item m="1" x="401"/>
        <item m="1" x="2187"/>
        <item m="1" x="5785"/>
        <item m="1" x="2595"/>
        <item m="1" x="6699"/>
        <item m="1" x="1334"/>
        <item m="1" x="675"/>
        <item m="1" x="1488"/>
        <item m="1" x="1495"/>
        <item m="1" x="2201"/>
        <item m="1" x="4379"/>
        <item m="1" x="1671"/>
        <item m="1" x="5699"/>
        <item m="1" x="2555"/>
        <item m="1" x="2995"/>
        <item m="1" x="835"/>
        <item m="1" x="900"/>
        <item m="1" x="7415"/>
        <item m="1" x="770"/>
        <item m="1" x="3610"/>
        <item m="1" x="267"/>
        <item m="1" x="560"/>
        <item m="1" x="2737"/>
        <item m="1" x="5328"/>
        <item m="1" x="2223"/>
        <item m="1" x="4269"/>
        <item m="1" x="7216"/>
        <item m="1" x="7053"/>
        <item m="1" x="5906"/>
        <item m="1" x="5637"/>
        <item m="1" x="1138"/>
        <item m="1" x="3946"/>
        <item m="1" x="7547"/>
        <item m="1" x="6961"/>
        <item m="1" x="4337"/>
        <item m="1" x="3138"/>
        <item m="1" x="4965"/>
        <item m="1" x="5010"/>
        <item m="1" x="1441"/>
        <item m="1" x="2771"/>
        <item m="1" x="480"/>
        <item m="1" x="1777"/>
        <item m="1" x="4814"/>
        <item m="1" x="935"/>
        <item m="1" x="7742"/>
        <item m="1" x="6411"/>
        <item m="1" x="3630"/>
        <item m="1" x="4554"/>
        <item m="1" x="5673"/>
        <item m="1" x="535"/>
        <item m="1" x="6885"/>
        <item m="1" x="5470"/>
        <item m="1" x="5162"/>
        <item m="1" x="1896"/>
        <item m="1" x="6308"/>
        <item m="1" x="6056"/>
        <item m="1" x="4233"/>
        <item m="1" x="7478"/>
        <item m="1" x="2306"/>
        <item m="1" x="3943"/>
        <item m="1" x="764"/>
        <item m="1" x="6084"/>
        <item m="1" x="2059"/>
        <item m="1" x="2034"/>
        <item m="1" x="4336"/>
        <item m="1" x="3941"/>
        <item m="1" x="6209"/>
        <item m="1" x="1227"/>
        <item m="1" x="3383"/>
        <item m="1" x="3737"/>
        <item m="1" x="6493"/>
        <item m="1" x="4484"/>
        <item m="1" x="5849"/>
        <item m="1" x="3915"/>
        <item m="1" x="4016"/>
        <item m="1" x="1668"/>
        <item m="1" x="402"/>
        <item m="1" x="5096"/>
        <item m="1" x="7956"/>
        <item m="1" x="7775"/>
        <item m="1" x="4314"/>
        <item m="1" x="1853"/>
        <item m="1" x="7618"/>
        <item m="1" x="7675"/>
        <item m="1" x="1977"/>
        <item m="1" x="1680"/>
        <item m="1" x="3570"/>
        <item m="1" x="5304"/>
        <item m="1" x="6776"/>
        <item m="1" x="5417"/>
        <item m="1" x="7694"/>
        <item m="1" x="6721"/>
        <item m="1" x="5349"/>
        <item m="1" x="3034"/>
        <item m="1" x="1120"/>
        <item m="1" x="6597"/>
        <item m="1" x="2740"/>
        <item m="1" x="7064"/>
        <item m="1" x="3766"/>
        <item m="1" x="7519"/>
        <item m="1" x="455"/>
        <item m="1" x="2918"/>
        <item m="1" x="1910"/>
        <item m="1" x="4191"/>
        <item m="1" x="859"/>
        <item m="1" x="5269"/>
        <item m="1" x="993"/>
        <item m="1" x="2137"/>
        <item m="1" x="1994"/>
        <item m="1" x="6496"/>
        <item m="1" x="1444"/>
        <item m="1" x="1553"/>
        <item m="1" x="224"/>
        <item m="1" x="2872"/>
        <item m="1" x="2904"/>
        <item m="1" x="786"/>
        <item m="1" x="3348"/>
        <item m="1" x="7589"/>
        <item m="1" x="3787"/>
        <item m="1" x="3599"/>
        <item m="1" x="5008"/>
        <item m="1" x="5265"/>
        <item m="1" x="6933"/>
        <item m="1" x="2896"/>
        <item m="1" x="713"/>
        <item m="1" x="1697"/>
        <item m="1" x="561"/>
        <item m="1" x="1370"/>
        <item m="1" x="7157"/>
        <item m="1" x="3954"/>
        <item m="1" x="2699"/>
        <item m="1" x="2794"/>
        <item m="1" x="4023"/>
        <item m="1" x="3449"/>
        <item m="1" x="1127"/>
        <item m="1" x="822"/>
        <item m="1" x="3368"/>
        <item m="1" x="2578"/>
        <item m="1" x="1685"/>
        <item m="1" x="1885"/>
        <item m="1" x="4303"/>
        <item m="1" x="6986"/>
        <item m="1" x="2049"/>
        <item m="1" x="7029"/>
        <item m="1" x="6164"/>
        <item m="1" x="7180"/>
        <item m="1" x="2570"/>
        <item m="1" x="4027"/>
        <item m="1" x="1335"/>
        <item m="1" x="3762"/>
        <item m="1" x="1966"/>
        <item m="1" x="454"/>
        <item m="1" x="6168"/>
        <item m="1" x="4155"/>
        <item m="1" x="7234"/>
        <item m="1" x="4726"/>
        <item m="1" x="974"/>
        <item m="1" x="929"/>
        <item m="1" x="7185"/>
        <item m="1" x="3330"/>
        <item m="1" x="2524"/>
        <item m="1" x="4045"/>
        <item m="1" x="6675"/>
        <item m="1" x="6855"/>
        <item m="1" x="2673"/>
        <item m="1" x="7424"/>
        <item m="1" x="6068"/>
        <item m="1" x="278"/>
        <item m="1" x="720"/>
        <item m="1" x="5522"/>
        <item m="1" x="809"/>
        <item m="1" x="1714"/>
        <item m="1" x="456"/>
        <item m="1" x="1769"/>
        <item m="1" x="1972"/>
        <item m="1" x="371"/>
        <item m="1" x="1219"/>
        <item m="1" x="3118"/>
        <item m="1" x="697"/>
        <item m="1" x="5493"/>
        <item m="1" x="6580"/>
        <item m="1" x="3223"/>
        <item m="1" x="4462"/>
        <item m="1" x="3730"/>
        <item m="1" x="6359"/>
        <item m="1" x="1473"/>
        <item m="1" x="7177"/>
        <item m="1" x="241"/>
        <item m="1" x="6514"/>
        <item m="1" x="658"/>
        <item m="1" x="5495"/>
        <item m="1" x="3337"/>
        <item m="1" x="5194"/>
        <item m="1" x="5897"/>
        <item m="1" x="6694"/>
        <item m="1" x="6663"/>
        <item m="1" x="4223"/>
        <item m="1" x="3519"/>
        <item m="1" x="5065"/>
        <item m="1" x="1565"/>
        <item m="1" x="7926"/>
        <item m="1" x="4644"/>
        <item m="1" x="3725"/>
        <item m="1" x="7904"/>
        <item m="1" x="4611"/>
        <item m="1" x="5262"/>
        <item m="1" x="653"/>
        <item m="1" x="693"/>
        <item m="1" x="3072"/>
        <item m="1" x="4020"/>
        <item m="1" x="7270"/>
        <item m="1" x="1544"/>
        <item m="1" x="424"/>
        <item m="1" x="668"/>
        <item m="1" x="1188"/>
        <item m="1" x="669"/>
        <item m="1" x="6144"/>
        <item m="1" x="6841"/>
        <item m="1" x="1318"/>
        <item m="1" x="4349"/>
        <item m="1" x="2775"/>
        <item m="1" x="7501"/>
        <item m="1" x="6641"/>
        <item m="1" x="7024"/>
        <item m="1" x="7678"/>
        <item m="1" x="2250"/>
        <item m="1" x="3049"/>
        <item m="1" x="5536"/>
        <item m="1" x="2877"/>
        <item m="1" x="7774"/>
        <item m="1" x="2893"/>
        <item m="1" x="4785"/>
        <item m="1" x="476"/>
        <item m="1" x="1807"/>
        <item m="1" x="5161"/>
        <item m="1" x="6901"/>
        <item m="1" x="1280"/>
        <item m="1" x="2058"/>
        <item m="1" x="7333"/>
        <item m="1" x="6082"/>
        <item m="1" x="7765"/>
        <item m="1" x="3769"/>
        <item m="1" x="6943"/>
        <item m="1" x="1694"/>
        <item m="1" x="4185"/>
        <item m="1" x="1600"/>
        <item m="1" x="3553"/>
        <item m="1" x="3146"/>
        <item m="1" x="3682"/>
        <item m="1" x="1053"/>
        <item m="1" x="4859"/>
        <item m="1" x="6598"/>
        <item m="1" x="6880"/>
        <item m="1" x="3577"/>
        <item m="1" x="5191"/>
        <item m="1" x="7748"/>
        <item m="1" x="7912"/>
        <item m="1" x="1822"/>
        <item m="1" x="5834"/>
        <item m="1" x="2724"/>
        <item m="1" x="5437"/>
        <item m="1" x="1252"/>
        <item m="1" x="4239"/>
        <item m="1" x="3400"/>
        <item m="1" x="5826"/>
        <item m="1" x="7367"/>
        <item m="1" x="2953"/>
        <item m="1" x="5337"/>
        <item m="1" x="5310"/>
        <item m="1" x="562"/>
        <item m="1" x="2944"/>
        <item m="1" x="2271"/>
        <item m="1" x="1460"/>
        <item m="1" x="7710"/>
        <item m="1" x="7567"/>
        <item m="1" x="2262"/>
        <item m="1" x="1379"/>
        <item m="1" x="2172"/>
        <item m="1" x="1904"/>
        <item m="1" x="3112"/>
        <item m="1" x="7502"/>
        <item m="1" x="7395"/>
        <item m="1" x="7923"/>
        <item m="1" x="3161"/>
        <item m="1" x="7222"/>
        <item m="1" x="7533"/>
        <item m="1" x="5125"/>
        <item m="1" x="5491"/>
        <item m="1" x="4358"/>
        <item m="1" x="4579"/>
        <item m="1" x="6537"/>
        <item m="1" x="5870"/>
        <item m="1" x="4487"/>
        <item m="1" x="3822"/>
        <item m="1" x="1203"/>
        <item m="1" x="4298"/>
        <item m="1" x="3685"/>
        <item m="1" x="5350"/>
        <item m="1" x="696"/>
        <item m="1" x="3572"/>
        <item m="1" x="2536"/>
        <item m="1" x="2912"/>
        <item m="1" x="3851"/>
        <item m="1" x="5970"/>
        <item m="1" x="3231"/>
        <item m="1" x="5595"/>
        <item m="1" x="1731"/>
        <item m="1" x="1375"/>
        <item m="1" x="3667"/>
        <item m="1" x="5716"/>
        <item m="1" x="5017"/>
        <item m="1" x="6570"/>
        <item m="1" x="7640"/>
        <item m="1" x="673"/>
        <item m="1" x="2164"/>
        <item m="1" x="637"/>
        <item m="1" x="6744"/>
        <item m="1" x="7499"/>
        <item m="1" x="1500"/>
        <item m="1" x="5702"/>
        <item m="1" x="1093"/>
        <item m="1" x="4576"/>
        <item m="1" x="6184"/>
        <item m="1" x="3589"/>
        <item m="1" x="5002"/>
        <item m="1" x="2384"/>
        <item m="1" x="4828"/>
        <item m="1" x="4618"/>
        <item m="1" x="7334"/>
        <item m="1" x="536"/>
        <item m="1" x="1736"/>
        <item m="1" x="7021"/>
        <item m="1" x="5661"/>
        <item m="1" x="2898"/>
        <item m="1" x="7364"/>
        <item m="1" x="7123"/>
        <item m="1" x="7204"/>
        <item m="1" x="766"/>
        <item m="1" x="3154"/>
        <item m="1" x="5954"/>
        <item m="1" x="2145"/>
        <item m="1" x="1743"/>
        <item m="1" x="6531"/>
        <item m="1" x="4175"/>
        <item m="1" x="828"/>
        <item m="1" x="2282"/>
        <item m="1" x="6582"/>
        <item m="1" x="7936"/>
        <item m="1" x="5866"/>
        <item m="1" x="5384"/>
        <item m="1" x="4407"/>
        <item m="1" x="923"/>
        <item m="1" x="4675"/>
        <item m="1" x="4617"/>
        <item m="1" x="5984"/>
        <item m="1" x="294"/>
        <item m="1" x="3089"/>
        <item m="1" x="4728"/>
        <item m="1" x="493"/>
        <item m="1" x="942"/>
        <item m="1" x="5327"/>
        <item m="1" x="2093"/>
        <item m="1" x="1642"/>
        <item m="1" x="3446"/>
        <item m="1" x="3306"/>
        <item m="1" x="6505"/>
        <item m="1" x="7492"/>
        <item m="1" x="3527"/>
        <item m="1" x="7249"/>
        <item m="1" x="1747"/>
        <item m="1" x="5767"/>
        <item m="1" x="2467"/>
        <item m="1" x="4034"/>
        <item m="1" x="3503"/>
        <item m="1" x="3452"/>
        <item m="1" x="7654"/>
        <item m="1" x="5722"/>
        <item m="1" x="7329"/>
        <item m="1" x="1147"/>
        <item m="1" x="5944"/>
        <item m="1" x="875"/>
        <item m="1" x="3252"/>
        <item m="1" x="453"/>
        <item m="1" x="2521"/>
        <item m="1" x="4983"/>
        <item m="1" x="4309"/>
        <item m="1" x="1034"/>
        <item m="1" x="3062"/>
        <item m="1" x="4818"/>
        <item m="1" x="2756"/>
        <item m="1" x="6763"/>
        <item m="1" x="3027"/>
        <item m="1" x="5621"/>
        <item m="1" x="1643"/>
        <item m="1" x="1821"/>
        <item m="1" x="7958"/>
        <item m="1" x="5905"/>
        <item m="1" x="5217"/>
        <item m="1" x="2055"/>
        <item m="1" x="4957"/>
        <item m="1" x="296"/>
        <item m="1" x="2941"/>
        <item m="1" x="3597"/>
        <item m="1" x="5732"/>
        <item m="1" x="568"/>
        <item m="1" x="7739"/>
        <item m="1" x="5593"/>
        <item m="1" x="1130"/>
        <item m="1" x="1475"/>
        <item m="1" x="2608"/>
        <item m="1" x="5738"/>
        <item m="1" x="4032"/>
        <item m="1" x="7528"/>
        <item m="1" x="6995"/>
        <item m="1" x="4784"/>
        <item m="1" x="2179"/>
        <item m="1" x="2345"/>
        <item m="1" x="4944"/>
        <item m="1" x="6808"/>
        <item m="1" x="5865"/>
        <item m="1" x="6281"/>
        <item m="1" x="3504"/>
        <item m="1" x="5404"/>
        <item m="1" x="2774"/>
        <item m="1" x="369"/>
        <item m="1" x="581"/>
        <item m="1" x="5596"/>
        <item m="1" x="1790"/>
        <item m="1" x="6774"/>
        <item m="1" x="3994"/>
        <item m="1" x="5575"/>
        <item m="1" x="6992"/>
        <item m="1" x="1347"/>
        <item m="1" x="660"/>
        <item m="1" x="1470"/>
        <item m="1" x="4357"/>
        <item m="1" x="4009"/>
        <item m="1" x="5458"/>
        <item m="1" x="7427"/>
        <item m="1" x="1941"/>
        <item m="1" x="3016"/>
        <item m="1" x="1699"/>
        <item m="1" x="4430"/>
        <item m="1" x="3336"/>
        <item m="1" x="242"/>
        <item m="1" x="2470"/>
        <item m="1" x="678"/>
        <item m="1" x="4181"/>
        <item m="1" x="1819"/>
        <item m="1" x="6361"/>
        <item m="1" x="7506"/>
        <item m="1" x="7891"/>
        <item m="1" x="3420"/>
        <item m="1" x="6737"/>
        <item m="1" x="2950"/>
        <item m="1" x="1955"/>
        <item m="1" x="5366"/>
        <item m="1" x="420"/>
        <item m="1" x="5282"/>
        <item m="1" x="1806"/>
        <item m="1" x="5494"/>
        <item m="1" x="265"/>
        <item m="1" x="3615"/>
        <item m="1" x="2427"/>
        <item m="1" x="4640"/>
        <item m="1" x="3582"/>
        <item m="1" x="544"/>
        <item m="1" x="689"/>
        <item m="1" x="2936"/>
        <item m="1" x="3377"/>
        <item m="1" x="1017"/>
        <item m="1" x="7472"/>
        <item m="1" x="1618"/>
        <item m="1" x="1560"/>
        <item m="1" x="7605"/>
        <item m="1" x="2842"/>
        <item m="1" x="6944"/>
        <item m="1" x="4334"/>
        <item m="1" x="3014"/>
        <item m="1" x="1167"/>
        <item m="1" x="4778"/>
        <item m="1" x="5608"/>
        <item m="1" x="4750"/>
        <item m="1" x="6248"/>
        <item m="1" x="2776"/>
        <item m="1" x="1014"/>
        <item m="1" x="3393"/>
        <item m="1" x="7098"/>
        <item m="1" x="1838"/>
        <item m="1" x="577"/>
        <item m="1" x="606"/>
        <item m="1" x="1482"/>
        <item m="1" x="2158"/>
        <item m="1" x="2297"/>
        <item m="1" x="3670"/>
        <item m="1" x="4157"/>
        <item m="1" x="6595"/>
        <item m="1" x="2218"/>
        <item m="1" x="7165"/>
        <item m="1" x="821"/>
        <item m="1" x="2492"/>
        <item m="1" x="2007"/>
        <item m="1" x="1236"/>
        <item m="1" x="6177"/>
        <item m="1" x="3380"/>
        <item m="1" x="1591"/>
        <item m="1" x="599"/>
        <item m="1" x="1415"/>
        <item m="1" x="1183"/>
        <item m="1" x="4475"/>
        <item m="1" x="5793"/>
        <item m="1" x="3469"/>
        <item m="1" x="4006"/>
        <item m="1" x="4719"/>
        <item m="1" x="2668"/>
        <item m="1" x="7330"/>
        <item m="1" x="5803"/>
        <item m="1" x="3963"/>
        <item m="1" x="7225"/>
        <item m="1" x="7004"/>
        <item m="1" x="5771"/>
        <item m="1" x="3424"/>
        <item m="1" x="7726"/>
        <item m="1" x="1754"/>
        <item m="1" x="3538"/>
        <item m="1" x="1145"/>
        <item m="1" x="2463"/>
        <item m="1" x="234"/>
        <item m="1" x="2481"/>
        <item m="1" x="6813"/>
        <item m="1" x="2227"/>
        <item m="1" x="4548"/>
        <item m="1" x="4751"/>
        <item m="1" x="3651"/>
        <item m="1" x="4418"/>
        <item m="1" x="3294"/>
        <item m="1" x="2964"/>
        <item m="1" x="363"/>
        <item m="1" x="3660"/>
        <item m="1" x="6319"/>
        <item m="1" x="3562"/>
        <item m="1" x="4353"/>
        <item m="1" x="7585"/>
        <item m="1" x="5049"/>
        <item m="1" x="2261"/>
        <item m="1" x="4797"/>
        <item m="1" x="2454"/>
        <item m="1" x="7695"/>
        <item m="1" x="4931"/>
        <item m="1" x="5066"/>
        <item m="1" x="7388"/>
        <item m="1" x="1739"/>
        <item m="1" x="3866"/>
        <item m="1" x="3584"/>
        <item m="1" x="638"/>
        <item m="1" x="6459"/>
        <item m="1" x="4796"/>
        <item m="1" x="3331"/>
        <item m="1" x="3300"/>
        <item m="1" x="3135"/>
        <item m="1" x="6656"/>
        <item m="1" x="4268"/>
        <item m="1" x="984"/>
        <item m="1" x="6652"/>
        <item m="1" x="3471"/>
        <item m="1" x="2193"/>
        <item m="1" x="3104"/>
        <item m="1" x="7188"/>
        <item m="1" x="746"/>
        <item m="1" x="3029"/>
        <item m="1" x="5553"/>
        <item m="1" x="7375"/>
        <item m="1" x="2844"/>
        <item m="1" x="3903"/>
        <item m="1" x="1322"/>
        <item m="1" x="2186"/>
        <item m="1" x="2337"/>
        <item m="1" x="6909"/>
        <item m="1" x="3404"/>
        <item m="1" x="3445"/>
        <item m="1" x="2987"/>
        <item m="1" x="6151"/>
        <item m="1" x="5241"/>
        <item m="1" x="7696"/>
        <item m="1" x="6501"/>
        <item m="1" x="7634"/>
        <item m="1" x="6646"/>
        <item m="1" x="3099"/>
        <item m="1" x="4374"/>
        <item m="1" x="4756"/>
        <item m="1" x="1263"/>
        <item m="1" x="7035"/>
        <item m="1" x="6539"/>
        <item m="1" x="2163"/>
        <item m="1" x="5775"/>
        <item m="1" x="5724"/>
        <item m="1" x="275"/>
        <item m="1" x="7658"/>
        <item m="1" x="7239"/>
        <item m="1" x="895"/>
        <item m="1" x="3914"/>
        <item m="1" x="6888"/>
        <item m="1" x="6789"/>
        <item m="1" x="3248"/>
        <item m="1" x="5069"/>
        <item m="1" x="814"/>
        <item m="1" x="5832"/>
        <item m="1" x="3859"/>
        <item m="1" x="5184"/>
        <item m="1" x="7420"/>
        <item m="1" x="6928"/>
        <item m="1" x="3450"/>
        <item m="1" x="4717"/>
        <item m="1" x="1345"/>
        <item m="1" x="3996"/>
        <item m="1" x="4177"/>
        <item m="1" x="3326"/>
        <item m="1" x="827"/>
        <item m="1" x="5565"/>
        <item m="1" x="6070"/>
        <item m="1" x="1177"/>
        <item m="1" x="7918"/>
        <item m="1" x="6852"/>
        <item m="1" x="2980"/>
        <item m="1" x="308"/>
        <item m="1" x="5501"/>
        <item m="1" x="1696"/>
        <item m="1" x="7819"/>
        <item m="1" x="6300"/>
        <item m="1" x="4794"/>
        <item m="1" x="7596"/>
        <item m="1" x="889"/>
        <item m="1" x="5881"/>
        <item m="1" x="1835"/>
        <item m="1" x="3267"/>
        <item m="1" x="1209"/>
        <item m="1" x="3652"/>
        <item m="1" x="7151"/>
        <item m="1" x="272"/>
        <item m="1" x="339"/>
        <item m="1" x="7938"/>
        <item m="1" x="404"/>
        <item m="1" x="1719"/>
        <item m="1" x="398"/>
        <item m="1" x="6008"/>
        <item m="1" x="3930"/>
        <item m="1" x="5564"/>
        <item m="1" x="1712"/>
        <item m="1" x="436"/>
        <item m="1" x="4857"/>
        <item m="1" x="4401"/>
        <item m="1" x="582"/>
        <item m="1" x="5402"/>
        <item m="1" x="6757"/>
        <item m="1" x="1456"/>
        <item m="1" x="1740"/>
        <item m="1" x="7158"/>
        <item m="1" x="1748"/>
        <item m="1" x="3736"/>
        <item m="1" x="1281"/>
        <item m="1" x="7275"/>
        <item m="1" x="4148"/>
        <item m="1" x="1101"/>
        <item m="1" x="5614"/>
        <item m="1" x="2446"/>
        <item m="1" x="7442"/>
        <item m="1" x="4904"/>
        <item m="1" x="5181"/>
        <item m="1" x="5773"/>
        <item m="1" x="7286"/>
        <item m="1" x="1412"/>
        <item m="1" x="3318"/>
        <item m="1" x="6334"/>
        <item m="1" x="4909"/>
        <item m="1" x="3671"/>
        <item m="1" x="4246"/>
        <item m="1" x="3492"/>
        <item m="1" x="7285"/>
        <item m="1" x="5432"/>
        <item m="1" x="5421"/>
        <item m="1" x="2445"/>
        <item m="1" x="5633"/>
        <item m="1" x="4115"/>
        <item m="1" x="1397"/>
        <item m="1" x="7161"/>
        <item m="1" x="6180"/>
        <item m="1" x="6975"/>
        <item m="1" x="6021"/>
        <item m="1" x="6366"/>
        <item m="1" x="7643"/>
        <item m="1" x="5538"/>
        <item m="1" x="6953"/>
        <item m="1" x="1067"/>
        <item m="1" x="3902"/>
        <item m="1" x="4241"/>
        <item m="1" x="3535"/>
        <item m="1" x="5245"/>
        <item m="1" x="4888"/>
        <item m="1" x="5137"/>
        <item m="1" x="572"/>
        <item m="1" x="3174"/>
        <item m="1" x="4442"/>
        <item m="1" x="7129"/>
        <item m="1" x="728"/>
        <item m="1" x="1934"/>
        <item m="1" x="4137"/>
        <item m="1" x="6053"/>
        <item m="1" x="1233"/>
        <item m="1" x="1998"/>
        <item m="1" x="622"/>
        <item m="1" x="7890"/>
        <item m="1" x="1264"/>
        <item m="1" x="6607"/>
        <item m="1" x="3864"/>
        <item m="1" x="7680"/>
        <item m="1" x="6875"/>
        <item m="1" x="574"/>
        <item m="1" x="4052"/>
        <item m="1" x="3398"/>
        <item m="1" x="1198"/>
        <item m="1" x="3384"/>
        <item m="1" x="1730"/>
        <item m="1" x="1601"/>
        <item m="1" x="6141"/>
        <item m="1" x="430"/>
        <item m="1" x="2732"/>
        <item m="1" x="5189"/>
        <item m="1" x="5009"/>
        <item m="1" x="1507"/>
        <item m="1" x="3354"/>
        <item m="1" x="7131"/>
        <item m="1" x="4730"/>
        <item m="1" x="6218"/>
        <item m="1" x="6920"/>
        <item m="1" x="6126"/>
        <item m="1" x="3268"/>
        <item m="1" x="4138"/>
        <item m="1" x="3214"/>
        <item m="1" x="2669"/>
        <item m="1" x="3751"/>
        <item m="1" x="5274"/>
        <item m="1" x="6401"/>
        <item m="1" x="2807"/>
        <item m="1" x="6984"/>
        <item m="1" x="4389"/>
        <item m="1" x="2432"/>
        <item m="1" x="3805"/>
        <item m="1" x="3137"/>
        <item m="1" x="5088"/>
        <item m="1" x="4583"/>
        <item m="1" x="6208"/>
        <item m="1" x="7531"/>
        <item m="1" x="4315"/>
        <item m="1" x="2209"/>
        <item m="1" x="5945"/>
        <item m="1" x="975"/>
        <item m="1" x="5585"/>
        <item m="1" x="5877"/>
        <item m="1" x="654"/>
        <item m="1" x="7140"/>
        <item m="1" x="6041"/>
        <item m="1" x="1522"/>
        <item m="1" x="6710"/>
        <item m="1" x="908"/>
        <item m="1" x="798"/>
        <item m="1" x="7607"/>
        <item m="1" x="4720"/>
        <item m="1" x="618"/>
        <item m="1" x="5844"/>
        <item m="1" x="5969"/>
        <item m="1" x="2484"/>
        <item m="1" x="2415"/>
        <item m="1" x="7575"/>
        <item m="1" x="1199"/>
        <item m="1" x="957"/>
        <item m="1" x="5119"/>
        <item m="1" x="6942"/>
        <item m="1" x="1025"/>
        <item m="1" x="4410"/>
        <item m="1" x="4663"/>
        <item m="1" x="5921"/>
        <item m="1" x="4261"/>
        <item m="1" x="3633"/>
        <item m="1" x="4831"/>
        <item m="1" x="4078"/>
        <item m="1" x="3120"/>
        <item m="1" x="6157"/>
        <item m="1" x="1399"/>
        <item m="1" x="341"/>
        <item m="1" x="2558"/>
        <item m="1" x="1303"/>
        <item m="1" x="7755"/>
        <item m="1" x="1906"/>
        <item m="1" x="1038"/>
        <item m="1" x="4925"/>
        <item m="1" x="2147"/>
        <item m="1" x="4235"/>
        <item m="1" x="4764"/>
        <item m="1" x="5490"/>
        <item m="1" x="3760"/>
        <item m="1" x="513"/>
        <item m="1" x="2680"/>
        <item m="1" x="6107"/>
        <item m="1" x="6571"/>
        <item m="1" x="5270"/>
        <item m="1" x="6210"/>
        <item m="1" x="1244"/>
        <item m="1" x="7013"/>
        <item m="1" x="965"/>
        <item m="1" x="2540"/>
        <item m="1" x="7261"/>
        <item m="1" x="288"/>
        <item m="1" x="5389"/>
        <item m="1" x="3821"/>
        <item m="1" x="530"/>
        <item m="1" x="6873"/>
        <item m="1" x="5163"/>
        <item m="1" x="2760"/>
        <item m="1" x="1903"/>
        <item m="1" x="5246"/>
        <item m="1" x="7135"/>
        <item m="1" x="7934"/>
        <item m="1" x="6800"/>
        <item m="1" x="4224"/>
        <item m="1" x="7513"/>
        <item m="1" x="270"/>
        <item m="1" x="6320"/>
        <item m="1" x="7581"/>
        <item m="1" x="1402"/>
        <item m="1" x="5030"/>
        <item m="1" x="4976"/>
        <item m="1" x="2495"/>
        <item m="1" x="2674"/>
        <item m="1" x="1160"/>
        <item m="1" x="4200"/>
        <item m="1" x="2577"/>
        <item m="1" x="1960"/>
        <item m="1" x="4948"/>
        <item m="1" x="6515"/>
        <item m="1" x="5552"/>
        <item m="1" x="3375"/>
        <item m="1" x="7170"/>
        <item m="1" x="2389"/>
        <item m="1" x="2482"/>
        <item m="1" x="2809"/>
        <item m="1" x="2127"/>
        <item m="1" x="2311"/>
        <item m="1" x="3039"/>
        <item m="1" x="4226"/>
        <item m="1" x="7423"/>
        <item m="1" x="6563"/>
        <item m="1" x="2153"/>
        <item m="1" x="5291"/>
        <item m="1" x="5230"/>
        <item m="1" x="4952"/>
        <item m="1" x="7034"/>
        <item m="1" x="4806"/>
        <item m="1" x="4360"/>
        <item m="1" x="946"/>
        <item m="1" x="1613"/>
        <item m="1" x="4101"/>
        <item m="1" x="1908"/>
        <item m="1" x="5169"/>
        <item m="1" x="7676"/>
        <item m="1" x="7807"/>
        <item m="1" x="1669"/>
        <item m="1" x="7078"/>
        <item m="1" x="7232"/>
        <item m="1" x="576"/>
        <item m="1" x="546"/>
        <item m="1" x="6135"/>
        <item m="1" x="4431"/>
        <item m="1" x="6001"/>
        <item m="1" x="682"/>
        <item m="1" x="293"/>
        <item m="1" x="5979"/>
        <item m="1" x="5386"/>
        <item m="1" x="4438"/>
        <item m="1" x="4229"/>
        <item m="1" x="1922"/>
        <item m="1" x="1401"/>
        <item m="1" x="4849"/>
        <item m="1" x="5353"/>
        <item m="1" x="4812"/>
        <item m="1" x="3038"/>
        <item m="1" x="4117"/>
        <item m="1" x="4208"/>
        <item m="1" x="5818"/>
        <item m="1" x="4621"/>
        <item m="1" x="1641"/>
        <item m="1" x="7090"/>
        <item m="1" x="3753"/>
        <item m="1" x="6996"/>
        <item m="1" x="3727"/>
        <item m="1" x="3544"/>
        <item m="1" x="874"/>
        <item m="1" x="2534"/>
        <item m="1" x="5946"/>
        <item m="1" x="5062"/>
        <item m="1" x="450"/>
        <item m="1" x="245"/>
        <item m="1" x="3243"/>
        <item m="1" x="755"/>
        <item m="1" x="2602"/>
        <item m="1" x="4895"/>
        <item m="1" x="4286"/>
        <item m="1" x="3520"/>
        <item m="1" x="2036"/>
        <item m="1" x="4333"/>
        <item m="1" x="6934"/>
        <item m="1" x="1073"/>
        <item m="1" x="528"/>
        <item m="1" x="860"/>
        <item m="1" x="7809"/>
        <item m="1" x="2821"/>
        <item m="1" x="7010"/>
        <item m="1" x="1239"/>
        <item m="1" x="1471"/>
        <item m="1" x="5993"/>
        <item m="1" x="3721"/>
        <item m="1" x="4255"/>
        <item m="1" x="5407"/>
        <item m="1" x="4651"/>
        <item m="1" x="5280"/>
        <item m="1" x="1476"/>
        <item m="1" x="3203"/>
        <item m="1" x="5091"/>
        <item m="1" x="3178"/>
        <item m="1" x="3965"/>
        <item m="1" x="1477"/>
        <item m="1" x="3619"/>
        <item m="1" x="4652"/>
        <item m="1" x="2458"/>
        <item m="1" x="2749"/>
        <item m="1" x="5735"/>
        <item m="1" x="1690"/>
        <item m="1" x="2745"/>
        <item m="1" x="6804"/>
        <item m="1" x="7088"/>
        <item m="1" x="1479"/>
        <item m="1" x="1457"/>
        <item m="1" x="880"/>
        <item m="1" x="2192"/>
        <item m="1" x="1489"/>
        <item m="1" x="1355"/>
        <item m="1" x="2249"/>
        <item m="1" x="717"/>
        <item m="1" x="3030"/>
        <item m="1" x="6940"/>
        <item m="1" x="972"/>
        <item m="1" x="3945"/>
        <item m="1" x="5215"/>
        <item m="1" x="1688"/>
        <item m="1" x="5436"/>
        <item m="1" x="7740"/>
        <item m="1" x="4680"/>
        <item m="1" x="3102"/>
        <item m="1" x="1205"/>
        <item m="1" x="1396"/>
        <item m="1" x="6316"/>
        <item m="1" x="3495"/>
        <item m="1" x="6341"/>
        <item m="1" x="2706"/>
        <item m="1" x="4838"/>
        <item m="1" x="6795"/>
        <item m="1" x="3071"/>
        <item m="1" x="7384"/>
        <item m="1" x="1193"/>
        <item m="1" x="7139"/>
        <item m="1" x="1961"/>
        <item m="1" x="3351"/>
        <item m="1" x="7660"/>
        <item m="1" x="4127"/>
        <item m="1" x="6926"/>
        <item m="1" x="2439"/>
        <item m="1" x="2370"/>
        <item m="1" x="354"/>
        <item m="1" x="4322"/>
        <item m="1" x="7149"/>
        <item m="1" x="1832"/>
        <item m="1" x="4013"/>
        <item m="1" x="7401"/>
        <item m="1" x="7590"/>
        <item m="1" x="2767"/>
        <item m="1" x="4405"/>
        <item m="1" x="4395"/>
        <item m="1" x="6965"/>
        <item m="1" x="980"/>
        <item m="1" x="3897"/>
        <item m="1" x="5297"/>
        <item m="1" x="1151"/>
        <item m="1" x="447"/>
        <item m="1" x="6511"/>
        <item m="1" x="7303"/>
        <item m="1" x="5236"/>
        <item m="1" x="2225"/>
        <item m="1" x="3698"/>
        <item m="1" x="7763"/>
        <item m="1" x="7516"/>
        <item m="1" x="2203"/>
        <item m="1" x="4377"/>
        <item m="1" x="2151"/>
        <item m="1" x="3075"/>
        <item m="1" x="5589"/>
        <item m="1" x="6305"/>
        <item m="1" x="2546"/>
        <item m="1" x="6555"/>
        <item m="1" x="925"/>
        <item m="1" x="7368"/>
        <item m="1" x="1043"/>
        <item m="1" x="7648"/>
        <item m="1" x="3060"/>
        <item m="1" x="2532"/>
        <item m="1" x="2066"/>
        <item m="1" x="2875"/>
        <item m="1" x="6434"/>
        <item m="1" x="4492"/>
        <item m="1" x="6578"/>
        <item m="1" x="4149"/>
        <item m="1" x="2620"/>
        <item m="1" x="5004"/>
        <item m="1" x="2488"/>
        <item m="1" x="5559"/>
        <item m="1" x="6915"/>
        <item m="1" x="2865"/>
        <item m="1" x="3942"/>
        <item m="1" x="2658"/>
        <item m="1" x="6017"/>
        <item m="1" x="2152"/>
        <item m="1" x="5229"/>
        <item m="1" x="2498"/>
        <item m="1" x="478"/>
        <item m="1" x="775"/>
        <item m="1" x="1451"/>
        <item m="1" x="3906"/>
        <item m="1" x="3515"/>
        <item m="1" x="1001"/>
        <item m="1" x="1837"/>
        <item m="1" x="2576"/>
        <item m="1" x="7357"/>
        <item m="1" x="2826"/>
        <item m="1" x="7862"/>
        <item m="1" x="1663"/>
        <item m="1" x="5809"/>
        <item m="1" x="939"/>
        <item m="1" x="4594"/>
        <item m="1" x="6317"/>
        <item m="1" x="2440"/>
        <item m="1" x="7857"/>
        <item m="1" x="5558"/>
        <item m="1" x="7014"/>
        <item m="1" x="3020"/>
        <item m="1" x="2038"/>
        <item m="1" x="4551"/>
        <item m="1" x="4488"/>
        <item m="1" x="551"/>
        <item m="1" x="7207"/>
        <item m="1" x="795"/>
        <item m="1" x="2460"/>
        <item m="1" x="5812"/>
        <item m="1" x="6322"/>
        <item m="1" x="6960"/>
        <item m="1" x="1237"/>
        <item m="1" x="761"/>
        <item m="1" x="5036"/>
        <item m="1" x="5439"/>
        <item m="1" x="7906"/>
        <item m="1" x="2242"/>
        <item m="1" x="5165"/>
        <item m="1" x="7257"/>
        <item m="1" x="2525"/>
        <item m="1" x="7349"/>
        <item m="1" x="5955"/>
        <item m="1" x="2667"/>
        <item m="1" x="3604"/>
        <item m="1" x="3224"/>
        <item m="1" x="2754"/>
        <item m="1" x="6254"/>
        <item m="1" x="5465"/>
        <item m="1" x="2000"/>
        <item m="1" x="2033"/>
        <item m="1" x="3638"/>
        <item m="1" x="2258"/>
        <item m="1" x="1019"/>
        <item m="1" x="1194"/>
        <item m="1" x="7025"/>
        <item m="1" x="1788"/>
        <item m="1" x="2938"/>
        <item m="1" x="428"/>
        <item m="1" x="6482"/>
        <item m="1" x="4232"/>
        <item m="1" x="4748"/>
        <item m="1" x="1931"/>
        <item m="1" x="2922"/>
        <item m="1" x="6096"/>
        <item m="1" x="844"/>
        <item m="1" x="5958"/>
        <item m="1" x="7104"/>
        <item m="1" x="4455"/>
        <item m="1" x="4530"/>
        <item m="1" x="3757"/>
        <item m="1" x="500"/>
        <item m="1" x="5949"/>
        <item m="1" x="1433"/>
        <item m="1" x="2302"/>
        <item m="1" x="5460"/>
        <item m="1" x="725"/>
        <item m="1" x="7183"/>
        <item m="1" x="6751"/>
        <item m="1" x="2468"/>
        <item m="1" x="502"/>
        <item m="1" x="2744"/>
        <item m="1" x="2507"/>
        <item m="1" x="2130"/>
        <item m="1" x="494"/>
        <item m="1" x="6686"/>
        <item m="1" x="1900"/>
        <item m="1" x="3487"/>
        <item m="1" x="1078"/>
        <item m="1" x="7320"/>
        <item m="1" x="4863"/>
        <item m="1" x="1011"/>
        <item m="1" x="4633"/>
        <item m="1" x="1377"/>
        <item m="1" x="6394"/>
        <item m="1" x="1363"/>
        <item m="1" x="998"/>
        <item m="1" x="407"/>
        <item m="1" x="6701"/>
        <item m="1" x="2870"/>
        <item m="1" x="6906"/>
        <item m="1" x="2221"/>
        <item m="1" x="2705"/>
        <item m="1" x="6892"/>
        <item m="1" x="721"/>
        <item m="1" x="7546"/>
        <item m="1" x="6086"/>
        <item m="1" x="3573"/>
        <item m="1" x="6464"/>
        <item m="1" x="2295"/>
        <item m="1" x="750"/>
        <item m="1" x="915"/>
        <item m="1" x="2625"/>
        <item m="1" x="7154"/>
        <item m="1" x="3624"/>
        <item m="1" x="3800"/>
        <item m="1" x="4593"/>
        <item m="1" x="702"/>
        <item m="1" x="3803"/>
        <item m="1" x="5731"/>
        <item m="1" x="1892"/>
        <item m="1" x="7291"/>
        <item m="1" x="4993"/>
        <item m="1" x="911"/>
        <item m="1" x="5268"/>
        <item m="1" x="6274"/>
        <item m="1" x="2246"/>
        <item m="1" x="5395"/>
        <item m="1" x="6245"/>
        <item m="1" x="4810"/>
        <item m="1" x="7651"/>
        <item m="1" x="6792"/>
        <item m="1" x="731"/>
        <item m="1" x="5992"/>
        <item m="1" x="5534"/>
        <item m="1" x="5488"/>
        <item m="1" x="2426"/>
        <item m="1" x="3634"/>
        <item m="1" x="1134"/>
        <item m="1" x="7788"/>
        <item m="1" x="5047"/>
        <item m="1" x="7584"/>
        <item m="1" x="1096"/>
        <item m="1" x="387"/>
        <item m="1" x="1380"/>
        <item m="1" x="3798"/>
        <item m="1" x="4623"/>
        <item m="1" x="3728"/>
        <item m="1" x="4868"/>
        <item m="1" x="4754"/>
        <item m="1" x="2091"/>
        <item m="1" x="3526"/>
        <item m="1" x="4469"/>
        <item m="1" x="3997"/>
        <item m="1" x="6443"/>
        <item m="1" x="5117"/>
        <item m="1" x="1326"/>
        <item m="1" x="5448"/>
        <item m="1" x="6354"/>
        <item m="1" x="7352"/>
        <item m="1" x="3050"/>
        <item m="1" x="5083"/>
        <item m="1" x="1572"/>
        <item m="1" x="5087"/>
        <item m="1" x="5555"/>
        <item m="1" x="5316"/>
        <item m="1" x="647"/>
        <item m="1" x="7626"/>
        <item m="1" x="5339"/>
        <item m="1" x="4755"/>
        <item m="1" x="3397"/>
        <item m="1" x="4132"/>
        <item m="1" x="7930"/>
        <item m="1" x="5557"/>
        <item m="1" x="4743"/>
        <item m="1" x="2962"/>
        <item m="1" x="6326"/>
        <item m="1" x="2624"/>
        <item m="1" x="7206"/>
        <item m="1" x="3923"/>
        <item m="1" x="914"/>
        <item m="1" x="2746"/>
        <item m="1" x="2335"/>
        <item m="1" x="2839"/>
        <item m="1" x="3530"/>
        <item m="1" x="5726"/>
        <item m="1" x="997"/>
        <item m="1" x="7404"/>
        <item m="1" x="2365"/>
        <item m="1" x="2920"/>
        <item m="1" x="6931"/>
        <item m="1" x="612"/>
        <item m="1" x="7235"/>
        <item m="1" x="3111"/>
        <item m="1" x="3069"/>
        <item m="1" x="2613"/>
        <item m="1" x="4161"/>
        <item m="1" x="3293"/>
        <item m="1" x="5001"/>
        <item m="1" x="2676"/>
        <item m="1" x="5044"/>
        <item m="1" x="2529"/>
        <item m="1" x="4205"/>
        <item m="1" x="3370"/>
        <item m="1" x="268"/>
        <item m="1" x="6954"/>
        <item m="1" x="5173"/>
        <item m="1" x="4170"/>
        <item m="1" x="6251"/>
        <item m="1" x="2453"/>
        <item m="1" x="2695"/>
        <item m="1" x="7470"/>
        <item m="1" x="6295"/>
        <item m="1" x="4723"/>
        <item m="1" x="2243"/>
        <item m="1" x="2402"/>
        <item m="1" x="1616"/>
        <item m="1" x="7189"/>
        <item m="1" x="5588"/>
        <item m="1" x="7335"/>
        <item m="1" x="236"/>
        <item m="1" x="1049"/>
        <item m="1" x="1075"/>
        <item m="1" x="6011"/>
        <item m="1" x="6626"/>
        <item m="1" x="891"/>
        <item m="1" x="1211"/>
        <item m="1" x="2461"/>
        <item m="1" x="7803"/>
        <item m="1" x="256"/>
        <item m="1" x="5479"/>
        <item m="1" x="3829"/>
        <item m="1" x="7730"/>
        <item m="1" x="6050"/>
        <item m="1" x="5600"/>
        <item m="1" x="3855"/>
        <item m="1" x="3094"/>
        <item m="1" x="4087"/>
        <item m="1" x="1540"/>
        <item m="1" x="6298"/>
        <item m="1" x="6632"/>
        <item m="1" x="2030"/>
        <item m="1" x="833"/>
        <item m="1" x="6456"/>
        <item m="1" x="3266"/>
        <item m="1" x="4892"/>
        <item m="1" x="6012"/>
        <item m="1" x="619"/>
        <item m="1" x="405"/>
        <item m="1" x="6340"/>
        <item m="1" x="7504"/>
        <item m="1" x="2169"/>
        <item m="1" x="244"/>
        <item m="1" x="3522"/>
        <item m="1" x="753"/>
        <item m="1" x="5110"/>
        <item m="1" x="3365"/>
        <item m="1" x="5152"/>
        <item m="1" x="2784"/>
        <item m="1" x="4394"/>
        <item m="1" x="2113"/>
        <item m="1" x="4536"/>
        <item m="1" x="2969"/>
        <item m="1" x="6396"/>
        <item m="1" x="6139"/>
        <item m="1" x="3649"/>
        <item m="1" x="2406"/>
        <item m="1" x="5659"/>
        <item m="1" x="6711"/>
        <item m="1" x="4467"/>
        <item m="1" x="3578"/>
        <item m="1" x="2288"/>
        <item m="1" x="2233"/>
        <item m="1" x="6457"/>
        <item m="1" x="1128"/>
        <item m="1" x="5249"/>
        <item m="1" x="5317"/>
        <item m="1" x="7017"/>
        <item m="1" x="4538"/>
        <item m="1" x="2994"/>
        <item m="1" x="6879"/>
        <item m="1" x="3777"/>
        <item m="1" x="5956"/>
        <item m="1" x="7529"/>
        <item m="1" x="7374"/>
        <item m="1" x="3246"/>
        <item m="1" x="349"/>
        <item m="1" x="4803"/>
        <item m="1" x="7785"/>
        <item m="1" x="6745"/>
        <item m="1" x="7843"/>
        <item m="1" x="6987"/>
        <item m="1" x="1357"/>
        <item m="1" x="7319"/>
        <item m="1" x="5916"/>
        <item m="1" x="4612"/>
        <item m="1" x="2232"/>
        <item m="1" x="4439"/>
        <item m="1" x="5259"/>
        <item m="1" x="5232"/>
        <item m="1" x="3880"/>
        <item m="1" x="2820"/>
        <item m="1" x="2202"/>
        <item m="1" x="1863"/>
        <item m="1" x="2785"/>
        <item m="1" x="7869"/>
        <item m="1" x="1771"/>
        <item m="1" x="3141"/>
        <item m="1" x="3441"/>
        <item m="1" x="996"/>
        <item m="1" x="5609"/>
        <item m="1" x="887"/>
        <item m="1" x="1235"/>
        <item m="1" x="6589"/>
        <item m="1" x="4340"/>
        <item m="1" x="6143"/>
        <item m="1" x="2694"/>
        <item m="1" x="6307"/>
        <item m="1" x="5271"/>
        <item m="1" x="3322"/>
        <item m="1" x="633"/>
        <item m="1" x="4924"/>
        <item m="1" x="609"/>
        <item m="1" x="2485"/>
        <item m="1" x="4795"/>
        <item m="1" x="3276"/>
        <item m="1" x="4672"/>
        <item m="1" x="2044"/>
        <item m="1" x="6333"/>
        <item m="1" x="4390"/>
        <item m="1" x="6221"/>
        <item m="1" x="7112"/>
        <item m="1" x="353"/>
        <item m="1" x="3043"/>
        <item m="1" x="6691"/>
        <item m="1" x="4662"/>
        <item m="1" x="5607"/>
        <item m="1" x="1293"/>
        <item m="1" x="4382"/>
        <item m="1" x="3830"/>
        <item m="1" x="6381"/>
        <item m="1" x="7214"/>
        <item m="1" x="7280"/>
        <item m="1" x="7443"/>
        <item m="1" x="6170"/>
        <item m="1" x="474"/>
        <item m="1" x="6444"/>
        <item m="1" x="3847"/>
        <item m="1" x="4288"/>
        <item m="1" x="5193"/>
        <item m="1" x="4428"/>
        <item m="1" x="547"/>
        <item m="1" x="7267"/>
        <item m="1" x="802"/>
        <item m="1" x="3677"/>
        <item m="1" x="6071"/>
        <item m="1" x="6232"/>
        <item m="1" x="1113"/>
        <item m="1" x="1018"/>
        <item m="1" x="4447"/>
        <item m="1" x="1531"/>
        <item m="1" x="3110"/>
        <item m="1" x="6870"/>
        <item m="1" x="7849"/>
        <item m="1" x="3593"/>
        <item m="1" x="5423"/>
        <item m="1" x="5212"/>
        <item m="1" x="6448"/>
        <item m="1" x="7197"/>
        <item m="1" x="3754"/>
        <item m="1" x="4031"/>
        <item m="1" x="6516"/>
        <item m="1" x="7488"/>
        <item m="1" x="1678"/>
        <item m="1" x="5786"/>
        <item m="1" x="2135"/>
        <item m="1" x="6740"/>
        <item m="1" x="416"/>
        <item m="1" x="4199"/>
        <item m="1" x="3126"/>
        <item m="1" x="5531"/>
        <item m="1" x="1897"/>
        <item m="1" x="3701"/>
        <item m="1" x="2010"/>
        <item m="1" x="6982"/>
        <item m="1" x="1664"/>
        <item m="1" x="5691"/>
        <item m="1" x="6081"/>
        <item m="1" x="7121"/>
        <item m="1" x="5893"/>
        <item m="1" x="594"/>
        <item m="1" x="4511"/>
        <item m="1" x="4552"/>
        <item m="1" x="7741"/>
        <item m="1" x="2077"/>
        <item m="1" x="7540"/>
        <item m="1" x="2873"/>
        <item m="1" x="6463"/>
        <item m="1" x="222"/>
        <item m="1" x="4278"/>
        <item m="1" x="5701"/>
        <item m="1" x="5129"/>
        <item m="1" x="7888"/>
        <item m="1" x="4702"/>
        <item m="1" x="4460"/>
        <item m="1" x="4893"/>
        <item m="1" x="1975"/>
        <item m="1" x="7781"/>
        <item m="1" x="4183"/>
        <item m="1" x="4844"/>
        <item m="1" x="548"/>
        <item m="1" x="4432"/>
        <item m="1" x="6658"/>
        <item m="1" x="6884"/>
        <item m="1" x="4532"/>
        <item m="1" x="4130"/>
        <item m="1" x="412"/>
        <item m="1" x="4391"/>
        <item m="1" x="2582"/>
        <item m="1" x="7882"/>
        <item m="1" x="1046"/>
        <item m="1" x="3687"/>
        <item m="1" x="3395"/>
        <item m="1" x="4409"/>
        <item m="1" x="1107"/>
        <item m="1" x="6506"/>
        <item m="1" x="665"/>
        <item m="1" x="292"/>
        <item m="1" x="3936"/>
        <item m="1" x="848"/>
        <item m="1" x="1879"/>
        <item m="1" x="2954"/>
        <item m="1" x="7440"/>
        <item m="1" x="3193"/>
        <item m="1" x="7294"/>
        <item m="1" x="741"/>
        <item m="1" x="6034"/>
        <item m="1" x="6067"/>
        <item m="1" x="7508"/>
        <item m="1" x="2081"/>
        <item m="1" x="3086"/>
        <item m="1" x="2544"/>
        <item m="1" x="4260"/>
        <item m="1" x="3922"/>
        <item m="1" x="5968"/>
        <item m="1" x="1935"/>
        <item m="1" x="3476"/>
        <item m="1" x="567"/>
        <item m="1" x="3457"/>
        <item m="1" x="2593"/>
        <item m="1" x="5569"/>
        <item m="1" x="2600"/>
        <item m="1" x="940"/>
        <item m="1" x="3696"/>
        <item m="1" x="2079"/>
        <item m="1" x="5300"/>
        <item m="1" x="4522"/>
        <item m="1" x="5374"/>
        <item m="1" x="2496"/>
        <item m="1" x="5543"/>
        <item m="1" x="6612"/>
        <item m="1" x="6616"/>
        <item m="1" x="7081"/>
        <item m="1" x="4535"/>
        <item m="1" x="1306"/>
        <item m="1" x="6213"/>
        <item m="1" x="2704"/>
        <item m="1" x="4480"/>
        <item m="1" x="2456"/>
        <item m="1" x="6108"/>
        <item m="1" x="2502"/>
        <item m="1" x="2988"/>
        <item m="1" x="2235"/>
        <item m="1" x="4789"/>
        <item m="1" x="448"/>
        <item m="1" x="4396"/>
        <item m="1" x="7884"/>
        <item m="1" x="4272"/>
        <item m="1" x="1631"/>
        <item m="1" x="6060"/>
        <item m="1" x="6461"/>
        <item m="1" x="2340"/>
        <item m="1" x="4565"/>
        <item m="1" x="6971"/>
        <item m="1" x="5882"/>
        <item m="1" x="2183"/>
        <item m="1" x="2678"/>
        <item m="1" x="2607"/>
        <item m="1" x="1305"/>
        <item m="1" x="856"/>
        <item m="1" x="1037"/>
        <item m="1" x="6673"/>
        <item m="1" x="1447"/>
        <item m="1" x="4210"/>
        <item m="1" x="5853"/>
        <item m="1" x="432"/>
        <item m="1" x="5602"/>
        <item m="1" x="4813"/>
        <item m="1" x="6103"/>
        <item m="1" x="6469"/>
        <item m="1" x="2836"/>
        <item m="1" x="6689"/>
        <item m="1" x="762"/>
        <item m="1" x="6428"/>
        <item m="1" x="7284"/>
        <item m="1" x="4095"/>
        <item m="1" x="5933"/>
        <item m="1" x="5464"/>
        <item m="1" x="4775"/>
        <item m="1" x="4295"/>
        <item m="1" x="5616"/>
        <item m="1" x="1083"/>
        <item m="1" x="3335"/>
        <item m="1" x="1221"/>
        <item m="1" x="938"/>
        <item m="1" x="3352"/>
        <item m="1" x="2855"/>
        <item m="1" x="3409"/>
        <item m="1" x="2029"/>
        <item m="1" x="1039"/>
        <item m="1" x="6952"/>
        <item m="1" x="5358"/>
        <item m="1" x="6331"/>
        <item m="1" x="258"/>
        <item m="1" x="3536"/>
        <item m="1" x="4408"/>
        <item m="1" x="1440"/>
        <item m="1" x="7385"/>
        <item m="1" x="6185"/>
        <item m="1" x="239"/>
        <item m="1" x="5381"/>
        <item m="1" x="4943"/>
        <item m="1" x="1622"/>
        <item m="1" x="1703"/>
        <item m="1" x="5346"/>
        <item m="1" x="6959"/>
        <item m="1" x="5182"/>
        <item m="1" x="2124"/>
        <item m="1" x="1074"/>
        <item m="1" x="4017"/>
        <item m="1" x="5548"/>
        <item m="1" x="7548"/>
        <item m="1" x="6117"/>
        <item m="1" x="832"/>
        <item m="1" x="3703"/>
        <item m="1" x="2450"/>
        <item m="1" x="2230"/>
        <item m="1" x="1381"/>
        <item m="1" x="6166"/>
        <item m="1" x="7413"/>
        <item m="1" x="2022"/>
        <item m="1" x="4747"/>
        <item m="1" x="2032"/>
        <item m="1" x="7813"/>
        <item m="1" x="2266"/>
        <item m="1" x="344"/>
        <item m="1" x="7033"/>
        <item m="1" x="3531"/>
        <item m="1" x="7892"/>
        <item m="1" x="2253"/>
        <item m="1" x="3328"/>
        <item m="1" x="4463"/>
        <item m="1" x="2150"/>
        <item m="1" x="4326"/>
        <item m="1" x="6217"/>
        <item m="1" x="5371"/>
        <item m="1" x="962"/>
        <item m="1" x="2265"/>
        <item m="1" x="5507"/>
        <item m="1" x="6814"/>
        <item m="1" x="321"/>
        <item m="1" x="6358"/>
        <item m="1" x="2786"/>
        <item m="1" x="7255"/>
        <item m="1" x="640"/>
        <item m="1" x="2322"/>
        <item m="1" x="4930"/>
        <item m="1" x="5419"/>
        <item m="1" x="4934"/>
        <item m="1" x="7084"/>
        <item m="1" x="4050"/>
        <item m="1" x="7878"/>
        <item m="1" x="1886"/>
        <item m="1" x="2217"/>
        <item m="1" x="2903"/>
        <item m="1" x="1657"/>
        <item m="1" x="2726"/>
        <item m="1" x="7178"/>
        <item m="1" x="4735"/>
        <item m="1" x="7670"/>
        <item m="1" x="5948"/>
        <item m="1" x="4204"/>
        <item m="1" x="1607"/>
        <item m="1" x="1369"/>
        <item m="1" x="3399"/>
        <item m="1" x="1240"/>
        <item m="1" x="1292"/>
        <item m="1" x="323"/>
        <item m="1" x="7833"/>
        <item m="1" x="7393"/>
        <item m="1" x="6894"/>
        <item m="1" x="4453"/>
        <item m="1" x="649"/>
        <item m="1" x="5450"/>
        <item m="1" x="4465"/>
        <item m="1" x="2506"/>
        <item m="1" x="4741"/>
        <item m="1" x="5093"/>
        <item m="1" x="7790"/>
        <item m="1" x="3741"/>
        <item m="1" x="6958"/>
        <item m="1" x="710"/>
        <item m="1" x="3692"/>
        <item m="1" x="6534"/>
        <item m="1" x="1129"/>
        <item m="1" x="5335"/>
        <item m="1" x="3417"/>
        <item m="1" x="620"/>
        <item m="1" x="5043"/>
        <item m="1" x="511"/>
        <item m="1" x="3496"/>
        <item m="1" x="7561"/>
        <item m="1" x="2462"/>
        <item m="1" x="6339"/>
        <item m="1" x="6754"/>
        <item m="1" x="5468"/>
        <item m="1" x="5011"/>
        <item m="1" x="1597"/>
        <item m="1" x="5908"/>
        <item m="1" x="3740"/>
        <item m="1" x="7943"/>
        <item m="1" x="6485"/>
        <item m="1" x="7302"/>
        <item m="1" x="380"/>
        <item m="1" x="356"/>
        <item m="1" x="3813"/>
        <item m="1" x="3617"/>
        <item m="1" x="617"/>
        <item m="1" x="6810"/>
        <item m="1" x="1070"/>
        <item m="1" x="1166"/>
        <item m="1" x="5510"/>
        <item m="1" x="7641"/>
        <item m="1" x="3207"/>
        <item m="1" x="3199"/>
        <item m="1" x="3978"/>
        <item m="1" x="6682"/>
        <item m="1" x="2517"/>
        <item m="1" x="4882"/>
        <item m="1" x="3849"/>
        <item m="1" x="4279"/>
        <item m="1" x="6483"/>
        <item m="1" x="4630"/>
        <item m="1" x="6313"/>
        <item m="1" x="936"/>
        <item m="1" x="1530"/>
        <item m="1" x="5685"/>
        <item m="1" x="7391"/>
        <item m="1" x="4356"/>
        <item m="1" x="6816"/>
        <item m="1" x="1392"/>
        <item m="1" x="2795"/>
        <item m="1" x="3664"/>
        <item m="1" x="5267"/>
        <item m="1" x="1114"/>
        <item m="1" x="2447"/>
        <item m="1" x="3860"/>
        <item m="1" x="3957"/>
        <item m="1" x="1387"/>
        <item m="1" x="6398"/>
        <item m="1" x="4330"/>
        <item m="1" x="7723"/>
        <item m="1" x="7951"/>
        <item m="1" x="5604"/>
        <item m="1" x="6121"/>
        <item m="1" x="4213"/>
        <item m="1" x="4567"/>
        <item m="1" x="7100"/>
        <item m="1" x="3381"/>
        <item m="1" x="7816"/>
        <item m="1" x="4545"/>
        <item m="1" x="7201"/>
        <item m="1" x="4273"/>
        <item m="1" x="6110"/>
        <item m="1" x="1065"/>
        <item m="1" x="5392"/>
        <item m="1" x="6423"/>
        <item m="1" x="1027"/>
        <item m="1" x="1881"/>
        <item m="1" x="7602"/>
        <item m="1" x="7495"/>
        <item m="1" x="5822"/>
        <item m="1" x="5478"/>
        <item m="1" x="1619"/>
        <item m="1" x="7772"/>
        <item m="1" x="5081"/>
        <item m="1" x="1554"/>
        <item m="1" x="5375"/>
        <item m="1" x="7720"/>
        <item m="1" x="5484"/>
        <item m="1" x="5657"/>
        <item m="1" x="7402"/>
        <item m="1" x="309"/>
        <item m="1" x="6645"/>
        <item m="1" x="5723"/>
        <item m="1" x="2343"/>
        <item m="1" x="688"/>
        <item m="1" x="4277"/>
        <item m="1" x="7757"/>
        <item m="1" x="1980"/>
        <item m="1" x="5264"/>
        <item m="1" x="2469"/>
        <item m="1" x="4989"/>
        <item m="1" x="5623"/>
        <item m="1" x="834"/>
        <item m="1" x="902"/>
        <item m="1" x="4766"/>
        <item m="1" x="4258"/>
        <item m="1" x="6758"/>
        <item m="1" x="434"/>
        <item m="1" x="6005"/>
        <item m="1" x="873"/>
        <item m="1" x="752"/>
        <item m="1" x="4703"/>
        <item m="1" x="4502"/>
        <item m="1" x="5393"/>
        <item m="1" x="7827"/>
        <item m="1" x="1880"/>
        <item m="1" x="6936"/>
        <item m="1" x="850"/>
        <item m="1" x="7230"/>
        <item m="1" x="4371"/>
        <item m="1" x="3825"/>
        <item m="1" x="6165"/>
        <item m="1" x="6301"/>
        <item m="1" x="1558"/>
        <item m="1" x="3190"/>
        <item m="1" x="6921"/>
        <item m="1" x="5537"/>
        <item m="1" x="5281"/>
        <item m="1" x="5192"/>
        <item m="1" x="3132"/>
        <item m="1" x="7595"/>
        <item m="1" x="3160"/>
        <item m="1" x="6048"/>
        <item m="1" x="3439"/>
        <item m="1" x="2301"/>
        <item m="1" x="4678"/>
        <item m="1" x="6426"/>
        <item m="1" x="2831"/>
        <item m="1" x="247"/>
        <item m="1" x="3605"/>
        <item m="1" x="994"/>
        <item m="1" x="3273"/>
        <item m="1" x="4585"/>
        <item m="1" x="3317"/>
        <item m="1" x="1738"/>
        <item m="1" x="672"/>
        <item m="1" x="1431"/>
        <item m="1" x="3269"/>
        <item m="1" x="7549"/>
        <item m="1" x="5925"/>
        <item m="1" x="4003"/>
        <item m="1" x="5131"/>
        <item m="1" x="2606"/>
        <item m="1" x="7727"/>
        <item m="1" x="2657"/>
        <item m="1" x="7544"/>
        <item m="1" x="4445"/>
        <item m="1" x="7247"/>
        <item m="1" x="7138"/>
        <item m="1" x="1751"/>
        <item m="1" x="5864"/>
        <item m="1" x="4737"/>
        <item m="1" x="949"/>
        <item m="1" x="3321"/>
        <item m="1" x="1084"/>
        <item m="1" x="506"/>
        <item m="1" x="831"/>
        <item m="1" x="7750"/>
        <item m="1" x="5216"/>
        <item m="1" x="7453"/>
        <item m="1" x="6279"/>
        <item m="1" x="533"/>
        <item m="1" x="4116"/>
        <item m="1" x="907"/>
        <item m="1" x="7328"/>
        <item m="1" x="4075"/>
        <item m="1" x="2252"/>
        <item m="1" x="7512"/>
        <item m="1" x="3488"/>
        <item m="1" x="3229"/>
        <item m="1" x="7063"/>
        <item m="1" x="5899"/>
        <item m="1" x="4011"/>
        <item m="1" x="4324"/>
        <item m="1" x="7326"/>
        <item m="1" x="4179"/>
        <item m="1" x="3550"/>
        <item m="1" x="1894"/>
        <item m="1" x="699"/>
        <item m="1" x="6435"/>
        <item m="1" x="4939"/>
        <item m="1" x="2423"/>
        <item m="1" x="7405"/>
        <item m="1" x="3621"/>
        <item m="1" x="5481"/>
        <item m="1" x="512"/>
        <item m="1" x="1316"/>
        <item m="1" x="5145"/>
        <item m="1" x="7417"/>
        <item m="1" x="4091"/>
        <item m="1" x="1824"/>
        <item m="1" x="2892"/>
        <item m="1" x="6309"/>
        <item m="1" x="3053"/>
        <item m="1" x="6769"/>
        <item m="1" x="2318"/>
        <item m="1" x="4496"/>
        <item m="1" x="2256"/>
        <item m="1" x="4563"/>
        <item m="1" x="2769"/>
        <item m="1" x="6576"/>
        <item m="1" x="7145"/>
        <item m="1" x="2733"/>
        <item m="1" x="5975"/>
        <item m="1" x="2917"/>
        <item m="1" x="623"/>
        <item m="1" x="2143"/>
        <item m="1" x="2888"/>
        <item m="1" x="2585"/>
        <item m="1" x="718"/>
        <item m="1" x="461"/>
        <item m="1" x="6857"/>
        <item m="1" x="7636"/>
        <item m="1" x="1866"/>
        <item m="1" x="3972"/>
        <item m="1" x="7231"/>
        <item m="1" x="5668"/>
        <item m="1" x="5638"/>
        <item m="1" x="1137"/>
        <item m="1" x="1793"/>
        <item m="1" x="5360"/>
        <item m="1" x="1682"/>
        <item m="1" x="4967"/>
        <item m="1" x="7009"/>
        <item m="1" x="5797"/>
        <item m="1" x="4387"/>
        <item m="1" x="3143"/>
        <item m="1" x="3683"/>
        <item m="1" x="985"/>
        <item m="1" x="4842"/>
        <item m="1" x="7251"/>
        <item m="1" x="3932"/>
        <item m="1" x="3555"/>
        <item m="1" x="7621"/>
        <item m="1" x="1365"/>
        <item m="1" x="7613"/>
        <item m="1" x="3841"/>
        <item m="1" x="1398"/>
        <item m="1" x="1143"/>
        <item m="1" x="1630"/>
        <item m="1" x="2928"/>
        <item m="1" x="6455"/>
        <item m="1" x="6229"/>
        <item m="1" x="2850"/>
        <item m="1" x="297"/>
        <item m="1" x="1246"/>
        <item m="1" x="1317"/>
        <item m="1" x="7119"/>
        <item m="1" x="4918"/>
        <item m="1" x="522"/>
        <item m="1" x="7150"/>
        <item m="1" x="5711"/>
        <item m="1" x="6947"/>
        <item m="1" x="7538"/>
        <item m="1" x="3040"/>
        <item m="1" x="1720"/>
        <item m="1" x="791"/>
        <item m="1" x="2372"/>
        <item m="1" x="1086"/>
        <item m="1" x="6389"/>
        <item m="1" x="1632"/>
        <item m="1" x="5967"/>
        <item m="1" x="4897"/>
        <item m="1" x="735"/>
        <item m="1" x="6638"/>
        <item m="1" x="3079"/>
        <item m="1" x="393"/>
        <item m="1" x="3804"/>
        <item m="1" x="3410"/>
        <item m="1" x="4212"/>
        <item m="1" x="628"/>
        <item m="1" x="6203"/>
        <item m="1" x="7872"/>
        <item m="1" x="4073"/>
        <item m="1" x="357"/>
        <item m="1" x="6775"/>
        <item m="1" x="5074"/>
        <item m="1" x="4136"/>
        <item m="1" x="769"/>
        <item m="1" x="7639"/>
        <item m="1" x="7689"/>
        <item m="1" x="3814"/>
        <item m="1" x="870"/>
        <item m="1" x="2866"/>
        <item m="1" x="2589"/>
        <item m="1" x="4192"/>
        <item m="1" x="7238"/>
        <item m="1" x="537"/>
        <item m="1" x="648"/>
        <item m="1" x="1427"/>
        <item m="1" x="1118"/>
        <item m="1" x="7167"/>
        <item m="1" x="4164"/>
        <item m="1" x="2702"/>
        <item m="1" x="4894"/>
        <item m="1" x="3197"/>
        <item m="1" x="5410"/>
        <item m="1" x="7418"/>
        <item m="1" x="5718"/>
        <item m="1" x="6768"/>
        <item m="1" x="2907"/>
        <item m="1" x="6262"/>
        <item m="1" x="2711"/>
        <item m="1" x="414"/>
        <item m="1" x="3403"/>
        <item m="1" x="1408"/>
        <item m="1" x="7115"/>
        <item m="1" x="6256"/>
        <item m="1" x="3427"/>
        <item m="1" x="7650"/>
        <item m="1" x="5963"/>
        <item m="1" x="1251"/>
        <item m="1" x="1541"/>
        <item m="1" x="6450"/>
        <item m="1" x="4665"/>
        <item m="1" x="4504"/>
        <item m="1" x="5026"/>
        <item m="1" x="1411"/>
        <item m="1" x="1371"/>
        <item m="1" x="6193"/>
        <item m="1" x="4744"/>
        <item m="1" x="3271"/>
        <item m="1" x="652"/>
        <item m="1" x="1088"/>
        <item m="1" x="1628"/>
        <item m="1" x="5577"/>
        <item m="1" x="2906"/>
        <item m="1" x="1421"/>
        <item m="1" x="5712"/>
        <item m="1" x="7203"/>
        <item m="1" x="3512"/>
        <item m="1" x="6024"/>
        <item m="1" x="317"/>
        <item m="1" x="6368"/>
        <item m="1" x="257"/>
        <item m="1" x="3626"/>
        <item m="1" x="4089"/>
        <item m="1" x="2811"/>
        <item m="1" x="1437"/>
        <item m="1" x="1533"/>
        <item m="1" x="1932"/>
        <item m="1" x="3844"/>
        <item m="1" x="6150"/>
        <item m="1" x="7031"/>
        <item m="1" x="7655"/>
        <item m="1" x="7823"/>
        <item m="1" x="2283"/>
        <item m="1" x="4914"/>
        <item m="1" x="7514"/>
        <item m="1" x="6415"/>
        <item m="1" x="6347"/>
        <item m="1" x="3876"/>
        <item m="1" x="2612"/>
        <item m="1" x="4274"/>
        <item m="1" x="825"/>
        <item m="1" x="5170"/>
        <item m="1" x="6491"/>
        <item m="1" x="6716"/>
        <item m="1" x="5037"/>
        <item m="1" x="2762"/>
        <item m="1" x="6963"/>
        <item m="1" x="4555"/>
        <item m="1" x="496"/>
        <item m="1" x="1782"/>
        <item m="1" x="4526"/>
        <item m="1" x="7199"/>
        <item m="1" x="467"/>
        <item m="1" x="3119"/>
        <item m="1" x="4106"/>
        <item m="1" x="7510"/>
        <item m="1" x="1867"/>
        <item m="1" x="1590"/>
        <item m="1" x="4917"/>
        <item m="1" x="2069"/>
        <item m="1" x="1797"/>
        <item m="1" x="337"/>
        <item m="1" x="2471"/>
        <item m="1" x="6039"/>
        <item m="1" x="6360"/>
        <item m="1" x="7764"/>
        <item m="1" x="4804"/>
        <item m="1" x="4901"/>
        <item m="1" x="4714"/>
        <item m="1" x="3898"/>
        <item m="1" x="4512"/>
        <item m="1" x="306"/>
        <item m="1" x="4746"/>
        <item m="1" x="6176"/>
        <item m="1" x="4435"/>
        <item m="1" x="1763"/>
        <item m="1" x="723"/>
        <item m="1" x="4935"/>
        <item m="1" x="5678"/>
        <item m="1" x="3899"/>
        <item m="1" x="2162"/>
        <item m="1" x="4580"/>
        <item m="1" x="4808"/>
        <item m="1" x="5976"/>
        <item m="1" x="3998"/>
        <item m="1" x="1559"/>
        <item m="1" x="2438"/>
        <item m="1" x="7106"/>
        <item m="1" x="1254"/>
        <item m="1" x="2284"/>
        <item m="1" x="6743"/>
        <item m="1" x="7859"/>
        <item m="1" x="3215"/>
        <item m="1" x="1729"/>
        <item m="1" x="5499"/>
        <item m="1" x="7677"/>
        <item m="1" x="7535"/>
        <item m="1" x="3353"/>
        <item m="1" x="6074"/>
        <item m="1" x="3277"/>
        <item m="1" x="322"/>
        <item m="1" x="4964"/>
        <item m="1" x="2375"/>
        <item m="1" x="4215"/>
        <item m="1" x="5176"/>
        <item m="1" x="488"/>
        <item m="1" x="632"/>
        <item m="1" x="6412"/>
        <item m="1" x="2915"/>
        <item m="1" x="5089"/>
        <item m="1" x="1914"/>
        <item m="1" x="6898"/>
        <item m="1" x="385"/>
        <item m="1" x="5330"/>
        <item m="1" x="469"/>
        <item m="1" x="3656"/>
        <item m="1" x="5025"/>
        <item m="1" x="6853"/>
        <item m="1" x="3926"/>
        <item m="1" x="1060"/>
        <item m="1" x="7163"/>
        <item m="1" x="5079"/>
        <item m="1" x="6896"/>
        <item m="1" x="2325"/>
        <item m="1" x="3125"/>
        <item m="1" x="676"/>
        <item m="1" x="559"/>
        <item m="1" x="2551"/>
        <item m="1" x="1064"/>
        <item m="1" x="4343"/>
        <item m="1" x="4876"/>
        <item m="1" x="3438"/>
        <item m="1" x="4338"/>
        <item m="1" x="5942"/>
        <item m="1" x="5064"/>
        <item m="1" x="2018"/>
        <item m="1" x="7133"/>
        <item m="1" x="3042"/>
        <item m="1" x="1116"/>
        <item m="1" x="5917"/>
        <item m="1" x="2701"/>
        <item m="1" x="1464"/>
        <item m="1" x="5454"/>
        <item m="1" x="3988"/>
        <item m="1" x="6158"/>
        <item m="1" x="4974"/>
        <item m="1" x="3900"/>
        <item m="1" x="2825"/>
        <item m="1" x="1386"/>
        <item m="1" x="3521"/>
        <item m="1" x="2869"/>
        <item m="1" x="1514"/>
        <item m="1" x="7600"/>
        <item m="1" x="3645"/>
        <item m="1" x="7292"/>
        <item m="1" x="5116"/>
        <item m="1" x="4276"/>
        <item m="1" x="4049"/>
        <item m="1" x="7794"/>
        <item m="1" x="2082"/>
        <item m="1" x="4657"/>
        <item m="1" x="1413"/>
        <item m="1" x="7297"/>
        <item m="1" x="1044"/>
        <item m="1" x="3675"/>
        <item m="1" x="4668"/>
        <item m="1" x="7599"/>
        <item m="1" x="6562"/>
        <item m="1" x="5502"/>
        <item m="1" x="1658"/>
        <item m="1" x="7629"/>
        <item m="1" x="7835"/>
        <item m="1" x="7724"/>
        <item m="1" x="7728"/>
        <item m="1" x="2572"/>
        <item m="1" x="7325"/>
        <item m="1" x="6989"/>
        <item m="1" x="7331"/>
        <item m="1" x="7913"/>
        <item m="1" x="7895"/>
        <item m="1" x="7262"/>
        <item m="1" x="2914"/>
        <item m="1" x="7633"/>
        <item m="1" x="6838"/>
        <item m="1" x="1561"/>
        <item m="1" x="2494"/>
        <item m="1" x="3676"/>
        <item m="1" x="5406"/>
        <item m="1" x="1003"/>
        <item m="1" x="2493"/>
        <item m="1" x="3793"/>
        <item m="1" x="4221"/>
        <item m="1" x="4053"/>
        <item m="1" x="5228"/>
        <item m="1" x="5336"/>
        <item m="1" x="6030"/>
        <item m="1" x="6351"/>
        <item m="1" x="847"/>
        <item m="1" x="372"/>
        <item m="1" x="4610"/>
        <item m="1" x="5028"/>
        <item m="1" x="1468"/>
        <item m="1" x="6149"/>
        <item m="1" x="377"/>
        <item m="1" x="3051"/>
        <item m="1" x="3882"/>
        <item m="1" x="7559"/>
        <item m="1" x="6648"/>
        <item m="1" x="2027"/>
        <item m="1" x="4533"/>
        <item m="1" x="232"/>
        <item m="1" x="1323"/>
        <item m="1" x="2710"/>
        <item m="1" x="7622"/>
        <item m="1" x="299"/>
        <item m="1" x="6871"/>
        <item m="1" x="6549"/>
        <item m="1" x="3251"/>
        <item m="1" x="4569"/>
        <item m="1" x="1579"/>
        <item m="1" x="3315"/>
        <item m="1" x="2263"/>
        <item m="1" x="683"/>
        <item m="1" x="1157"/>
        <item m="1" x="3440"/>
        <item m="1" x="2561"/>
        <item m="1" x="5663"/>
        <item m="1" x="7954"/>
        <item m="1" x="3939"/>
        <item m="1" x="1611"/>
        <item m="1" x="6239"/>
        <item m="1" x="6269"/>
        <item m="1" x="6019"/>
        <item m="1" x="686"/>
        <item m="1" x="3616"/>
        <item m="1" x="366"/>
        <item m="1" x="6191"/>
        <item m="1" x="3870"/>
        <item m="1" x="1939"/>
        <item m="1" x="6130"/>
        <item m="1" x="2693"/>
        <item m="1" x="7052"/>
        <item m="1" x="3265"/>
        <item m="1" x="2984"/>
        <item m="1" x="3270"/>
        <item m="1" x="4884"/>
        <item m="1" x="1505"/>
        <item m="1" x="712"/>
        <item m="1" x="1378"/>
        <item m="1" x="779"/>
        <item m="1" x="6445"/>
        <item m="1" x="7110"/>
        <item m="1" x="3505"/>
        <item m="1" x="6119"/>
        <item m="1" x="1474"/>
        <item m="1" x="3320"/>
        <item m="1" x="1449"/>
        <item m="1" x="4249"/>
        <item m="1" x="5121"/>
        <item m="1" x="5032"/>
        <item m="1" x="6199"/>
        <item m="1" x="2688"/>
        <item m="1" x="7698"/>
        <item m="1" x="7577"/>
        <item m="1" x="5171"/>
        <item m="1" x="7411"/>
        <item m="1" x="4673"/>
        <item m="1" x="5133"/>
        <item m="1" x="495"/>
        <item m="1" x="1973"/>
        <item m="1" x="6614"/>
        <item m="1" x="3608"/>
        <item m="1" x="3021"/>
        <item m="1" x="2867"/>
        <item m="1" x="7656"/>
        <item m="1" x="1550"/>
        <item m="1" x="692"/>
        <item m="1" x="6766"/>
        <item m="1" x="7861"/>
        <item m="1" x="1367"/>
        <item m="1" x="5257"/>
        <item m="1" x="2491"/>
        <item m="1" x="4105"/>
        <item m="1" x="5447"/>
        <item m="1" x="2908"/>
        <item m="1" x="1794"/>
        <item m="1" x="7018"/>
        <item m="1" x="6327"/>
        <item m="1" x="7373"/>
        <item m="1" x="5305"/>
        <item m="1" x="3598"/>
        <item m="1" x="1978"/>
        <item m="1" x="3064"/>
        <item m="1" x="6016"/>
        <item m="1" x="6280"/>
        <item m="1" x="2808"/>
        <item m="1" x="1882"/>
        <item m="1" x="6282"/>
        <item m="1" x="4527"/>
        <item m="1" x="1911"/>
        <item m="1" x="7867"/>
        <item m="1" x="1728"/>
        <item m="1" x="433"/>
        <item m="1" x="4955"/>
        <item m="1" x="4067"/>
        <item m="1" x="4270"/>
        <item m="1" x="2184"/>
        <item m="1" x="4659"/>
        <item m="1" x="6197"/>
        <item m="1" x="503"/>
        <item m="1" x="7089"/>
        <item m="1" x="7055"/>
        <item m="1" x="823"/>
        <item m="1" x="521"/>
        <item m="1" x="7673"/>
        <item m="1" x="7769"/>
        <item m="1" x="4207"/>
        <item m="1" x="5279"/>
        <item m="1" x="3238"/>
        <item m="1" x="7542"/>
        <item m="1" x="329"/>
        <item m="1" x="7205"/>
        <item m="1" x="7243"/>
        <item m="1" x="5561"/>
        <item m="1" x="1324"/>
        <item m="1" x="830"/>
        <item m="1" x="7076"/>
        <item m="1" x="7910"/>
        <item m="1" x="2800"/>
        <item m="1" x="2686"/>
        <item m="1" x="4770"/>
        <item m="1" x="1850"/>
        <item m="1" x="6153"/>
        <item m="1" x="7586"/>
        <item m="1" x="7733"/>
        <item m="1" x="359"/>
        <item m="1" x="7713"/>
        <item m="1" x="2900"/>
        <item m="1" x="6088"/>
        <item m="1" x="2864"/>
        <item m="1" x="6593"/>
        <item m="1" x="5160"/>
        <item m="1" x="7925"/>
        <item m="1" x="6432"/>
        <item m="1" x="7844"/>
        <item m="1" x="6621"/>
        <item m="1" x="5086"/>
        <item m="1" x="327"/>
        <item m="1" x="2299"/>
        <item m="1" x="1216"/>
        <item m="1" x="1638"/>
        <item m="1" x="3295"/>
        <item m="1" x="498"/>
        <item m="1" x="422"/>
        <item m="1" x="6344"/>
        <item m="1" x="2910"/>
        <item m="1" x="977"/>
        <item m="1" x="1815"/>
        <item m="1" x="1295"/>
        <item m="1" x="2149"/>
        <item m="1" x="5801"/>
        <item m="1" x="3366"/>
        <item m="1" x="5549"/>
        <item m="1" x="5020"/>
        <item m="1" x="570"/>
        <item m="1" x="4133"/>
        <item m="1" x="1665"/>
        <item m="1" x="2371"/>
        <item m="1" x="6567"/>
        <item m="1" x="4436"/>
        <item m="1" x="5372"/>
        <item m="1" x="738"/>
        <item m="1" x="3557"/>
        <item m="1" x="3386"/>
        <item m="1" x="2640"/>
        <item m="1" x="1584"/>
        <item m="1" x="4950"/>
        <item m="1" x="5099"/>
        <item m="1" x="5207"/>
        <item m="1" x="3983"/>
        <item m="1" x="6759"/>
        <item m="1" x="4518"/>
        <item m="1" x="1723"/>
        <item m="1" x="553"/>
        <item m="1" x="6672"/>
        <item m="1" x="6392"/>
        <item m="1" x="4085"/>
        <item m="1" x="4509"/>
        <item m="1" x="3509"/>
        <item m="1" x="3134"/>
        <item m="1" x="961"/>
        <item m="1" x="4319"/>
        <item m="1" x="2314"/>
        <item m="1" x="2360"/>
        <item m="1" x="1407"/>
        <item m="1" x="7141"/>
        <item m="1" x="1843"/>
        <item m="1" x="1435"/>
        <item m="1" x="2231"/>
        <item m="1" x="2132"/>
        <item m="1" x="3245"/>
        <item m="1" x="5676"/>
        <item m="1" x="3596"/>
        <item m="1" x="700"/>
        <item m="1" x="4597"/>
        <item m="1" x="5584"/>
        <item m="1" x="5035"/>
        <item m="1" x="5186"/>
        <item m="1" x="6363"/>
        <item m="1" x="7683"/>
        <item m="1" x="4332"/>
        <item m="1" x="3631"/>
        <item m="1" x="6608"/>
        <item m="1" x="3394"/>
        <item m="1" x="4281"/>
        <item m="1" x="3710"/>
        <item m="1" x="1689"/>
        <item m="1" x="2527"/>
        <item m="1" x="2537"/>
        <item m="1" x="6038"/>
        <item m="1" x="944"/>
        <item m="1" x="6837"/>
        <item m="1" x="2275"/>
        <item m="1" x="413"/>
        <item m="1" x="4556"/>
        <item m="1" x="6633"/>
        <item m="1" x="333"/>
        <item m="1" x="6395"/>
        <item m="1" x="5503"/>
        <item m="1" x="6343"/>
        <item m="1" x="6172"/>
        <item m="1" x="1710"/>
        <item m="1" x="6946"/>
        <item m="1" x="6167"/>
        <item m="1" x="1102"/>
        <item m="1" x="5570"/>
        <item m="1" x="4695"/>
        <item m="1" x="4479"/>
        <item m="1" x="4059"/>
        <item m="1" x="1465"/>
        <item m="1" x="6355"/>
        <item m="1" x="1207"/>
        <item m="1" x="7657"/>
        <item m="1" x="5710"/>
        <item m="1" x="4486"/>
        <item m="1" x="5931"/>
        <item m="1" x="5005"/>
        <item m="1" x="5693"/>
        <item m="1" x="6224"/>
        <item m="1" x="1349"/>
        <item m="1" x="6548"/>
        <item m="1" x="667"/>
        <item m="1" x="4397"/>
        <item m="1" x="6378"/>
        <item m="1" x="532"/>
        <item m="1" x="5995"/>
        <item m="1" x="5140"/>
        <item m="1" x="2681"/>
        <item m="1" x="4929"/>
        <item m="1" x="5714"/>
        <item m="1" x="3258"/>
        <item m="1" x="3287"/>
        <item m="1" x="6833"/>
        <item m="1" x="4619"/>
        <item m="1" x="2684"/>
        <item m="1" x="5934"/>
        <item m="1" x="1779"/>
        <item m="1" x="2829"/>
        <item m="1" x="4172"/>
        <item m="1" x="3421"/>
        <item m="1" x="6862"/>
        <item m="1" x="1888"/>
        <item m="1" x="2136"/>
        <item m="1" x="3636"/>
        <item m="1" x="2921"/>
        <item m="1" x="6948"/>
        <item m="1" x="4819"/>
        <item m="1" x="3532"/>
        <item m="1" x="1168"/>
        <item m="1" x="1684"/>
        <item m="1" x="2257"/>
        <item m="1" x="1878"/>
        <item m="1" x="7467"/>
        <item m="1" x="7403"/>
        <item m="1" x="6577"/>
        <item m="1" x="5039"/>
        <item m="1" x="3216"/>
        <item m="1" x="5563"/>
        <item m="1" x="5951"/>
        <item m="1" x="2802"/>
        <item m="1" x="3875"/>
        <item m="1" x="7646"/>
        <item m="1" x="3167"/>
        <item m="1" x="1775"/>
        <item m="1" x="4650"/>
        <item m="1" x="6824"/>
        <item m="1" x="7248"/>
        <item m="1" x="2240"/>
        <item m="1" x="639"/>
        <item m="1" x="3591"/>
        <item m="1" x="7047"/>
        <item m="1" x="3497"/>
        <item m="1" x="1517"/>
        <item m="1" x="5234"/>
        <item m="1" x="5013"/>
        <item m="1" x="1854"/>
        <item m="1" x="4847"/>
        <item m="1" x="5150"/>
        <item m="1" x="5683"/>
        <item m="1" x="4029"/>
        <item m="1" x="6977"/>
        <item m="1" x="5576"/>
        <item m="1" x="7707"/>
        <item m="1" x="5052"/>
        <item m="1" x="2504"/>
        <item m="1" x="960"/>
        <item m="1" x="2392"/>
        <item m="1" x="6484"/>
        <item m="1" x="486"/>
        <item m="1" x="336"/>
        <item m="1" x="7044"/>
        <item m="1" x="3128"/>
        <item m="1" x="3745"/>
        <item m="1" x="1842"/>
        <item m="1" x="3221"/>
        <item m="1" x="4284"/>
        <item m="1" x="1691"/>
        <item m="1" x="2156"/>
        <item m="1" x="1308"/>
        <item m="1" x="7685"/>
        <item m="1" x="3858"/>
        <item m="1" x="5105"/>
        <item m="1" x="1330"/>
        <item m="1" x="4997"/>
        <item m="1" x="6964"/>
        <item m="1" x="4647"/>
        <item m="1" x="2847"/>
        <item m="1" x="5680"/>
        <item m="1" x="2741"/>
        <item m="1" x="3338"/>
        <item m="1" x="6109"/>
        <item m="1" x="4811"/>
        <item m="1" x="5440"/>
        <item m="1" x="5299"/>
        <item m="1" x="6634"/>
        <item m="1" x="3019"/>
        <item m="1" x="1624"/>
        <item m="1" x="3959"/>
        <item m="1" x="3837"/>
        <item m="1" x="7598"/>
        <item m="1" x="5413"/>
        <item m="1" x="4700"/>
        <item m="1" x="5755"/>
        <item m="1" x="4093"/>
        <item m="1" x="3422"/>
        <item m="1" x="6365"/>
        <item m="1" x="2633"/>
        <item m="1" x="2623"/>
        <item m="1" x="1640"/>
        <item m="1" x="452"/>
        <item m="1" x="6706"/>
        <item m="1" x="1711"/>
        <item m="1" x="4124"/>
        <item m="1" x="1230"/>
        <item m="1" x="3466"/>
        <item m="1" x="6877"/>
        <item m="1" x="2237"/>
        <item m="1" x="7624"/>
        <item m="1" x="1702"/>
        <item m="1" x="1612"/>
        <item m="1" x="314"/>
        <item m="1" x="2615"/>
        <item m="1" x="6490"/>
        <item m="1" x="5642"/>
        <item m="1" x="6214"/>
        <item m="1" x="1802"/>
        <item m="1" x="7398"/>
        <item m="1" x="5185"/>
        <item m="1" x="1859"/>
        <item m="1" x="7109"/>
        <item m="1" x="5128"/>
        <item m="1" x="1620"/>
        <item m="1" x="529"/>
        <item m="1" x="5605"/>
        <item m="1" x="4912"/>
        <item m="1" x="4317"/>
        <item m="1" x="5429"/>
        <item m="1" x="1862"/>
        <item m="1" x="3194"/>
        <item m="1" x="4160"/>
        <item m="1" x="7543"/>
        <item m="1" x="1855"/>
        <item m="1" x="3967"/>
        <item m="1" x="897"/>
        <item m="1" x="3679"/>
        <item m="1" x="3681"/>
        <item m="1" x="229"/>
        <item m="1" x="5134"/>
        <item m="1" x="7125"/>
        <item m="1" x="5813"/>
        <item m="1" x="4609"/>
        <item m="1" x="2982"/>
        <item m="1" x="3834"/>
        <item m="1" x="4722"/>
        <item m="1" x="6628"/>
        <item m="1" x="5869"/>
        <item m="1" x="2986"/>
        <item m="1" x="7208"/>
        <item m="1" x="4607"/>
        <item m="1" x="7027"/>
        <item m="1" x="1255"/>
        <item m="1" x="550"/>
        <item m="1" x="3334"/>
        <item m="1" x="5075"/>
        <item m="1" x="7603"/>
        <item m="1" x="906"/>
        <item m="1" x="316"/>
        <item m="1" x="343"/>
        <item m="1" x="1916"/>
        <item m="1" x="2433"/>
        <item m="1" x="5320"/>
        <item m="1" x="508"/>
        <item m="1" x="2123"/>
        <item m="1" x="1551"/>
        <item m="1" x="3078"/>
        <item m="1" x="2511"/>
        <item m="1" x="5248"/>
        <item m="1" x="5655"/>
        <item m="1" x="6052"/>
        <item m="1" x="6222"/>
        <item m="1" x="3364"/>
        <item m="1" x="6205"/>
        <item m="1" x="1108"/>
        <item m="1" x="2535"/>
        <item m="1" x="3657"/>
        <item m="1" x="4294"/>
        <item m="1" x="6289"/>
        <item m="1" x="6826"/>
        <item m="1" x="1527"/>
        <item m="1" x="4830"/>
        <item m="1" x="1490"/>
        <item m="1" x="1229"/>
        <item m="1" x="3307"/>
        <item m="1" x="4325"/>
        <item m="1" x="5855"/>
        <item m="1" x="3537"/>
        <item m="1" x="3782"/>
        <item m="1" x="4679"/>
        <item m="1" x="5006"/>
        <item m="1" x="2031"/>
        <item m="1" x="2596"/>
        <item m="1" x="7744"/>
        <item m="1" x="2818"/>
        <item m="1" x="5529"/>
        <item m="1" x="7057"/>
        <item m="1" x="3811"/>
        <item m="1" x="1686"/>
        <item m="1" x="230"/>
        <item m="1" x="3230"/>
        <item m="1" x="466"/>
        <item m="1" x="6042"/>
        <item m="1" x="7609"/>
        <item m="1" x="2220"/>
        <item m="1" x="5387"/>
        <item m="1" x="4135"/>
        <item m="1" x="1676"/>
        <item m="1" x="5927"/>
        <item m="1" x="4252"/>
        <item m="1" x="2955"/>
        <item m="1" x="7156"/>
        <item m="1" x="2816"/>
        <item m="1" x="6615"/>
        <item m="1" x="2121"/>
        <item m="1" x="2382"/>
        <item m="1" x="1741"/>
        <item m="1" x="1218"/>
        <item m="1" x="4562"/>
        <item m="1" x="2632"/>
        <item m="1" x="1942"/>
        <item m="1" x="7252"/>
        <item m="1" x="6120"/>
        <item m="1" x="4476"/>
        <item m="1" x="3893"/>
        <item m="1" x="332"/>
        <item m="1" x="4999"/>
        <item m="1" x="842"/>
        <item m="1" x="5199"/>
        <item m="1" x="1569"/>
        <item m="1" x="5323"/>
        <item m="1" x="3332"/>
        <item m="1" x="7525"/>
        <item m="1" x="4444"/>
        <item m="1" x="4641"/>
        <item m="1" x="4628"/>
        <item m="1" x="6237"/>
        <item m="1" x="4503"/>
        <item m="1" x="2238"/>
        <item m="1" x="6765"/>
        <item m="1" x="7767"/>
        <item m="1" x="437"/>
        <item m="1" x="2222"/>
        <item m="1" x="6241"/>
        <item m="1" x="6100"/>
        <item m="1" x="4861"/>
        <item m="1" x="7421"/>
        <item m="1" x="3233"/>
        <item m="1" x="6780"/>
        <item m="1" x="616"/>
        <item m="1" x="3989"/>
        <item m="1" x="7356"/>
        <item m="1" x="3493"/>
        <item m="1" x="4517"/>
        <item m="1" x="5781"/>
        <item m="1" x="4860"/>
        <item m="1" x="3850"/>
        <item m="1" x="3195"/>
        <item m="1" x="1637"/>
        <item m="1" x="1799"/>
        <item m="1" x="1284"/>
        <item m="1" x="4313"/>
        <item m="1" x="6216"/>
        <item m="1" x="490"/>
        <item m="1" x="6772"/>
        <item m="1" x="4903"/>
        <item m="1" x="6474"/>
        <item m="1" x="2972"/>
        <item m="1" x="6040"/>
        <item m="1" x="3886"/>
        <item m="1" x="5425"/>
        <item m="1" x="1812"/>
        <item m="1" x="1783"/>
        <item m="1" x="250"/>
        <item m="1" x="5483"/>
        <item m="1" x="6376"/>
        <item m="1" x="6303"/>
        <item m="1" x="2140"/>
        <item m="1" x="6830"/>
        <item m="1" x="1746"/>
        <item m="1" x="4188"/>
        <item m="1" x="1818"/>
        <item m="1" x="6552"/>
        <item m="1" x="924"/>
        <item m="1" x="6348"/>
        <item m="1" x="4355"/>
        <item m="1" x="7671"/>
        <item m="1" x="4234"/>
        <item m="1" x="598"/>
        <item m="1" x="6916"/>
        <item m="1" x="3601"/>
        <item m="1" x="4010"/>
        <item m="1" x="3091"/>
        <item m="1" x="1103"/>
        <item m="1" x="1391"/>
        <item m="1" x="5981"/>
        <item m="1" x="5936"/>
        <item m="1" x="4107"/>
        <item m="1" x="4727"/>
        <item m="1" x="6200"/>
        <item m="1" x="7832"/>
        <item m="1" x="1382"/>
        <item m="1" x="7820"/>
        <item m="1" x="3585"/>
        <item m="1" x="4194"/>
        <item m="1" x="4587"/>
        <item m="1" x="4256"/>
        <item m="1" x="3211"/>
        <item m="1" x="298"/>
        <item m="1" x="2999"/>
        <item m="1" x="643"/>
        <item m="1" x="3431"/>
        <item m="1" x="4061"/>
        <item m="1" x="3327"/>
        <item m="1" x="6850"/>
        <item m="1" x="818"/>
        <item m="1" x="6526"/>
        <item m="1" x="7344"/>
        <item m="1" x="4351"/>
        <item m="1" x="5798"/>
        <item m="1" x="781"/>
        <item m="1" x="7037"/>
        <item m="1" x="1150"/>
        <item m="1" x="4772"/>
        <item m="1" x="4559"/>
        <item m="1" x="2716"/>
        <item m="1" x="3635"/>
        <item m="1" x="1234"/>
        <item m="1" x="3284"/>
        <item m="1" x="579"/>
        <item m="1" x="7562"/>
        <item m="1" x="2403"/>
        <item m="1" x="6230"/>
        <item m="1" x="5519"/>
        <item m="1" x="4942"/>
        <item m="1" x="7725"/>
        <item m="1" x="6676"/>
        <item m="1" x="3179"/>
        <item m="1" x="2905"/>
        <item m="1" x="5295"/>
        <item m="1" x="2355"/>
        <item m="1" x="3035"/>
        <item m="1" x="5031"/>
        <item m="1" x="6405"/>
        <item m="1" x="3059"/>
        <item m="1" x="4689"/>
        <item m="1" x="6211"/>
        <item m="1" x="5957"/>
        <item m="1" x="6066"/>
        <item m="1" x="4982"/>
        <item m="1" x="4318"/>
        <item m="1" x="2871"/>
        <item m="1" x="3812"/>
        <item m="1" x="2390"/>
        <item m="1" x="383"/>
        <item m="1" x="6627"/>
        <item m="1" x="3024"/>
        <item m="1" x="5132"/>
        <item m="1" x="4128"/>
        <item m="1" x="6762"/>
        <item m="1" x="6076"/>
        <item m="1" x="2131"/>
        <item m="1" x="3147"/>
        <item m="1" x="6939"/>
        <item m="1" x="7347"/>
        <item m="1" x="5307"/>
        <item m="1" x="5238"/>
        <item m="1" x="7107"/>
        <item m="1" x="3264"/>
        <item m="1" x="3516"/>
        <item m="1" x="7850"/>
        <item m="1" x="5443"/>
        <item m="1" x="5774"/>
        <item m="1" x="2783"/>
        <item m="1" x="243"/>
        <item m="1" x="3103"/>
        <item m="1" x="7181"/>
        <item m="1" x="2068"/>
        <item m="1" x="3779"/>
        <item m="1" x="3474"/>
        <item m="1" x="4780"/>
        <item m="1" x="2935"/>
        <item m="1" x="2080"/>
        <item m="1" x="1269"/>
        <item m="1" x="6146"/>
        <item m="1" x="1425"/>
        <item m="1" x="4712"/>
        <item m="1" x="1181"/>
        <item m="1" x="520"/>
        <item m="1" x="6773"/>
        <item m="1" x="1400"/>
        <item m="1" x="7134"/>
        <item m="1" x="7477"/>
        <item m="1" x="7184"/>
        <item m="1" x="6393"/>
        <item m="1" x="233"/>
        <item m="1" x="797"/>
        <item m="1" x="2940"/>
        <item m="1" x="5796"/>
        <item m="1" x="3280"/>
        <item m="1" x="6544"/>
        <item m="1" x="1395"/>
        <item m="1" x="3255"/>
        <item m="1" x="4825"/>
        <item m="1" x="3523"/>
        <item m="1" x="3149"/>
        <item m="1" x="4514"/>
        <item m="1" x="5233"/>
        <item m="1" x="1724"/>
        <item m="1" x="1410"/>
        <item m="1" x="7126"/>
        <item m="1" x="5868"/>
        <item m="1" x="7099"/>
        <item m="1" x="3290"/>
        <item m="1" x="5649"/>
        <item m="1" x="4123"/>
        <item m="1" x="4159"/>
        <item m="1" x="7915"/>
        <item m="1" x="397"/>
        <item m="1" x="5513"/>
        <item m="1" x="4858"/>
        <item m="1" x="4275"/>
        <item m="1" x="5909"/>
        <item m="1" x="5791"/>
        <item m="1" x="3755"/>
        <item m="1" x="7092"/>
        <item m="1" x="7721"/>
        <item m="1" x="2272"/>
        <item m="1" x="6935"/>
        <item m="1" x="7219"/>
        <item m="1" x="7245"/>
        <item m="1" x="7221"/>
        <item m="1" x="4253"/>
        <item m="1" x="7498"/>
        <item m="1" x="2394"/>
        <item m="1" x="5139"/>
        <item m="1" x="5978"/>
        <item m="1" x="1035"/>
        <item m="1" x="5101"/>
        <item m="1" x="3090"/>
        <item m="1" x="3302"/>
        <item m="1" x="3781"/>
        <item m="1" x="7028"/>
        <item m="1" x="4280"/>
        <item m="1" x="2902"/>
        <item m="1" x="2167"/>
        <item m="1" x="2354"/>
        <item m="1" x="6782"/>
        <item m="1" x="7337"/>
        <item m="1" x="6268"/>
        <item m="1" x="4308"/>
        <item m="1" x="7625"/>
        <item m="1" x="4071"/>
        <item m="1" x="1483"/>
        <item m="1" x="1071"/>
        <item m="1" x="7632"/>
        <item m="1" x="4108"/>
        <item m="1" x="7164"/>
        <item m="1" x="523"/>
        <item m="1" x="4228"/>
        <item m="1" x="4752"/>
        <item m="1" x="4629"/>
        <item m="1" x="4141"/>
        <item m="1" x="6391"/>
        <item m="1" x="7288"/>
        <item m="1" x="4987"/>
        <item m="1" x="3857"/>
        <item m="1" x="2645"/>
        <item m="1" x="1830"/>
        <item m="1" x="7766"/>
        <item m="1" x="2420"/>
        <item m="1" x="2157"/>
        <item m="1" x="843"/>
        <item m="1" x="7306"/>
        <item m="1" x="4864"/>
        <item m="1" x="7038"/>
        <item m="1" x="7461"/>
        <item m="1" x="6590"/>
        <item m="1" x="2037"/>
        <item m="1" x="1307"/>
        <item m="1" x="2719"/>
        <item m="1" x="4366"/>
        <item m="1" x="7105"/>
        <item m="1" x="4739"/>
        <item m="1" x="1032"/>
        <item m="1" x="1417"/>
        <item m="1" x="7693"/>
        <item m="1" x="1987"/>
        <item m="1" x="3182"/>
        <item m="1" x="1709"/>
        <item m="1" x="6336"/>
        <item m="1" x="1648"/>
        <item m="1" x="5123"/>
        <item m="1" x="4090"/>
        <item m="1" x="5195"/>
        <item m="1" x="5214"/>
        <item m="1" x="4421"/>
        <item m="1" x="1405"/>
        <item m="1" x="7307"/>
        <item m="1" x="4637"/>
        <item m="1" x="4125"/>
        <item m="1" x="487"/>
        <item m="1" x="1538"/>
        <item m="1" x="2267"/>
        <item m="1" x="3594"/>
        <item m="1" x="740"/>
        <item m="1" x="580"/>
        <item m="1" x="6847"/>
        <item m="1" x="3350"/>
        <item m="1" x="1912"/>
        <item m="1" x="5092"/>
        <item m="1" x="2254"/>
        <item m="1" x="5972"/>
        <item m="1" x="1562"/>
        <item m="1" x="3220"/>
        <item m="1" x="5477"/>
        <item m="1" x="5782"/>
        <item m="1" x="2616"/>
        <item m="1" x="3890"/>
        <item m="1" x="507"/>
        <item m="1" x="5177"/>
        <item m="1" x="4014"/>
        <item m="1" x="854"/>
        <item m="1" x="5457"/>
        <item m="1" x="5438"/>
        <item m="1" x="1983"/>
        <item m="1" x="4043"/>
        <item m="1" x="2649"/>
        <item m="1" x="6095"/>
        <item m="1" x="2084"/>
        <item m="1" x="7758"/>
        <item m="1" x="7101"/>
        <item m="1" x="3786"/>
        <item m="1" x="5073"/>
        <item m="1" x="1927"/>
        <item m="1" x="4209"/>
        <item m="1" x="1662"/>
        <item m="1" x="419"/>
        <item m="1" x="7484"/>
        <item m="1" x="3023"/>
        <item m="1" x="5562"/>
        <item m="1" x="3711"/>
        <item m="1" x="1749"/>
        <item m="1" x="2364"/>
        <item m="1" x="1516"/>
        <item m="1" x="863"/>
        <item m="1" x="5135"/>
        <item m="1" x="3130"/>
        <item m="1" x="1304"/>
        <item m="1" x="392"/>
        <item m="1" x="6337"/>
        <item m="1" x="2418"/>
        <item m="1" x="2117"/>
        <item m="1" x="1208"/>
        <item m="1" x="1947"/>
        <item m="1" x="2430"/>
        <item m="1" x="7691"/>
        <item m="1" x="1362"/>
        <item m="1" x="1220"/>
        <item m="1" x="3288"/>
        <item m="1" x="5580"/>
        <item m="1" x="3437"/>
        <item m="1" x="2274"/>
        <item m="1" x="3235"/>
        <item m="1" x="3426"/>
        <item m="1" x="3454"/>
        <item m="1" x="882"/>
        <item m="1" x="7317"/>
        <item m="1" x="5208"/>
        <item m="1" x="2026"/>
        <item m="1" x="6236"/>
        <item m="1" x="4494"/>
        <item m="1" x="5046"/>
        <item m="1" x="3414"/>
        <item m="1" x="1384"/>
        <item m="1" x="4963"/>
        <item m="1" x="295"/>
        <item m="1" x="6644"/>
        <item m="1" x="2592"/>
        <item m="1" x="6104"/>
        <item m="1" x="7553"/>
        <item m="1" x="6311"/>
        <item m="1" x="5226"/>
        <item m="1" x="492"/>
        <item m="1" x="6226"/>
        <item m="1" x="2597"/>
        <item m="1" x="6591"/>
        <item m="1" x="6292"/>
        <item m="1" x="3127"/>
        <item m="1" x="6573"/>
        <item m="1" x="871"/>
        <item m="1" x="1262"/>
        <item m="1" x="3968"/>
        <item m="1" x="2618"/>
        <item m="1" x="4691"/>
        <item m="1" x="4809"/>
        <item m="1" x="3817"/>
        <item m="1" x="516"/>
        <item m="1" x="4262"/>
        <item m="1" x="5414"/>
        <item m="1" x="1840"/>
        <item m="1" x="7563"/>
        <item m="1" x="6133"/>
        <item m="1" x="5288"/>
        <item m="1" x="2104"/>
        <item m="1" x="5054"/>
        <item m="1" x="6020"/>
        <item m="1" x="4711"/>
        <item m="1" x="2885"/>
        <item m="1" x="2508"/>
        <item m="1" x="6584"/>
        <item m="1" x="4546"/>
        <item m="1" x="6524"/>
        <item m="1" x="5341"/>
        <item m="1" x="2287"/>
        <item m="1" x="4524"/>
        <item m="1" x="3881"/>
        <item m="1" x="5365"/>
        <item m="1" x="5146"/>
        <item m="1" x="7868"/>
        <item m="1" x="701"/>
        <item m="1" x="6083"/>
        <item m="1" x="3818"/>
        <item m="1" x="7909"/>
        <item m="1" x="3693"/>
        <item m="1" x="5627"/>
        <item m="1" x="7323"/>
        <item m="1" x="7072"/>
        <item m="1" x="3606"/>
        <item m="1" x="6480"/>
        <item m="1" x="7295"/>
        <item m="1" x="3494"/>
        <item m="1" x="6357"/>
        <item m="1" x="7160"/>
        <item m="1" x="4874"/>
        <item m="1" x="3115"/>
        <item m="1" x="4174"/>
        <item m="1" x="5670"/>
        <item m="1" x="4403"/>
        <item m="1" x="4019"/>
        <item m="1" x="331"/>
        <item m="1" x="4969"/>
        <item m="1" x="4114"/>
        <item m="1" x="884"/>
        <item m="1" x="4589"/>
        <item m="1" x="2178"/>
        <item m="1" x="5977"/>
        <item m="1" x="3432"/>
        <item m="1" x="7732"/>
        <item m="1" x="4452"/>
        <item m="1" x="3499"/>
        <item m="1" x="1339"/>
        <item m="1" x="2655"/>
        <item m="1" x="4670"/>
        <item m="1" x="6914"/>
        <item m="1" x="1570"/>
        <item m="1" x="1336"/>
        <item m="1" x="4655"/>
        <item m="1" x="7736"/>
        <item m="1" x="1816"/>
        <item m="1" x="2594"/>
        <item m="1" x="2107"/>
        <item m="1" x="4591"/>
        <item m="1" x="3937"/>
        <item m="1" x="3587"/>
        <item m="1" x="986"/>
        <item m="1" x="6613"/>
        <item m="1" x="3470"/>
        <item m="1" x="2514"/>
        <item m="1" x="389"/>
        <item m="1" x="894"/>
        <item m="1" x="6727"/>
        <item m="1" x="4100"/>
        <item m="1" x="1329"/>
        <item m="1" x="4434"/>
        <item m="1" x="5383"/>
        <item m="1" x="729"/>
        <item m="1" x="2772"/>
        <item m="1" x="2294"/>
        <item m="1" x="2513"/>
        <item m="1" x="1677"/>
        <item m="1" x="3678"/>
        <item m="1" x="5903"/>
        <item m="1" x="3500"/>
        <item m="1" x="4416"/>
        <item m="1" x="2041"/>
        <item m="1" x="4570"/>
        <item m="1" x="6328"/>
        <item m="1" x="7826"/>
        <item m="1" x="6715"/>
        <item m="1" x="429"/>
        <item m="1" x="3036"/>
        <item m="1" x="578"/>
        <item m="1" x="3234"/>
        <item m="1" x="253"/>
        <item m="1" x="1136"/>
        <item m="1" x="5283"/>
        <item m="1" x="6127"/>
        <item m="1" x="4577"/>
        <item m="1" x="5645"/>
        <item m="1" x="7246"/>
        <item m="1" x="2747"/>
        <item m="1" x="1340"/>
        <item m="1" x="7824"/>
        <item m="1" x="539"/>
        <item m="1" x="2804"/>
        <item m="1" x="3022"/>
        <item m="1" x="2329"/>
        <item m="1" x="4446"/>
        <item m="1" x="4660"/>
        <item m="1" x="1146"/>
        <item m="1" x="2660"/>
        <item m="1" x="7039"/>
        <item m="1" x="7649"/>
        <item m="1" x="7662"/>
        <item m="1" x="3342"/>
        <item m="1" x="7079"/>
        <item m="1" x="1826"/>
        <item m="1" x="3770"/>
        <item m="1" x="6771"/>
        <item m="1" x="6659"/>
        <item m="1" x="6519"/>
        <item m="1" x="4688"/>
        <item m="1" x="6863"/>
        <item m="1" x="2361"/>
        <item m="1" x="3096"/>
        <item m="1" x="7058"/>
        <item m="1" x="918"/>
        <item m="1" x="6116"/>
        <item m="1" x="4854"/>
        <item m="1" x="1990"/>
        <item m="1" x="6318"/>
        <item m="1" x="4927"/>
        <item m="1" x="5554"/>
        <item m="1" x="1661"/>
        <item m="1" x="2573"/>
        <item m="1" x="698"/>
        <item m="1" x="5632"/>
        <item m="1" x="6905"/>
        <item m="1" x="4131"/>
        <item m="1" x="3776"/>
        <item m="1" x="5285"/>
        <item m="1" x="2197"/>
        <item m="1" x="6818"/>
        <item m="1" x="4724"/>
        <item m="1" x="759"/>
        <item m="1" x="1891"/>
        <item m="1" x="3802"/>
        <item m="1" x="7446"/>
        <item m="1" x="6183"/>
        <item m="1" x="4237"/>
        <item m="1" x="2861"/>
        <item m="1" x="2313"/>
        <item m="1" x="754"/>
        <item m="1" x="5658"/>
        <item m="1" x="7399"/>
        <item m="1" x="5260"/>
        <item m="1" x="4378"/>
        <item m="1" x="662"/>
        <item m="1" x="4561"/>
        <item m="1" x="6929"/>
        <item m="1" x="1272"/>
        <item m="1" x="395"/>
        <item m="1" x="4877"/>
        <item m="1" x="3044"/>
        <item m="1" x="6131"/>
        <item m="1" x="5597"/>
        <item m="1" x="7093"/>
        <item m="1" x="5471"/>
        <item m="1" x="7825"/>
        <item m="1" x="3668"/>
        <item m="1" x="7571"/>
        <item m="1" x="5453"/>
        <item m="1" x="1267"/>
        <item m="1" x="4400"/>
        <item m="1" x="1279"/>
        <item m="1" x="3088"/>
        <item m="1" x="7569"/>
        <item m="1" x="2967"/>
        <item m="1" x="6707"/>
        <item m="1" x="1393"/>
        <item m="1" x="5913"/>
        <item m="1" x="4335"/>
        <item m="1" x="5688"/>
        <item m="1" x="3097"/>
        <item m="1" x="7942"/>
        <item m="1" x="5762"/>
        <item m="1" x="7182"/>
        <item m="1" x="3868"/>
        <item m="1" x="6572"/>
        <item m="1" x="4845"/>
        <item m="1" x="2692"/>
        <item m="1" x="4151"/>
        <item m="1" x="7597"/>
        <item m="1" x="2421"/>
        <item m="1" x="3355"/>
        <item m="1" x="4414"/>
        <item m="1" x="2001"/>
        <item m="1" x="2819"/>
        <item m="1" x="969"/>
        <item m="1" x="794"/>
        <item m="1" x="4297"/>
        <item m="1" x="1503"/>
        <item m="1" x="2949"/>
        <item m="1" x="3561"/>
        <item m="1" x="7175"/>
        <item m="1" x="2321"/>
        <item m="1" x="4339"/>
        <item m="1" x="5512"/>
        <item m="1" x="6283"/>
        <item m="1" x="7653"/>
        <item m="1" x="5886"/>
        <item m="1" x="367"/>
        <item m="1" x="3921"/>
        <item m="1" x="5980"/>
        <item m="1" x="6272"/>
        <item m="1" x="6402"/>
        <item m="1" x="1940"/>
        <item m="1" x="6542"/>
        <item m="1" x="7250"/>
        <item m="1" x="722"/>
        <item m="1" x="1868"/>
        <item m="1" x="4632"/>
        <item m="1" x="2380"/>
        <item m="1" x="7762"/>
        <item m="1" x="3145"/>
        <item m="1" x="6442"/>
        <item m="1" x="1576"/>
        <item m="1" x="4960"/>
        <item m="1" x="7445"/>
        <item m="1" x="7324"/>
        <item m="1" x="4448"/>
        <item m="1" x="1999"/>
        <item m="1" x="7437"/>
        <item m="1" x="5201"/>
        <item m="1" x="4544"/>
        <item m="1" x="7212"/>
        <item m="1" x="1428"/>
        <item m="1" x="4613"/>
        <item m="1" x="4687"/>
        <item m="1" x="858"/>
        <item m="1" x="7372"/>
        <item m="1" x="2347"/>
        <item m="1" x="6196"/>
        <item m="1" x="7240"/>
        <item m="1" x="6734"/>
        <item m="1" x="7668"/>
        <item m="1" x="3785"/>
        <item m="1" x="7366"/>
        <item m="1" x="2959"/>
        <item m="1" x="6073"/>
        <item m="1" x="6028"/>
        <item m="1" x="7054"/>
        <item m="1" x="4855"/>
        <item m="1" x="399"/>
        <item m="1" x="5109"/>
        <item m="1" x="374"/>
        <item m="1" x="3369"/>
        <item m="1" x="7168"/>
        <item m="1" x="4922"/>
        <item m="1" x="2110"/>
        <item m="1" x="7003"/>
        <item m="1" x="3123"/>
        <item m="1" x="3752"/>
        <item m="1" x="1105"/>
        <item m="1" x="2170"/>
        <item m="1" x="4891"/>
        <item m="1" x="707"/>
        <item m="1" x="5420"/>
        <item m="1" x="5273"/>
        <item m="1" x="7464"/>
        <item m="1" x="6111"/>
        <item m="1" x="378"/>
        <item m="1" x="7350"/>
        <item m="1" x="7113"/>
        <item m="1" x="555"/>
        <item m="1" x="3929"/>
        <item m="1" x="3632"/>
        <item m="1" x="7042"/>
        <item m="1" x="2307"/>
        <item m="1" x="6069"/>
        <item m="1" x="7797"/>
        <item m="1" x="2486"/>
        <item m="1" x="1484"/>
        <item m="1" x="4541"/>
        <item m="1" x="6669"/>
        <item m="1" x="1846"/>
        <item m="1" x="6925"/>
        <item m="1" x="1653"/>
        <item m="1" x="6779"/>
        <item m="1" x="7630"/>
        <item m="1" x="440"/>
        <item m="1" x="1829"/>
        <item m="1" x="7122"/>
        <item m="1" x="4921"/>
        <item m="1" x="6681"/>
        <item m="1" x="5736"/>
        <item m="1" x="7359"/>
        <item m="1" x="1644"/>
        <item m="1" x="635"/>
        <item m="1" x="6137"/>
        <item m="1" x="1649"/>
        <item m="1" x="1273"/>
        <item m="1" x="3015"/>
        <item m="1" x="4062"/>
        <item m="1" x="5204"/>
        <item m="1" x="1634"/>
        <item m="1" x="3358"/>
        <item m="1" x="7187"/>
        <item m="1" x="788"/>
        <item m="1" x="5784"/>
        <item m="1" x="5816"/>
        <item m="1" x="2687"/>
        <item m="1" x="470"/>
        <item m="1" x="1857"/>
        <item m="1" x="1849"/>
        <item m="1" x="6625"/>
        <item m="1" x="4424"/>
        <item m="1" x="2764"/>
        <item m="1" x="259"/>
        <item m="1" x="1984"/>
        <item m="1" x="1792"/>
        <item m="1" x="7851"/>
        <item m="1" x="445"/>
        <item m="1" x="5765"/>
        <item m="1" x="5560"/>
        <item m="1" x="6974"/>
        <item m="1" x="5309"/>
        <item m="1" x="917"/>
        <item m="1" x="4483"/>
        <item m="1" x="3815"/>
        <item m="1" x="2773"/>
        <item m="1" x="3794"/>
        <item m="1" x="3690"/>
        <item m="1" x="5629"/>
        <item m="1" x="5907"/>
        <item m="1" x="1081"/>
        <item m="1" x="3842"/>
        <item m="1" x="3253"/>
        <item m="1" x="7006"/>
        <item m="1" x="5247"/>
        <item m="1" x="1532"/>
        <item m="1" x="6527"/>
        <item m="1" x="4988"/>
        <item m="1" x="7734"/>
        <item m="1" x="2569"/>
        <item m="1" x="5252"/>
        <item m="1" x="1210"/>
        <item m="1" x="7431"/>
        <item m="1" x="1445"/>
        <item m="1" x="6750"/>
        <item m="1" x="3453"/>
        <item m="1" x="565"/>
        <item m="1" x="3477"/>
        <item m="1" x="1869"/>
        <item m="1" x="1082"/>
        <item m="1" x="2112"/>
        <item m="1" x="7480"/>
        <item m="1" x="1459"/>
        <item m="1" x="2916"/>
        <item m="1" x="1718"/>
        <item m="1" x="3600"/>
        <item m="1" x="2852"/>
        <item m="1" x="5526"/>
        <item m="1" x="4946"/>
        <item m="1" x="3970"/>
        <item m="1" x="7444"/>
        <item m="1" x="3184"/>
        <item m="1" x="3961"/>
        <item m="1" x="2878"/>
        <item m="1" x="5648"/>
        <item m="1" x="5894"/>
        <item m="1" x="3768"/>
        <item m="1" x="1759"/>
        <item m="1" x="5334"/>
        <item m="1" x="5759"/>
        <item m="1" x="6728"/>
        <item m="1" x="2788"/>
        <item m="1" x="1925"/>
        <item m="1" x="271"/>
        <item m="1" x="4464"/>
        <item m="1" x="4932"/>
        <item m="1" x="3732"/>
        <item m="1" x="5674"/>
        <item m="1" x="666"/>
        <item m="1" x="1297"/>
        <item m="1" x="4881"/>
        <item m="1" x="3101"/>
        <item m="1" x="2932"/>
        <item m="1" x="973"/>
        <item m="1" x="877"/>
        <item m="1" x="6976"/>
        <item m="1" x="4287"/>
        <item m="1" x="5342"/>
        <item m="1" x="2604"/>
        <item m="1" x="5615"/>
        <item m="1" x="1725"/>
        <item m="1" x="6719"/>
        <item m="1" x="7269"/>
        <item m="1" x="1536"/>
        <item m="1" x="7271"/>
        <item m="1" x="5298"/>
        <item m="1" x="3872"/>
        <item m="1" x="6102"/>
        <item m="1" x="5397"/>
        <item m="1" x="800"/>
        <item m="1" x="7236"/>
        <item m="1" x="1310"/>
        <item m="1" x="2120"/>
        <item m="1" x="3883"/>
        <item m="1" x="1633"/>
        <item m="1" x="6032"/>
        <item m="1" x="4074"/>
        <item m="1" x="646"/>
        <item m="1" x="2350"/>
        <item m="1" x="6489"/>
        <item m="1" x="4941"/>
        <item m="1" x="2097"/>
        <item m="1" x="7304"/>
        <item m="1" x="4528"/>
        <item m="1" x="7085"/>
        <item m="1" x="2757"/>
        <item m="1" x="2515"/>
        <item m="1" x="7897"/>
        <item m="1" x="4368"/>
        <item m="1" x="7390"/>
        <item m="1" x="5045"/>
        <item m="1" x="3136"/>
        <item m="1" x="2385"/>
        <item m="1" x="926"/>
        <item m="1" x="5296"/>
        <item m="1" x="6247"/>
        <item m="1" x="2195"/>
        <item m="1" x="4740"/>
        <item m="1" x="1119"/>
        <item m="1" x="6702"/>
        <item m="1" x="4664"/>
        <item m="1" x="5373"/>
        <item m="1" x="739"/>
        <item m="1" x="2813"/>
        <item m="1" x="7799"/>
        <item m="1" x="1874"/>
        <item m="1" x="573"/>
        <item m="1" x="5462"/>
        <item m="1" x="6602"/>
        <item m="1" x="674"/>
        <item m="1" x="2562"/>
        <item m="1" x="5354"/>
        <item m="1" x="3910"/>
        <item m="1" x="6617"/>
        <item m="1" x="5376"/>
        <item m="1" x="1426"/>
        <item m="1" x="7268"/>
        <item m="1" x="7681"/>
        <item m="1" x="736"/>
        <item m="1" x="4251"/>
        <item m="1" x="4015"/>
        <item m="1" x="571"/>
        <item m="1" x="5098"/>
        <item m="1" x="5721"/>
        <item m="1" x="3133"/>
        <item m="1" x="6518"/>
        <item m="1" x="3188"/>
        <item m="1" x="6420"/>
        <item m="1" x="6219"/>
        <item m="1" x="7545"/>
        <item m="1" x="3707"/>
        <item m="1" x="950"/>
        <item m="1" x="6207"/>
        <item m="1" x="1986"/>
        <item m="1" x="3163"/>
        <item m="1" x="1185"/>
        <item m="1" x="2998"/>
        <item m="1" x="1258"/>
        <item m="1" x="5190"/>
        <item m="1" x="2383"/>
        <item m="1" x="7864"/>
        <item m="1" x="680"/>
        <item m="1" x="4493"/>
        <item m="1" x="240"/>
        <item m="1" x="4110"/>
        <item m="1" x="4225"/>
        <item m="1" x="5707"/>
        <item m="1" x="7722"/>
        <item m="1" x="563"/>
        <item m="1" x="1954"/>
        <item m="1" x="2422"/>
        <item m="1" x="2792"/>
        <item m="1" x="7069"/>
        <item m="1" x="1077"/>
        <item m="1" x="1635"/>
        <item m="1" x="4592"/>
        <item m="1" x="4077"/>
        <item m="1" x="1201"/>
        <item m="1" x="7829"/>
        <item m="1" x="5167"/>
        <item m="1" x="4771"/>
        <item m="1" x="1574"/>
        <item m="1" x="2002"/>
        <item m="1" x="5941"/>
        <item m="1" x="6741"/>
        <item m="1" x="5644"/>
        <item m="1" x="3407"/>
        <item m="1" x="3212"/>
        <item m="1" x="7518"/>
        <item m="1" x="1564"/>
        <item m="1" x="7308"/>
        <item m="1" x="6314"/>
        <item m="1" x="4112"/>
        <item m="1" x="6864"/>
        <item m="1" x="4364"/>
        <item m="1" x="5024"/>
        <item m="1" x="5544"/>
        <item m="1" x="3498"/>
        <item m="1" x="2542"/>
        <item m="1" x="852"/>
        <item m="1" x="5939"/>
        <item m="1" x="3433"/>
        <item m="1" x="2505"/>
        <item m="1" x="1186"/>
        <item m="1" x="1679"/>
        <item m="1" x="2351"/>
        <item m="1" x="1158"/>
        <item m="1" x="2105"/>
        <item m="1" x="2626"/>
        <item m="1" x="4026"/>
        <item m="1" x="6118"/>
        <item m="1" x="893"/>
        <item m="1" x="2891"/>
        <item m="1" x="6574"/>
        <item m="1" x="7945"/>
        <item m="1" x="4035"/>
        <item m="1" x="1383"/>
        <item m="1" x="4862"/>
        <item m="1" x="706"/>
        <item m="1" x="7146"/>
        <item m="1" x="4267"/>
        <item m="1" x="7900"/>
        <item m="1" x="6991"/>
        <item m="1" x="1575"/>
        <item m="1" x="1917"/>
        <item m="1" x="5862"/>
        <item m="1" x="6918"/>
        <item m="1" x="7574"/>
        <item m="1" x="1766"/>
        <item m="1" x="3655"/>
        <item m="1" x="421"/>
        <item m="1" x="4878"/>
        <item m="1" x="394"/>
        <item m="1" x="1012"/>
        <item m="1" x="767"/>
        <item m="1" x="2088"/>
        <item m="1" x="4216"/>
        <item m="1" x="5511"/>
        <item m="1" x="2630"/>
        <item m="1" x="1809"/>
        <item m="1" x="1390"/>
        <item m="1" x="4176"/>
        <item m="1" x="7209"/>
        <item m="1" x="7362"/>
        <item m="1" x="1106"/>
        <item m="1" x="3025"/>
        <item m="1" x="3824"/>
        <item m="1" x="7332"/>
        <item m="1" x="7493"/>
        <item m="1" x="6278"/>
        <item m="1" x="7070"/>
        <item m="1" x="3689"/>
        <item m="1" x="2634"/>
        <item m="1" x="3742"/>
        <item m="1" x="3952"/>
        <item m="1" x="922"/>
        <item m="1" x="6416"/>
        <item m="1" x="4790"/>
        <item m="1" x="4870"/>
        <item m="1" x="1758"/>
        <item m="1" x="2550"/>
        <item m="1" x="3694"/>
        <item m="1" x="4458"/>
        <item m="1" x="4604"/>
        <item m="1" x="7831"/>
        <item m="1" x="898"/>
        <item m="1" x="4451"/>
        <item m="1" x="2843"/>
        <item m="1" x="851"/>
        <item m="1" x="6446"/>
        <item m="1" x="5057"/>
        <item m="1" x="4008"/>
        <item m="1" x="3836"/>
        <item m="1" x="2796"/>
        <item m="1" x="4144"/>
        <item m="1" x="6049"/>
        <item m="1" x="7666"/>
        <item m="1" x="1416"/>
        <item m="1" x="2115"/>
        <item m="1" x="5041"/>
        <item m="1" x="6479"/>
        <item m="1" x="4037"/>
        <item m="1" x="1772"/>
        <item m="1" x="7272"/>
        <item m="1" x="514"/>
        <item m="1" x="5205"/>
        <item m="1" x="3028"/>
        <item m="1" x="2715"/>
        <item m="1" x="7274"/>
        <item m="1" x="7059"/>
        <item m="1" x="3084"/>
        <item m="1" x="6140"/>
        <item m="1" x="3316"/>
        <item m="1" x="5251"/>
        <item m="1" x="5578"/>
        <item m="1" x="4485"/>
        <item m="1" x="2985"/>
        <item m="1" x="2899"/>
        <item m="1" x="2289"/>
        <item m="1" x="1458"/>
        <item m="1" x="5361"/>
        <item m="1" x="6899"/>
        <item m="1" x="3592"/>
        <item m="1" x="7886"/>
        <item m="1" x="5900"/>
        <item m="1" x="6181"/>
        <item m="1" x="5779"/>
        <item m="1" x="2190"/>
        <item m="1" x="554"/>
        <item m="1" x="1346"/>
        <item m="1" x="5961"/>
        <item m="1" x="4902"/>
        <item m="1" x="796"/>
        <item m="1" x="4039"/>
        <item m="1" x="1660"/>
        <item m="1" x="6742"/>
        <item m="1" x="4900"/>
        <item m="1" x="5566"/>
        <item m="1" x="7944"/>
        <item m="1" x="7688"/>
        <item m="1" x="3790"/>
        <item m="1" x="2971"/>
        <item m="1" x="3002"/>
        <item m="1" x="7447"/>
        <item m="1" x="2285"/>
        <item m="1" x="4165"/>
        <item m="1" x="4933"/>
        <item m="1" x="7458"/>
        <item m="1" x="7355"/>
        <item m="1" x="6350"/>
        <item m="1" x="7394"/>
        <item m="1" x="4704"/>
        <item m="1" x="5038"/>
        <item m="1" x="839"/>
        <item m="1" x="2224"/>
        <item m="1" x="4827"/>
        <item m="1" x="1497"/>
        <item m="1" x="260"/>
        <item m="1" x="5198"/>
        <item m="1" x="4310"/>
        <item m="1" x="1104"/>
        <item m="1" x="2697"/>
        <item m="1" x="4648"/>
        <item m="1" x="7875"/>
        <item m="1" x="7432"/>
        <item m="1" x="5396"/>
        <item m="1" x="2614"/>
        <item m="1" x="1010"/>
        <item m="1" x="4958"/>
        <item m="1" x="4311"/>
        <item m="1" x="4843"/>
        <item m="1" x="3904"/>
        <item m="1" x="3037"/>
        <item m="1" x="790"/>
        <item m="1" x="5106"/>
        <item m="1" x="3999"/>
        <item m="1" x="1542"/>
        <item m="1" x="4055"/>
        <item m="1" x="5746"/>
        <item m="1" x="1072"/>
        <item m="1" x="4098"/>
        <item m="1" x="6865"/>
        <item m="1" x="1013"/>
        <item m="1" x="2331"/>
        <item m="1" x="7669"/>
        <item m="1" x="604"/>
        <item m="1" x="614"/>
        <item m="1" x="7020"/>
        <item m="1" x="4350"/>
        <item m="1" x="1681"/>
        <item m="1" x="3623"/>
        <item m="1" x="805"/>
        <item m="1" x="6859"/>
        <item m="1" x="1528"/>
        <item m="1" x="4713"/>
        <item m="1" x="3576"/>
        <item m="1" x="1756"/>
        <item m="1" x="970"/>
        <item m="1" x="1063"/>
        <item m="1" x="5698"/>
        <item m="1" x="5136"/>
        <item m="1" x="4636"/>
        <item m="1" x="6575"/>
        <item m="1" x="1734"/>
        <item m="1" x="426"/>
        <item m="1" x="6225"/>
        <item m="1" x="3283"/>
        <item m="1" x="2937"/>
        <item m="1" x="4574"/>
        <item m="1" x="3376"/>
        <item m="1" x="4899"/>
        <item m="1" x="4316"/>
        <item m="1" x="5757"/>
        <item m="1" x="2901"/>
        <item m="1" x="6680"/>
        <item m="1" x="4459"/>
        <item m="1" x="817"/>
        <item m="1" x="3659"/>
        <item m="1" x="3367"/>
        <item m="1" x="1656"/>
        <item m="1" x="1936"/>
        <item m="1" x="5530"/>
        <item m="1" x="4736"/>
        <item m="1" x="6603"/>
        <item m="1" x="3810"/>
        <item m="1" x="2368"/>
        <item m="1" x="1965"/>
        <item m="1" x="5094"/>
        <item m="1" x="1404"/>
        <item m="1" x="3165"/>
        <item m="1" x="5567"/>
        <item m="1" x="4718"/>
        <item m="1" x="3282"/>
        <item m="1" x="5385"/>
        <item m="1" x="6430"/>
        <item m="1" x="2435"/>
        <item m="1" x="4705"/>
        <item m="1" x="6321"/>
        <item m="1" x="6388"/>
        <item m="1" x="2782"/>
        <item m="1" x="813"/>
        <item m="1" x="5306"/>
        <item m="1" x="2338"/>
        <item m="1" x="4699"/>
        <item m="1" x="3981"/>
        <item m="1" x="7195"/>
        <item m="1" x="7682"/>
        <item m="1" x="2063"/>
        <item m="1" x="6700"/>
        <item m="1" x="2327"/>
        <item m="1" x="5838"/>
        <item m="1" x="2638"/>
        <item m="1" x="4757"/>
        <item m="1" x="2376"/>
        <item m="1" x="703"/>
        <item m="1" x="6660"/>
        <item m="1" x="758"/>
        <item m="1" x="4940"/>
        <item m="1" x="1242"/>
        <item m="1" x="3139"/>
        <item m="1" x="838"/>
        <item m="1" x="7792"/>
        <item m="1" x="2890"/>
        <item m="1" x="5351"/>
        <item m="1" x="7457"/>
        <item m="1" x="1224"/>
        <item m="1" x="2103"/>
        <item m="1" x="6581"/>
        <item m="1" x="3908"/>
        <item m="1" x="4837"/>
        <item m="1" x="7102"/>
        <item m="1" x="7532"/>
        <item m="1" x="4817"/>
        <item m="1" x="6791"/>
        <item m="1" x="4096"/>
        <item m="1" x="4244"/>
        <item m="1" x="7336"/>
        <item m="1" x="1811"/>
        <item m="1" x="4375"/>
        <item m="1" x="6968"/>
        <item m="1" x="7114"/>
        <item m="1" x="7735"/>
        <item m="1" x="4588"/>
        <item m="1" x="7854"/>
        <item m="1" x="5019"/>
        <item m="1" x="1486"/>
        <item m="1" x="2996"/>
        <item m="1" x="6722"/>
        <item m="1" x="2789"/>
        <item m="1" x="345"/>
        <item m="1" x="1197"/>
        <item m="1" x="5720"/>
        <item m="1" x="4046"/>
        <item m="1" x="2622"/>
        <item m="1" x="3052"/>
        <item m="1" x="5324"/>
        <item m="1" x="7282"/>
        <item m="1" x="1343"/>
        <item m="1" x="2326"/>
        <item m="1" x="3082"/>
        <item m="1" x="4626"/>
        <item m="1" x="3974"/>
        <item m="1" x="1241"/>
        <item m="1" x="6882"/>
        <item m="1" x="1294"/>
        <item m="1" x="6970"/>
        <item m="1" x="6077"/>
        <item m="1" x="6860"/>
        <item m="1" x="671"/>
        <item m="1" x="7066"/>
        <item m="1" x="2013"/>
        <item m="1" x="7273"/>
        <item m="1" x="1926"/>
        <item m="1" x="7450"/>
        <item m="1" x="1979"/>
        <item m="1" x="948"/>
        <item m="1" x="2443"/>
        <item m="1" x="727"/>
        <item m="1" x="4928"/>
        <item m="1" x="3140"/>
        <item m="1" x="3738"/>
        <item m="1" x="7087"/>
        <item m="1" x="5415"/>
        <item m="1" x="5469"/>
        <item m="1" x="5311"/>
        <item m="1" x="5492"/>
        <item m="1" x="7118"/>
        <item m="1" x="2761"/>
        <item m="1" x="5063"/>
        <item m="1" x="6749"/>
        <item m="1" x="3808"/>
        <item m="1" x="1823"/>
        <item m="1" x="4121"/>
        <item m="1" x="1061"/>
        <item m="1" x="7298"/>
        <item m="1" x="868"/>
        <item m="1" x="4094"/>
        <item m="1" x="2810"/>
        <item m="1" x="6696"/>
        <item m="1" x="2797"/>
        <item m="1" x="4840"/>
        <item m="1" x="1608"/>
        <item m="1" x="6498"/>
        <item m="1" x="2588"/>
        <item m="1" x="6517"/>
        <item m="1" x="518"/>
        <item m="1" x="2812"/>
        <item m="1" x="2021"/>
        <item m="1" x="3389"/>
        <item m="1" x="2102"/>
        <item m="1" x="6125"/>
        <item m="1" x="2400"/>
        <item m="1" x="5989"/>
        <item m="1" x="2857"/>
        <item m="1" x="7040"/>
        <item m="1" x="1721"/>
        <item m="1" x="7619"/>
        <item m="1" x="1319"/>
        <item m="1" x="1636"/>
        <item m="1" x="7460"/>
        <item m="1" x="1331"/>
        <item m="1" x="2911"/>
        <item m="1" x="7465"/>
        <item m="1" x="1448"/>
        <item m="1" x="5641"/>
        <item m="1" x="1385"/>
        <item m="1" x="2396"/>
        <item m="1" x="5187"/>
        <item m="1" x="7747"/>
        <item m="1" x="2239"/>
        <item m="1" x="3686"/>
        <item m="1" x="4643"/>
        <item m="1" x="1368"/>
        <item m="1" x="5158"/>
        <item m="1" x="471"/>
        <item m="1" x="7075"/>
        <item m="1" x="857"/>
        <item m="1" x="6910"/>
        <item m="1" x="2352"/>
        <item m="1" x="6325"/>
        <item m="1" x="3217"/>
        <item m="1" x="5149"/>
        <item m="1" x="2207"/>
        <item m="1" x="4911"/>
        <item m="1" x="5753"/>
        <item m="1" x="2883"/>
        <item m="1" x="3931"/>
        <item m="1" x="4516"/>
        <item m="1" x="7096"/>
        <item m="1" x="5999"/>
        <item m="1" x="2296"/>
        <item m="1" x="3483"/>
        <item m="1" x="2129"/>
        <item m="1" x="6507"/>
        <item m="1" x="4990"/>
        <item m="1" x="5225"/>
        <item m="1" x="1424"/>
        <item m="1" x="1196"/>
        <item m="1" x="3158"/>
        <item m="1" x="4359"/>
        <item m="1" x="5485"/>
        <item m="1" x="248"/>
        <item m="1" x="3261"/>
        <item m="1" x="4966"/>
        <item m="1" x="6231"/>
        <item m="1" x="2014"/>
        <item m="1" x="2061"/>
        <item m="1" x="2305"/>
        <item m="1" x="627"/>
        <item m="1" x="2685"/>
        <item m="1" x="2780"/>
        <item m="1" x="1655"/>
        <item m="1" x="5880"/>
        <item m="1" x="4972"/>
        <item m="1" x="1547"/>
        <item m="1" x="7902"/>
        <item m="1" x="6849"/>
        <item m="1" x="2876"/>
        <item m="1" x="505"/>
        <item m="1" x="1744"/>
        <item m="1" x="7012"/>
        <item m="1" x="7191"/>
        <item m="1" x="5748"/>
        <item m="1" x="2739"/>
        <item m="1" x="5540"/>
        <item m="1" x="5821"/>
        <item m="1" x="6704"/>
        <item m="1" x="607"/>
        <item m="1" x="2707"/>
        <item m="1" x="6159"/>
        <item m="1" x="3196"/>
        <item m="1" x="7127"/>
        <item m="1" x="3625"/>
        <item m="1" x="7279"/>
        <item m="1" x="4581"/>
        <item m="1" x="3663"/>
        <item m="1" x="7174"/>
        <item m="1" x="3733"/>
        <item m="1" x="5343"/>
        <item m="1" x="1996"/>
        <item m="1" x="5076"/>
        <item m="1" x="342"/>
        <item m="1" x="2571"/>
        <item m="1" x="7551"/>
        <item m="1" x="7929"/>
        <item m="1" x="2437"/>
        <item m="1" x="6275"/>
        <item m="1" x="1170"/>
        <item m="1" x="2251"/>
        <item m="1" x="990"/>
        <item m="1" x="2689"/>
        <item m="1" x="5138"/>
        <item m="1" x="968"/>
        <item m="1" x="1469"/>
        <item m="1" x="5883"/>
        <item m="1" x="5715"/>
        <item m="1" x="2837"/>
        <item m="1" x="6999"/>
        <item m="1" x="2185"/>
        <item m="1" x="2455"/>
        <item m="1" x="7889"/>
        <item m="1" x="1455"/>
        <item m="1" x="7176"/>
        <item m="1" x="1810"/>
        <item m="1" x="4620"/>
        <item m="1" x="3826"/>
        <item m="1" x="1245"/>
        <item m="1" x="5912"/>
        <item m="1" x="2983"/>
        <item m="1" x="3425"/>
        <item m="1" x="6738"/>
        <item m="1" x="4217"/>
        <item m="1" x="3173"/>
        <item m="1" x="4419"/>
        <item m="1" x="2039"/>
        <item m="1" x="6375"/>
        <item m="1" x="2557"/>
        <item m="1" x="5112"/>
        <item m="1" x="6453"/>
        <item m="1" x="2817"/>
        <item m="1" x="5810"/>
        <item m="1" x="6023"/>
        <item m="1" x="954"/>
        <item m="1" x="7822"/>
        <item m="1" x="1261"/>
        <item m="1" x="613"/>
        <item m="1" x="3343"/>
        <item m="1" x="6569"/>
        <item m="1" x="5050"/>
        <item m="1" x="976"/>
        <item m="1" x="1695"/>
        <item m="1" x="3416"/>
        <item m="1" x="687"/>
        <item m="1" x="1005"/>
        <item m="1" x="5902"/>
        <item m="1" x="5825"/>
        <item m="1" x="1461"/>
        <item m="1" x="5628"/>
        <item m="1" x="591"/>
        <item m="1" x="5172"/>
        <item m="1" x="6504"/>
        <item m="1" x="5416"/>
        <item m="1" x="5344"/>
        <item m="1" x="1066"/>
        <item m="1" x="5888"/>
        <item m="1" x="3980"/>
        <item m="1" x="991"/>
        <item m="1" x="255"/>
        <item m="1" x="5895"/>
        <item m="1" x="3356"/>
        <item m="1" x="1704"/>
        <item m="1" x="3791"/>
        <item m="1" x="2930"/>
        <item m="1" x="1950"/>
        <item m="1" x="6175"/>
        <item m="1" x="3419"/>
        <item m="1" x="6178"/>
        <item m="1" x="3543"/>
        <item m="1" x="792"/>
        <item m="1" x="6046"/>
        <item m="1" x="3153"/>
        <item m="1" x="4731"/>
        <item m="1" x="4667"/>
        <item m="1" x="2947"/>
        <item m="1" x="423"/>
        <item m="1" x="6057"/>
        <item m="1" x="5915"/>
        <item m="1" x="7496"/>
        <item m="1" x="5626"/>
        <item m="1" x="569"/>
        <item m="1" x="7507"/>
        <item m="1" x="2057"/>
        <item m="1" x="6723"/>
        <item m="1" x="524"/>
        <item m="1" x="510"/>
        <item m="1" x="1175"/>
        <item m="1" x="2619"/>
        <item m="1" x="2391"/>
        <item m="1" x="7456"/>
        <item m="1" x="4092"/>
        <item m="1" x="4097"/>
        <item m="1" x="6594"/>
        <item m="1" x="3463"/>
        <item m="1" x="2690"/>
        <item m="1" x="1982"/>
        <item m="1" x="4753"/>
        <item m="1" x="745"/>
        <item m="1" x="4883"/>
        <item m="1" x="1997"/>
        <item m="1" x="3628"/>
        <item m="1" x="2078"/>
        <item m="1" x="6846"/>
        <item m="1" x="6683"/>
        <item m="1" x="2979"/>
        <item m="1" x="1249"/>
        <item m="1" x="5937"/>
        <item m="1" x="4129"/>
        <item m="1" x="3848"/>
        <item m="1" x="373"/>
        <item m="1" x="7880"/>
        <item m="1" x="3513"/>
        <item m="1" x="6000"/>
        <item m="1" x="6997"/>
        <item m="1" x="5617"/>
        <item m="1" x="3559"/>
        <item m="1" x="5487"/>
        <item m="1" x="663"/>
        <item m="1" x="6547"/>
        <item m="1" x="2146"/>
        <item m="1" x="4690"/>
        <item m="1" x="2835"/>
        <item m="1" x="2353"/>
        <item m="1" x="1487"/>
        <item m="1" x="1586"/>
        <item m="1" x="7396"/>
        <item m="1" x="7299"/>
        <item m="1" x="1509"/>
        <item m="1" x="1956"/>
        <item m="1" x="1667"/>
        <item m="1" x="865"/>
        <item m="1" x="6169"/>
        <item m="1" x="328"/>
        <item m="1" x="952"/>
        <item m="1" x="1795"/>
        <item m="1" x="3444"/>
        <item m="1" x="6545"/>
        <item m="1" x="5197"/>
        <item m="1" x="1981"/>
        <item m="1" x="3180"/>
        <item m="1" x="2753"/>
        <item m="1" x="3975"/>
        <item m="1" x="1496"/>
        <item m="1" x="3378"/>
        <item m="1" x="7144"/>
        <item m="1" x="3684"/>
        <item m="1" x="6324"/>
        <item m="1" x="872"/>
        <item m="1" x="6310"/>
        <item m="1" x="4007"/>
        <item m="1" x="6059"/>
        <item m="1" x="6907"/>
        <item m="1" x="5224"/>
        <item m="1" x="1595"/>
        <item m="1" x="1877"/>
        <item m="1" x="7811"/>
        <item m="1" x="5042"/>
        <item m="1" x="5505"/>
        <item m="1" x="1332"/>
        <item m="1" x="600"/>
        <item m="1" x="1466"/>
        <item m="1" x="6979"/>
        <item m="1" x="3773"/>
        <item m="1" x="878"/>
        <item m="1" x="7796"/>
        <item m="1" x="3614"/>
        <item m="1" x="4824"/>
        <item m="1" x="7667"/>
        <item m="1" x="7408"/>
        <item m="1" x="6709"/>
        <item m="1" x="3603"/>
        <item m="1" x="760"/>
        <item m="1" x="5223"/>
        <item m="1" x="4259"/>
        <item m="1" x="5696"/>
        <item m="1" x="5292"/>
        <item m="1" x="6002"/>
        <item m="1" x="5820"/>
        <item m="1" x="2598"/>
        <item m="1" x="1278"/>
        <item m="1" x="3144"/>
        <item m="1" x="2720"/>
        <item m="1" x="438"/>
        <item m="1" x="4081"/>
        <item m="1" x="3956"/>
        <item m="1" x="4646"/>
        <item m="1" x="4328"/>
        <item m="1" x="6198"/>
        <item m="1" x="6937"/>
        <item m="1" x="4506"/>
        <item m="1" x="1094"/>
        <item m="1" x="5286"/>
        <item m="1" x="2497"/>
        <item m="1" x="3541"/>
        <item m="1" x="4582"/>
        <item m="1" x="3518"/>
        <item m="1" x="2216"/>
        <item m="1" x="3528"/>
        <item m="1" x="1537"/>
        <item m="1" x="1338"/>
        <item m="1" x="2278"/>
        <item m="1" x="7365"/>
        <item m="1" x="4064"/>
        <item m="1" x="1085"/>
        <item m="1" x="3106"/>
        <item m="1" x="5218"/>
        <item m="1" x="4823"/>
        <item m="1" x="656"/>
        <item m="1" x="6778"/>
        <item m="1" x="4821"/>
        <item m="1" x="1016"/>
        <item m="1" x="6536"/>
        <item m="1" x="3105"/>
        <item m="1" x="5988"/>
        <item m="1" x="2919"/>
        <item m="1" x="7482"/>
        <item m="1" x="3308"/>
        <item m="1" x="1556"/>
        <item m="1" x="4725"/>
        <item m="1" x="7341"/>
        <item m="1" x="6399"/>
        <item m="1" x="7400"/>
        <item m="1" x="1006"/>
        <item m="1" x="2198"/>
        <item m="1" x="2968"/>
        <item m="1" x="7468"/>
        <item m="1" x="4908"/>
        <item m="1" x="3674"/>
        <item m="1" x="7692"/>
        <item m="1" x="5463"/>
        <item m="1" x="2728"/>
        <item m="1" x="7801"/>
        <item m="1" x="515"/>
        <item m="1" x="4069"/>
        <item m="1" x="2260"/>
        <item m="1" x="3296"/>
        <item m="1" x="1360"/>
        <item m="1" x="4850"/>
        <item m="1" x="684"/>
        <item m="1" x="1568"/>
        <item m="1" x="1031"/>
        <item m="1" x="5240"/>
        <item m="1" x="6822"/>
        <item m="1" x="3583"/>
        <item m="1" x="6642"/>
        <item m="1" x="1781"/>
        <item m="1" x="6072"/>
        <item m="1" x="2330"/>
        <item m="1" x="3905"/>
        <item m="1" x="5284"/>
        <item m="1" x="7866"/>
        <item m="1" x="1785"/>
        <item m="1" x="2303"/>
        <item m="1" x="5996"/>
        <item m="1" x="6291"/>
        <item m="1" x="2856"/>
        <item m="1" x="403"/>
        <item m="1" x="3359"/>
        <item m="1" x="2679"/>
        <item m="1" x="2279"/>
        <item m="1" x="540"/>
        <item m="1" x="1587"/>
        <item m="1" x="7259"/>
        <item m="1" x="1041"/>
        <item m="1" x="4686"/>
        <item m="1" x="2478"/>
        <item m="1" x="6510"/>
        <item m="1" x="7846"/>
        <item m="1" x="7430"/>
        <item m="1" x="4729"/>
        <item m="1" x="4866"/>
        <item m="1" x="2428"/>
        <item m="1" x="3166"/>
        <item m="1" x="1008"/>
        <item m="1" x="5579"/>
        <item m="1" x="5799"/>
        <item m="1" x="3012"/>
        <item m="1" x="3406"/>
        <item m="1" x="4024"/>
        <item m="1" x="1796"/>
        <item m="1" x="3451"/>
        <item m="1" x="5411"/>
        <item m="1" x="608"/>
        <item m="1" x="6827"/>
        <item m="1" x="6777"/>
        <item m="1" x="2401"/>
        <item m="1" x="4491"/>
        <item m="1" x="1953"/>
        <item m="1" x="3113"/>
        <item m="1" x="4471"/>
        <item m="1" x="6481"/>
        <item m="1" x="1033"/>
        <item m="1" x="5174"/>
        <item m="1" x="1646"/>
        <item m="1" x="3809"/>
        <item m="1" x="1928"/>
        <item m="1" x="6409"/>
        <item m="1" x="888"/>
        <item m="1" x="7466"/>
        <item m="1" x="5114"/>
        <item m="1" x="3846"/>
        <item m="1" x="2324"/>
        <item m="1" x="2533"/>
        <item m="1" x="3428"/>
        <item m="1" x="1200"/>
        <item m="1" x="6015"/>
        <item m="1" x="5090"/>
        <item m="1" x="5901"/>
        <item m="1" x="1856"/>
        <item m="1" x="3962"/>
        <item m="1" x="5891"/>
        <item m="1" x="642"/>
        <item m="1" x="7953"/>
        <item m="1" x="806"/>
        <item m="1" x="5666"/>
        <item m="1" x="228"/>
        <item m="1" x="3502"/>
        <item m="1" x="1506"/>
        <item m="1" x="2062"/>
        <item m="1" x="4001"/>
        <item m="1" x="1861"/>
        <item m="1" x="2518"/>
        <item m="1" x="1844"/>
        <item m="1" x="5085"/>
        <item m="1" x="4341"/>
        <item m="1" x="1189"/>
        <item m="1" x="7198"/>
        <item m="1" x="3459"/>
        <item m="1" x="4510"/>
        <item m="1" x="2219"/>
        <item m="1" x="2255"/>
        <item m="1" x="7856"/>
        <item m="1" x="6828"/>
        <item m="1" x="6566"/>
        <item m="1" x="2051"/>
        <item m="1" x="6372"/>
        <item m="1" x="4158"/>
        <item m="1" x="7051"/>
        <item m="1" x="2109"/>
        <item m="1" x="716"/>
        <item m="1" x="2114"/>
        <item m="1" x="6128"/>
        <item m="1" x="846"/>
        <item m="1" x="2309"/>
        <item m="1" x="2599"/>
        <item m="1" x="1905"/>
        <item m="1" x="5845"/>
        <item m="1" x="3806"/>
        <item m="1" x="7348"/>
        <item m="1" x="263"/>
        <item m="1" x="7483"/>
        <item m="1" x="7697"/>
        <item m="1" x="4706"/>
        <item m="1" x="3756"/>
        <item m="1" x="7147"/>
        <item m="1" x="2845"/>
        <item m="1" x="504"/>
        <item m="1" x="657"/>
        <item m="1" x="3973"/>
        <item m="1" x="2449"/>
        <item m="1" x="5188"/>
        <item m="1" x="1353"/>
        <item m="1" x="4787"/>
        <item m="1" x="2887"/>
        <item m="1" x="7672"/>
        <item m="1" x="1277"/>
        <item m="1" x="7932"/>
        <item m="1" x="661"/>
        <item m="1" x="3549"/>
        <item m="1" x="5061"/>
        <item m="1" x="1582"/>
        <item m="1" x="7220"/>
        <item m="1" x="7086"/>
        <item m="1" x="5997"/>
        <item m="1" x="1825"/>
        <item m="1" x="3912"/>
        <item m="1" x="1192"/>
        <item m="1" x="4661"/>
        <item m="1" x="3408"/>
        <item m="1" x="1079"/>
        <item m="1" x="5078"/>
        <item m="1" x="6025"/>
        <item m="1" x="1313"/>
        <item m="1" x="7628"/>
        <item m="1" x="6286"/>
        <item m="1" x="7080"/>
        <item m="1" x="2579"/>
        <item m="1" x="1937"/>
        <item m="1" x="6134"/>
        <item m="1" x="7173"/>
        <item m="1" x="5636"/>
        <item m="1" x="2523"/>
        <item m="1" x="1839"/>
        <item m="1" x="1976"/>
        <item m="1" x="5474"/>
        <item m="1" x="7142"/>
        <item m="1" x="5222"/>
        <item m="1" x="5794"/>
        <item m="1" x="2610"/>
        <item m="1" x="4521"/>
        <item m="1" x="743"/>
        <item m="1" x="2858"/>
        <item m="1" x="3065"/>
        <item m="1" x="3313"/>
        <item m="1" x="4529"/>
        <item m="1" x="1467"/>
        <item m="1" x="6670"/>
        <item m="1" x="1767"/>
        <item m="1" x="3843"/>
        <item m="1" x="7226"/>
        <item m="1" x="7858"/>
        <item m="1" x="6619"/>
        <item m="1" x="7103"/>
        <item m="1" x="5665"/>
        <item m="1" x="3189"/>
        <item m="1" x="2388"/>
        <item m="1" x="3580"/>
        <item m="1" x="475"/>
        <item m="1" x="6703"/>
        <item m="1" x="5444"/>
        <item m="1" x="1493"/>
        <item m="1" x="6315"/>
        <item m="1" x="235"/>
        <item m="1" x="6883"/>
        <item m="1" x="4873"/>
        <item m="1" x="1535"/>
        <item m="1" x="2708"/>
        <item m="1" x="6352"/>
        <item m="1" x="4905"/>
        <item m="1" x="1020"/>
        <item m="1" x="4656"/>
        <item m="1" x="3861"/>
        <item m="1" x="4553"/>
        <item m="1" x="7406"/>
        <item m="1" x="808"/>
        <item m="1" x="5153"/>
        <item m="1" x="3447"/>
        <item m="1" x="5734"/>
        <item m="1" x="920"/>
        <item m="1" x="2643"/>
        <item m="1" x="3361"/>
        <item m="1" x="5960"/>
        <item m="1" x="355"/>
        <item m="1" x="7611"/>
        <item m="1" x="4072"/>
        <item m="1" x="3612"/>
        <item m="1" x="6836"/>
        <item m="1" x="3430"/>
        <item m="1" x="1163"/>
        <item m="1" x="1004"/>
        <item m="1" x="6858"/>
        <item m="1" x="6671"/>
        <item m="1" x="5772"/>
        <item m="1" x="5625"/>
        <item m="1" x="1603"/>
        <item m="1" x="6661"/>
        <item m="1" x="3759"/>
        <item m="1" x="3705"/>
        <item m="1" x="6635"/>
        <item m="1" x="5789"/>
        <item m="1" x="5829"/>
        <item m="1" x="6433"/>
        <item m="1" x="4291"/>
        <item m="1" x="6620"/>
        <item m="1" x="3918"/>
        <item m="1" x="7645"/>
        <item m="1" x="6543"/>
        <item m="1" x="4238"/>
        <item m="1" x="5835"/>
        <item m="1" x="5103"/>
        <item m="1" x="1288"/>
        <item m="1" x="6783"/>
        <item m="1" x="227"/>
        <item m="1" x="2003"/>
        <item m="1" x="3083"/>
        <item m="1" x="5827"/>
        <item m="1" x="7159"/>
        <item m="1" x="6872"/>
        <item m="1" x="2412"/>
        <item m="1" x="7407"/>
        <item m="1" x="4230"/>
        <item m="1" x="7905"/>
        <item m="1" x="5244"/>
        <item m="1" x="6564"/>
        <item m="1" x="3840"/>
        <item m="1" x="7091"/>
        <item m="1" x="3702"/>
        <item m="1" x="1670"/>
        <item m="1" x="2734"/>
        <item m="1" x="5422"/>
        <item m="1" x="6861"/>
        <item m="1" x="928"/>
        <item m="1" x="362"/>
        <item m="1" x="912"/>
        <item m="1" x="1757"/>
        <item m="1" x="6972"/>
        <item m="1" x="6784"/>
        <item m="1" x="3066"/>
        <item m="1" x="3579"/>
        <item m="1" x="4352"/>
        <item m="1" x="4331"/>
        <item m="1" x="4171"/>
        <item m="1" x="3484"/>
        <item m="1" x="7903"/>
        <item m="1" x="3373"/>
        <item m="1" x="2280"/>
        <item m="1" x="6190"/>
        <item m="1" x="7094"/>
        <item m="1" x="6994"/>
        <item m="1" x="4788"/>
        <item m="1" x="5412"/>
        <item m="1" x="4102"/>
        <item m="1" x="1893"/>
        <item m="1" x="2628"/>
        <item m="1" x="3250"/>
        <item m="1" x="1841"/>
        <item m="1" x="6528"/>
        <item m="1" x="2417"/>
        <item m="1" x="2567"/>
        <item m="1" x="2559"/>
        <item m="1" x="2691"/>
        <item m="1" x="2636"/>
        <item m="1" x="4645"/>
        <item m="1" x="1895"/>
        <item m="1" x="1139"/>
        <item m="1" x="1156"/>
        <item m="1" x="6618"/>
        <item m="1" x="2727"/>
        <item m="1" x="1299"/>
        <item m="1" x="463"/>
        <item m="1" x="2509"/>
        <item m="1" x="3581"/>
        <item m="1" x="4682"/>
        <item m="1" x="3896"/>
        <item m="1" x="6805"/>
        <item m="1" x="2609"/>
        <item m="1" x="811"/>
        <item m="1" x="3333"/>
        <item m="1" x="3387"/>
        <item m="1" x="1499"/>
        <item m="1" x="1420"/>
        <item m="1" x="1463"/>
        <item m="1" x="1974"/>
        <item m="1" x="3832"/>
        <item m="1" x="734"/>
        <item m="1" x="4047"/>
        <item m="1" x="2404"/>
        <item m="1" x="388"/>
        <item m="1" x="1666"/>
        <item m="1" x="2700"/>
        <item m="1" x="6945"/>
        <item m="1" x="6692"/>
        <item m="1" x="4021"/>
        <item m="1" x="3299"/>
        <item m="1" x="501"/>
        <item m="1" x="279"/>
        <item m="1" x="6781"/>
        <item m="1" x="3461"/>
        <item m="1" x="2359"/>
        <item m="1" x="1394"/>
        <item m="1" x="2122"/>
        <item m="1" x="6637"/>
        <item m="1" x="3000"/>
        <item m="1" x="1287"/>
        <item m="1" x="2006"/>
        <item m="1" x="2827"/>
        <item m="1" x="1836"/>
        <item m="1" x="4848"/>
        <item m="1" x="3838"/>
        <item m="1" x="6714"/>
        <item m="1" x="1672"/>
        <item m="1" x="4906"/>
        <item m="1" x="6717"/>
        <item m="1" x="5369"/>
        <item m="1" x="1764"/>
        <item m="1" x="2621"/>
        <item m="1" x="4501"/>
        <item m="1" x="2868"/>
        <item m="1" x="4758"/>
        <item m="1" x="5399"/>
        <item m="1" x="7479"/>
        <item m="1" x="1187"/>
        <item m="1" x="4304"/>
        <item m="1" x="774"/>
        <item m="1" x="1970"/>
        <item m="1" x="3819"/>
        <item m="1" x="6908"/>
        <item m="1" x="4829"/>
        <item m="1" x="4193"/>
        <item m="1" x="5427"/>
        <item m="1" x="4038"/>
        <item m="1" x="1943"/>
        <item m="1" x="4271"/>
        <item m="1" x="3249"/>
        <item m="1" x="5646"/>
        <item m="1" x="4481"/>
        <item m="1" x="4147"/>
        <item m="1" x="1276"/>
        <item m="1" x="2065"/>
        <item m="1" x="1026"/>
        <item m="1" x="439"/>
        <item m="1" x="3455"/>
        <item m="1" x="3164"/>
        <item m="1" x="901"/>
        <item m="1" x="4440"/>
        <item m="1" x="4211"/>
        <item m="1" x="4086"/>
        <item m="1" x="3478"/>
        <item m="1" x="7354"/>
        <item m="1" x="3006"/>
        <item m="1" x="6400"/>
        <item m="1" x="4513"/>
        <item m="1" x="5727"/>
        <item m="1" x="3009"/>
        <item m="1" x="3262"/>
        <item m="1" x="3688"/>
        <item m="1" x="7787"/>
        <item m="1" x="1801"/>
        <item m="1" x="2009"/>
        <item m="1" x="6468"/>
        <item m="1" x="2768"/>
        <item m="1" x="2472"/>
        <item m="1" x="777"/>
        <item m="1" x="5859"/>
        <item m="1" x="4461"/>
        <item m="1" x="543"/>
        <item m="1" x="3629"/>
        <item m="1" x="1847"/>
        <item m="1" x="6917"/>
        <item m="1" x="6227"/>
        <item m="1" x="3551"/>
        <item m="1" x="4674"/>
        <item m="1" x="4564"/>
        <item m="1" x="3415"/>
        <item m="1" x="2503"/>
        <item m="1" x="4954"/>
        <item m="1" x="869"/>
        <item m="1" x="2060"/>
        <item m="1" x="7840"/>
        <item m="1" x="3602"/>
        <item m="1" x="7434"/>
        <item m="1" x="2963"/>
        <item m="1" x="3944"/>
        <item m="1" x="945"/>
        <item m="1" x="6856"/>
        <item m="1" x="3729"/>
        <item m="1" x="6651"/>
        <item m="1" x="5697"/>
        <item m="1" x="6122"/>
        <item m="1" x="3176"/>
        <item m="1" x="458"/>
        <item m="1" x="3511"/>
        <item m="1" x="7791"/>
        <item m="1" x="1056"/>
        <item m="1" x="3385"/>
        <item m="1" x="6985"/>
        <item m="1" x="910"/>
        <item m="1" x="5455"/>
        <item m="1" x="364"/>
        <item m="1" x="3680"/>
        <item m="1" x="1964"/>
        <item m="1" x="1515"/>
        <item m="1" x="1808"/>
        <item m="1" x="3205"/>
        <item m="1" x="6798"/>
        <item m="1" x="3281"/>
        <item m="1" x="7414"/>
        <item m="1" x="6667"/>
        <item m="1" x="708"/>
        <item m="1" x="1492"/>
        <item m="1" x="2011"/>
        <item m="1" x="1132"/>
        <item m="1" x="1848"/>
        <item m="1" x="2580"/>
        <item m="1" x="2863"/>
        <item m="1" x="6132"/>
        <item m="1" x="246"/>
        <item m="1" x="5313"/>
        <item m="1" x="6753"/>
        <item m="1" x="541"/>
        <item m="1" x="5451"/>
        <item m="1" x="5651"/>
        <item m="1" x="6235"/>
        <item m="1" x="6802"/>
        <item m="1" x="417"/>
        <item m="1" x="3547"/>
        <item m="1" x="5879"/>
        <item m="1" x="3177"/>
        <item m="1" x="5127"/>
        <item m="1" x="6541"/>
        <item m="1" x="967"/>
        <item m="1" x="5329"/>
        <item m="1" x="1247"/>
        <item m="1" x="5982"/>
        <item m="1" x="951"/>
        <item m="1" x="837"/>
        <item m="1" x="1176"/>
        <item m="1" x="1121"/>
        <item m="1" x="2367"/>
        <item m="1" x="1301"/>
        <item m="1" x="3784"/>
        <item m="1" x="4285"/>
        <item m="1" x="7686"/>
        <item m="1" x="963"/>
        <item m="1" x="4920"/>
        <item m="1" x="2981"/>
        <item m="1" x="3795"/>
        <item m="1" x="6532"/>
        <item m="1" x="5852"/>
        <item m="1" x="5211"/>
        <item m="1" x="1518"/>
        <item m="1" x="2144"/>
        <item m="1" x="4571"/>
        <item m="1" x="6037"/>
        <item m="1" x="1048"/>
        <item m="1" x="4363"/>
        <item m="1" x="5368"/>
        <item m="1" x="2952"/>
        <item m="1" x="3297"/>
        <item m="1" x="5815"/>
        <item m="1" x="7874"/>
        <item m="1" x="5918"/>
        <item m="1" x="7436"/>
        <item m="1" x="5551"/>
        <item m="1" x="4084"/>
        <item m="1" x="3560"/>
        <item m="1" x="6553"/>
        <item m="1" x="4250"/>
        <item m="1" x="2714"/>
        <item m="1" x="1566"/>
        <item m="1" x="6293"/>
        <item m="1" x="7565"/>
        <item m="1" x="4887"/>
        <item m="1" x="6080"/>
        <item m="1" x="5082"/>
        <item m="1" x="636"/>
        <item m="1" x="6624"/>
        <item m="1" x="3443"/>
        <item m="1" x="5023"/>
        <item m="1" x="446"/>
        <item m="1" x="2976"/>
        <item m="1" x="5059"/>
        <item m="1" x="3951"/>
        <item m="1" x="1015"/>
        <item m="1" x="6404"/>
        <item m="1" x="1583"/>
        <item m="1" x="277"/>
        <item m="1" x="7557"/>
        <item m="1" x="1967"/>
        <item m="1" x="7419"/>
        <item m="1" x="6951"/>
        <item m="1" x="5067"/>
        <item m="1" x="3909"/>
        <item m="1" x="4998"/>
        <item m="1" x="7227"/>
        <item m="1" x="5007"/>
        <item m="1" x="4761"/>
        <item m="1" x="1993"/>
        <item m="1" x="3081"/>
        <item m="1" x="4070"/>
        <item m="1" x="545"/>
        <item m="1" x="1491"/>
        <item m="1" x="7852"/>
        <item m="1" x="4805"/>
        <item m="1" x="650"/>
        <item m="1" x="5667"/>
        <item m="1" x="2586"/>
        <item m="1" x="1529"/>
        <item m="1" x="1870"/>
        <item m="1" x="7019"/>
        <item m="1" x="4947"/>
        <item m="1" x="5378"/>
        <item m="1" x="7067"/>
        <item m="1" x="7674"/>
        <item m="1" x="7804"/>
        <item m="1" x="6512"/>
        <item m="1" x="2070"/>
        <item m="1" x="6174"/>
        <item m="1" x="824"/>
        <item m="1" x="4696"/>
        <item m="1" x="319"/>
        <item m="1" x="4139"/>
        <item m="1" x="5971"/>
        <item m="1" x="3845"/>
        <item m="1" x="3272"/>
        <item m="1" x="7552"/>
        <item m="1" x="5391"/>
        <item m="1" x="4118"/>
        <item m="1" x="6369"/>
        <item m="1" x="3241"/>
        <item m="1" x="732"/>
        <item m="1" x="966"/>
        <item m="1" x="2342"/>
        <item m="1" x="312"/>
        <item m="1" x="5527"/>
        <item m="1" x="2631"/>
        <item m="1" x="5294"/>
        <item m="1" x="5445"/>
        <item m="1" x="1919"/>
        <item m="1" x="2541"/>
        <item m="1" x="2568"/>
        <item m="1" x="6323"/>
        <item m="1" x="6767"/>
        <item m="1" x="7894"/>
        <item m="1" x="2743"/>
        <item m="1" x="3390"/>
        <item m="1" x="410"/>
        <item m="1" x="631"/>
        <item m="1" x="7258"/>
        <item m="1" x="2755"/>
        <item m="1" x="3542"/>
        <item m="1" x="7947"/>
        <item m="1" x="400"/>
        <item m="1" x="340"/>
        <item m="1" x="6957"/>
        <item m="1" x="4456"/>
        <item m="1" x="3054"/>
        <item m="1" x="4760"/>
        <item m="1" x="3964"/>
        <item m="1" x="3971"/>
        <item m="1" x="5315"/>
        <item m="1" x="4616"/>
        <item m="1" x="7523"/>
        <item m="1" x="1945"/>
        <item m="1" x="1270"/>
        <item m="1" x="7987"/>
        <item m="1" x="2020"/>
        <item m="1" x="5514"/>
        <item m="1" x="3208"/>
        <item m="1" x="7582"/>
        <item m="1" x="2210"/>
        <item m="1" x="6538"/>
        <item m="1" x="4489"/>
        <item m="1" x="7471"/>
        <item m="1" x="7322"/>
        <item m="1" x="5237"/>
        <item m="1" x="2101"/>
        <item m="1" x="334"/>
        <item m="1" x="5841"/>
        <item m="1" x="1051"/>
        <item m="1" x="7652"/>
        <item m="1" x="3749"/>
        <item m="1" x="4490"/>
        <item m="1" x="3413"/>
        <item m="1" x="2459"/>
        <item m="1" x="5603"/>
        <item m="1" x="566"/>
        <item m="1" x="7848"/>
        <item m="1" x="3068"/>
        <item m="1" x="5033"/>
        <item m="1" x="6938"/>
        <item m="1" x="538"/>
        <item m="1" x="7491"/>
        <item m="1" x="7381"/>
        <item m="1" x="6955"/>
        <item m="1" x="2499"/>
        <item m="1" x="352"/>
        <item m="1" x="4605"/>
        <item m="1" x="958"/>
        <item m="1" x="5776"/>
        <item m="1" x="1388"/>
        <item m="1" x="303"/>
        <item m="1" x="4520"/>
        <item m="1" x="5359"/>
        <item m="1" x="2378"/>
        <item m="1" x="7570"/>
        <item m="1" x="5003"/>
        <item m="1" x="5111"/>
        <item m="1" x="491"/>
        <item m="1" x="4146"/>
        <item m="1" x="853"/>
        <item m="1" x="595"/>
        <item m="1" x="4915"/>
        <item m="1" x="7487"/>
        <item m="1" x="2539"/>
        <item m="1" x="4956"/>
        <item m="1" x="733"/>
        <item m="1" x="3347"/>
        <item m="1" x="2841"/>
        <item m="1" x="1325"/>
        <item m="1" x="4300"/>
        <item m="1" x="6447"/>
        <item m="1" x="5733"/>
        <item m="1" x="4040"/>
        <item m="1" x="4372"/>
        <item m="1" x="4945"/>
        <item m="1" x="2552"/>
        <item m="1" x="5885"/>
        <item m="1" x="4361"/>
        <item m="1" x="7786"/>
        <item m="1" x="3911"/>
        <item m="1" x="7351"/>
        <item m="1" x="2823"/>
        <item m="1" x="881"/>
        <item m="1" x="782"/>
        <item m="1" x="5730"/>
        <item m="1" x="2874"/>
        <item m="1" x="4572"/>
        <item m="1" x="3719"/>
        <item m="1" x="6427"/>
        <item m="1" x="1629"/>
        <item m="1" x="6509"/>
        <item m="1" x="5747"/>
        <item m="1" x="3894"/>
        <item m="1" x="5183"/>
        <item m="1" x="6678"/>
        <item m="1" x="742"/>
        <item m="1" x="3867"/>
        <item m="1" x="4242"/>
        <item m="1" x="3514"/>
        <item m="1" x="3653"/>
        <item m="1" x="3098"/>
        <item m="1" x="5763"/>
        <item m="1" x="4875"/>
        <item m="1" x="418"/>
        <item m="1" x="3723"/>
        <item m="1" x="4596"/>
        <item m="1" x="7841"/>
        <item m="1" x="3955"/>
        <item m="1" x="931"/>
        <item m="1" x="4910"/>
        <item m="1" x="3213"/>
        <item m="1" x="7046"/>
        <item m="1" x="4600"/>
        <item m="1" x="6956"/>
        <item m="1" x="6195"/>
        <item m="1" x="1300"/>
        <item m="1" x="7476"/>
        <item m="1" x="6922"/>
        <item m="1" x="7948"/>
        <item m="1" x="531"/>
        <item m="1" x="6843"/>
        <item m="1" x="7517"/>
        <item m="1" x="1225"/>
        <item m="1" x="7435"/>
        <item m="1" x="2489"/>
        <item m="1" x="7836"/>
        <item m="1" x="1606"/>
        <item m="1" x="7798"/>
        <item m="1" x="2590"/>
        <item m="1" x="1250"/>
        <item m="1" x="3491"/>
        <item m="1" x="7911"/>
        <item m="1" x="6364"/>
        <item m="1" x="1604"/>
        <item m="1" x="3222"/>
        <item m="1" x="5124"/>
        <item m="1" x="953"/>
        <item m="1" x="1214"/>
        <item m="1" x="6786"/>
        <item m="1" x="4383"/>
        <item m="1" x="3285"/>
        <item m="1" x="6787"/>
        <item m="1" x="2520"/>
        <item m="1" x="5973"/>
        <item m="1" x="7428"/>
        <item m="1" x="4290"/>
        <item m="1" x="943"/>
        <item m="1" x="2095"/>
        <item m="1" x="1076"/>
        <item m="1" x="2696"/>
        <item m="1" x="4398"/>
        <item m="1" x="4642"/>
        <item m="1" x="5932"/>
        <item m="1" x="2050"/>
        <item m="1" x="849"/>
        <item m="1" x="3672"/>
        <item m="1" x="1610"/>
        <item m="1" x="2750"/>
        <item m="1" x="6708"/>
        <item m="1" x="7642"/>
        <item m="1" x="7353"/>
        <item m="1" x="1921"/>
        <item m="1" x="1804"/>
        <item m="1" x="5348"/>
        <item m="1" x="6414"/>
        <item m="1" x="1952"/>
        <item m="1" x="4111"/>
        <item m="1" x="3722"/>
        <item m="1" x="2141"/>
        <item m="1" x="4283"/>
        <item m="1" x="2889"/>
        <item m="1" x="1366"/>
        <item m="1" x="2180"/>
        <item m="1" x="5892"/>
        <item m="1" x="4985"/>
        <item m="1" x="3360"/>
        <item m="1" x="7751"/>
        <item m="1" x="509"/>
        <item m="1" x="1154"/>
        <item m="1" x="603"/>
        <item m="1" x="6497"/>
        <item m="1" x="587"/>
        <item m="1" x="5012"/>
        <item m="1" x="932"/>
        <item m="1" x="4381"/>
        <item m="1" x="1327"/>
        <item m="1" x="2656"/>
        <item m="1" x="3960"/>
        <item m="1" x="7614"/>
        <item m="1" x="1109"/>
        <item m="1" x="3947"/>
        <item m="1" x="5581"/>
        <item m="1" x="2563"/>
        <item m="1" x="2089"/>
        <item m="1" x="982"/>
        <item m="1" x="6044"/>
        <item m="1" x="1951"/>
        <item m="1" x="3259"/>
        <item m="1" x="5914"/>
        <item m="1" x="7360"/>
        <item m="1" x="1860"/>
        <item m="1" x="4879"/>
        <item m="1" x="2654"/>
        <item m="1" x="3892"/>
        <item m="1" x="3236"/>
        <item m="1" x="2543"/>
        <item m="1" x="2160"/>
        <item m="1" x="861"/>
        <item m="1" x="2957"/>
        <item m="1" x="4457"/>
        <item m="1" x="7215"/>
        <item m="1" x="4169"/>
        <item m="1" x="6677"/>
        <item m="1" x="5858"/>
        <item m="1" x="5985"/>
        <item m="1" x="3254"/>
        <item m="1" x="1596"/>
        <item m="1" x="3056"/>
        <item m="1" x="2765"/>
        <item m="1" x="5107"/>
        <item m="1" x="4437"/>
        <item m="1" x="2798"/>
        <item m="1" x="5539"/>
        <item m="1" x="7635"/>
        <item m="1" x="330"/>
        <item m="1" x="3940"/>
        <item m="1" x="4088"/>
        <item m="1" x="5077"/>
        <item m="1" x="5227"/>
        <item m="1" x="5568"/>
        <item m="1" x="6383"/>
        <item m="1" x="6240"/>
        <item m="1" x="1563"/>
        <item m="1" x="4505"/>
        <item m="1" x="2766"/>
        <item m="1" x="1645"/>
        <item m="1" x="6171"/>
        <item m="1" x="1122"/>
        <item m="1" x="5055"/>
        <item m="1" x="4178"/>
        <item m="1" x="4042"/>
        <item m="1" x="3150"/>
        <item m="1" x="3865"/>
        <item m="1" x="7939"/>
        <item m="1" x="2894"/>
        <item m="1" x="2465"/>
        <item m="1" x="793"/>
        <item m="1" x="5974"/>
        <item m="1" x="7815"/>
        <item m="1" x="1543"/>
        <item m="1" x="5180"/>
        <item m="1" x="1871"/>
        <item m="1" x="3172"/>
        <item m="1" x="3895"/>
        <item m="1" x="5452"/>
        <item m="1" x="7283"/>
        <item m="1" x="7233"/>
        <item m="1" x="7313"/>
        <item m="1" x="6419"/>
        <item m="1" x="5209"/>
        <item m="1" x="3462"/>
        <item m="1" x="7817"/>
        <item m="1" x="7026"/>
        <item m="1" x="605"/>
        <item m="1" x="7615"/>
        <item m="1" x="4068"/>
        <item m="1" x="6465"/>
        <item m="1" x="4187"/>
        <item m="1" x="409"/>
        <item m="1" x="3257"/>
        <item m="1" x="3772"/>
        <item m="1" x="2397"/>
        <item m="1" x="3925"/>
        <item m="1" x="6460"/>
        <item m="1" x="4301"/>
        <item m="1" x="5122"/>
        <item m="1" x="3566"/>
        <item m="1" x="287"/>
        <item m="1" x="6373"/>
        <item m="1" x="2500"/>
        <item m="1" x="4677"/>
        <item m="1" x="4980"/>
        <item m="1" x="2975"/>
        <item m="1" x="7777"/>
        <item m="1" x="776"/>
        <item m="1" x="4721"/>
        <item m="1" x="6152"/>
        <item m="1" x="3510"/>
        <item m="1" x="7469"/>
        <item m="1" x="5766"/>
        <item m="1" x="4807"/>
        <item m="1" x="5814"/>
        <item m="1" x="5433"/>
        <item m="1" x="7526"/>
        <item m="1" x="264"/>
        <item m="1" x="4767"/>
        <item m="1" x="2083"/>
        <item m="1" x="4140"/>
        <item m="1" x="4065"/>
        <item m="1" x="4716"/>
        <item m="1" x="4937"/>
        <item m="1" x="3618"/>
        <item m="1" x="1089"/>
        <item m="1" x="5618"/>
        <item m="1" x="1589"/>
        <item m="1" x="365"/>
        <item m="1" x="2348"/>
        <item m="1" x="1750"/>
        <item m="1" x="2483"/>
        <item m="1" x="7192"/>
        <item m="1" x="6312"/>
        <item m="1" x="1179"/>
        <item m="1" x="3232"/>
        <item m="1" x="3275"/>
        <item m="1" x="6540"/>
        <item m="1" x="4150"/>
        <item m="1" x="6969"/>
        <item m="1" x="4201"/>
        <item m="1" x="1029"/>
        <item m="1" x="7580"/>
        <item m="1" x="1024"/>
        <item m="1" x="3853"/>
        <item m="1" x="3122"/>
        <item m="1" x="1321"/>
        <item m="1" x="7124"/>
        <item m="1" x="7474"/>
        <item m="1" x="3913"/>
        <item m="1" x="4996"/>
        <item m="1" x="1057"/>
        <item m="1" x="6424"/>
        <item m="1" x="3774"/>
        <item m="1" x="7541"/>
        <item m="1" x="1202"/>
        <item m="1" x="6500"/>
        <item m="1" x="6425"/>
        <item m="1" x="4180"/>
        <item m="1" x="810"/>
        <item m="1" x="5695"/>
        <item m="1" x="4994"/>
        <item m="1" x="2466"/>
        <item m="1" x="7171"/>
        <item m="1" x="4143"/>
        <item m="1" x="5819"/>
        <item m="1" x="1971"/>
        <item m="1" x="7426"/>
        <item m="1" x="2431"/>
        <item m="1" x="4762"/>
        <item m="1" x="1446"/>
        <item m="1" x="5293"/>
        <item m="1" x="7937"/>
        <item m="1" x="1333"/>
        <item m="1" x="3171"/>
        <item m="1" x="3992"/>
        <item m="1" x="6730"/>
        <item m="1" x="3314"/>
        <item m="1" x="4218"/>
        <item m="1" x="1992"/>
        <item m="1" x="7015"/>
        <item m="1" x="6565"/>
        <item m="1" x="4871"/>
        <item m="1" x="5428"/>
        <item m="1" x="2814"/>
        <item m="1" x="226"/>
        <item m="1" x="5671"/>
        <item m="1" x="5303"/>
        <item m="1" x="5258"/>
        <item m="1" x="5377"/>
        <item m="1" x="625"/>
        <item m="1" x="7073"/>
        <item m="1" x="3643"/>
        <item m="1" x="7277"/>
        <item m="1" x="6919"/>
        <item m="1" x="3856"/>
        <item m="1" x="1052"/>
        <item m="1" x="7749"/>
        <item m="1" x="2047"/>
        <item m="1" x="2575"/>
        <item m="1" x="7425"/>
        <item m="1" x="890"/>
        <item m="1" x="1504"/>
        <item m="1" x="2247"/>
        <item m="1" x="1443"/>
        <item m="1" x="7989"/>
        <item m="1" x="3391"/>
        <item m="1" x="2601"/>
        <item m="1" x="3501"/>
        <item m="1" x="7973"/>
        <item m="1" x="799"/>
        <item m="1" x="7610"/>
        <item m="1" x="391"/>
        <item m="1" x="5768"/>
        <item m="1" x="6695"/>
        <item m="1" x="6748"/>
        <item m="1" x="4992"/>
        <item m="1" x="5800"/>
        <item m="1" x="5653"/>
        <item m="1" x="6470"/>
        <item m="1" x="3935"/>
        <item m="1" x="7218"/>
        <item m="1" x="6097"/>
        <item m="1" x="4708"/>
        <item m="1" x="4002"/>
        <item m="1" x="444"/>
        <item m="1" x="1580"/>
        <item m="1" x="7397"/>
        <item m="1" x="1698"/>
        <item m="1" x="1599"/>
        <item m="1" x="1827"/>
        <item m="1" x="5506"/>
        <item m="1" x="4798"/>
        <item m="1" x="7950"/>
        <item m="1" x="5515"/>
        <item m="1" x="6851"/>
        <item m="1" x="302"/>
        <item m="1" x="7644"/>
        <item m="1" x="3907"/>
        <item m="1" x="5242"/>
        <item m="1" x="5700"/>
        <item m="1" x="3074"/>
        <item m="1" x="6639"/>
        <item m="1" x="7814"/>
        <item m="1" x="5015"/>
        <item m="1" x="1585"/>
        <item m="1" x="6900"/>
        <item m="1" x="3715"/>
        <item m="1" x="2046"/>
        <item m="1" x="1131"/>
        <item m="1" x="4202"/>
        <item m="1" x="585"/>
        <item m="1" x="899"/>
        <item m="1" x="6161"/>
        <item m="1" x="5876"/>
        <item m="1" x="4365"/>
        <item m="1" x="1291"/>
        <item m="1" x="3801"/>
        <item m="1" x="4676"/>
        <item m="1" x="4197"/>
        <item m="1" x="5326"/>
        <item m="1" x="4782"/>
        <item m="1" x="1872"/>
        <item m="1" x="526"/>
        <item m="1" x="1494"/>
        <item m="1" x="4634"/>
        <item m="1" x="4312"/>
        <item m="1" x="6429"/>
        <item m="1" x="876"/>
        <item m="1" x="338"/>
        <item m="1" x="2956"/>
        <item m="1" x="2698"/>
        <item m="1" x="6233"/>
        <item m="1" x="2204"/>
        <item m="1" x="7311"/>
        <item m="1" x="6418"/>
        <item m="1" x="1406"/>
        <item m="1" x="442"/>
        <item m="1" x="6204"/>
        <item m="1" x="5861"/>
        <item m="1" x="4292"/>
        <item m="1" x="2248"/>
        <item m="1" x="1058"/>
        <item m="1" x="7056"/>
        <item m="1" x="4853"/>
        <item m="1" x="5952"/>
        <item m="1" x="1902"/>
        <item m="1" x="7166"/>
        <item m="1" x="2425"/>
        <item m="1" x="7380"/>
        <item m="1" x="4685"/>
        <item m="1" x="7345"/>
        <item m="1" x="5966"/>
        <item m="1" x="1259"/>
        <item m="1" x="3574"/>
        <item m="1" x="3665"/>
        <item m="1" x="4801"/>
        <item m="1" x="768"/>
        <item m="1" x="6904"/>
        <item m="1" x="5875"/>
        <item m="1" x="3372"/>
        <item m="1" x="1498"/>
        <item m="1" x="7810"/>
        <item m="1" x="7229"/>
        <item m="1" x="4433"/>
        <item m="1" x="300"/>
        <item m="1" x="7314"/>
        <item m="1" x="1820"/>
        <item m="1" x="6903"/>
        <item m="1" x="2751"/>
        <item m="1" x="2099"/>
        <item m="1" x="7130"/>
        <item m="1" x="655"/>
        <item m="1" x="5808"/>
        <item m="1" x="3401"/>
        <item m="1" x="2666"/>
        <item m="1" x="6192"/>
        <item m="1" x="350"/>
        <item m="1" x="2339"/>
        <item m="1" x="3341"/>
        <item m="1" x="2647"/>
        <item m="1" x="2234"/>
        <item m="1" x="5833"/>
        <item m="1" x="2849"/>
        <item m="1" x="1765"/>
        <item m="1" x="7560"/>
        <item m="1" x="7455"/>
        <item m="1" x="2490"/>
        <item m="1" x="2074"/>
        <item m="1" x="3771"/>
        <item m="1" x="3820"/>
        <item m="1" x="7062"/>
        <item m="1" x="6403"/>
        <item m="1" x="1110"/>
        <item m="1" x="3480"/>
        <item m="1" x="7300"/>
        <item m="1" x="5434"/>
        <item m="1" x="6874"/>
        <item m="1" x="1215"/>
        <item m="1" x="1337"/>
        <item m="1" x="2989"/>
        <item m="1" x="4254"/>
        <item m="1" x="3744"/>
        <item m="1" x="1909"/>
        <item m="1" x="7463"/>
        <item m="1" x="1924"/>
        <item m="1" x="4547"/>
        <item m="1" x="7281"/>
        <item m="1" x="1283"/>
        <item m="1" x="6182"/>
        <item m="1" x="1588"/>
        <item m="1" x="2398"/>
        <item m="1" x="4420"/>
        <item m="1" x="2377"/>
        <item m="1" x="5764"/>
        <item m="1" x="5919"/>
        <item m="1" x="2317"/>
        <item m="1" x="6930"/>
        <item m="1" x="1615"/>
        <item m="1" x="1097"/>
        <item m="1" x="772"/>
        <item m="1" x="7244"/>
        <item m="1" x="4606"/>
        <item m="1" x="4622"/>
        <item m="1" x="3073"/>
        <item m="1" x="5489"/>
        <item m="1" x="2961"/>
        <item m="1" x="1162"/>
        <item m="1" x="4404"/>
        <item m="1" x="1376"/>
        <item m="1" x="4321"/>
        <item m="1" x="375"/>
        <item m="1" x="5301"/>
        <item m="1" x="2366"/>
        <item m="1" x="311"/>
        <item m="1" x="7881"/>
        <item m="1" x="6439"/>
        <item m="1" x="7608"/>
        <item m="1" x="6276"/>
        <item m="1" x="7505"/>
        <item m="1" x="2067"/>
        <item m="1" x="1700"/>
        <item m="1" x="6129"/>
        <item m="1" x="1654"/>
        <item m="1" x="2648"/>
        <item m="1" x="5472"/>
        <item m="1" x="2748"/>
        <item m="1" x="5650"/>
        <item m="1" x="5874"/>
        <item m="1" x="1045"/>
        <item m="1" x="1946"/>
        <item m="1" x="6296"/>
        <item m="1" x="5571"/>
        <item m="1" x="1774"/>
        <item m="1" x="1594"/>
        <item m="1" x="5606"/>
        <item m="1" x="2319"/>
        <item m="1" x="472"/>
        <item m="1" x="6123"/>
        <item m="1" x="3916"/>
        <item m="1" x="7376"/>
        <item m="1" x="7439"/>
        <item m="1" x="6335"/>
        <item m="1" x="4759"/>
        <item m="1" x="1626"/>
        <item m="1" x="1784"/>
        <item m="1" x="5347"/>
        <item m="1" x="1342"/>
        <item m="1" x="1557"/>
        <item m="1" x="2637"/>
        <item m="1" x="3349"/>
        <item m="1" x="6941"/>
        <item m="1" x="2076"/>
        <item m="1" x="3919"/>
        <item m="1" x="2277"/>
        <item m="1" x="5321"/>
        <item m="1" x="6609"/>
        <item m="1" x="615"/>
        <item m="1" x="1296"/>
        <item m="1" x="3202"/>
        <item m="1" x="2942"/>
        <item m="1" x="6587"/>
        <item m="1" x="6105"/>
        <item m="1" x="4919"/>
        <item m="1" x="7041"/>
        <item m="1" x="2553"/>
        <item m="1" x="1991"/>
        <item m="1" x="3109"/>
        <item m="1" x="4733"/>
        <item m="1" x="6250"/>
        <item m="1" x="2475"/>
        <item m="1" x="7409"/>
        <item m="1" x="1481"/>
        <item m="1" x="1683"/>
        <item m="1" x="2308"/>
        <item m="1" x="6220"/>
        <item m="1" x="7853"/>
        <item m="1" x="1567"/>
        <item m="1" x="2642"/>
        <item m="1" x="6027"/>
        <item m="1" x="1100"/>
        <item m="1" x="6829"/>
        <item m="1" x="6186"/>
        <item m="1" x="1472"/>
        <item m="1" x="7663"/>
        <item m="1" x="5717"/>
        <item m="1" x="1286"/>
        <item m="1" x="4066"/>
        <item m="1" x="4786"/>
        <item m="1" x="6725"/>
        <item m="1" x="6890"/>
        <item m="1" x="443"/>
        <item m="1" x="1755"/>
        <item m="1" x="3609"/>
        <item m="1" x="1770"/>
        <item m="1" x="5964"/>
        <item m="1" x="6693"/>
        <item m="1" x="1549"/>
        <item m="1" x="5780"/>
        <item m="1" x="921"/>
        <item m="1" x="765"/>
        <item m="1" x="1238"/>
        <item m="1" x="7278"/>
        <item m="1" x="2405"/>
        <item m="1" x="542"/>
        <item m="1" x="5962"/>
        <item m="1" x="1957"/>
        <item m="1" x="6568"/>
        <item m="1" x="1510"/>
        <item m="1" x="318"/>
        <item m="1" x="4745"/>
        <item m="1" x="4573"/>
        <item m="1" x="3765"/>
        <item m="1" x="7132"/>
        <item m="1" x="2310"/>
        <item m="1" x="5884"/>
        <item m="1" x="7254"/>
        <item m="1" x="6891"/>
        <item m="1" x="1907"/>
        <item m="1" x="2526"/>
        <item m="1" x="1778"/>
        <item m="1" x="3485"/>
        <item m="1" x="1092"/>
        <item m="1" x="3517"/>
        <item m="1" x="751"/>
        <item m="1" x="360"/>
        <item m="1" x="2292"/>
        <item m="1" x="1173"/>
        <item m="1" x="6736"/>
        <item m="1" x="4799"/>
        <item m="1" x="2133"/>
        <item m="1" x="820"/>
        <item m="1" x="3620"/>
        <item m="1" x="5239"/>
        <item m="1" x="2016"/>
        <item m="1" x="1519"/>
        <item m="1" x="6823"/>
        <item m="1" x="6610"/>
        <item m="1" x="3329"/>
        <item m="1" x="1773"/>
        <item m="1" x="937"/>
        <item m="1" x="5806"/>
        <item m="1" x="4846"/>
        <item m="1" x="6101"/>
        <item m="1" x="2805"/>
        <item m="1" x="7137"/>
        <item m="1" x="2763"/>
        <item m="1" x="7949"/>
        <item m="1" x="4949"/>
        <item m="1" x="7148"/>
        <item m="1" x="7661"/>
        <item m="1" x="6367"/>
        <item m="1" x="6273"/>
        <item m="1" x="7338"/>
        <item m="1" x="7000"/>
        <item m="1" x="3242"/>
        <item m="1" x="1581"/>
        <item m="1" x="6655"/>
        <item m="1" x="1152"/>
        <item m="1" x="2332"/>
        <item m="1" x="6064"/>
        <item m="1" x="5056"/>
        <item m="1" x="284"/>
        <item m="1" x="7714"/>
        <item m="1" x="1962"/>
        <item m="1" x="2226"/>
        <item m="1" x="1302"/>
        <item m="1" x="7343"/>
        <item m="1" x="885"/>
        <item m="1" x="964"/>
        <item m="1" x="6698"/>
        <item m="1" x="1260"/>
        <item m="1" x="427"/>
        <item m="1" x="3186"/>
        <item m="1" x="7253"/>
        <item m="1" x="310"/>
        <item m="1" x="6349"/>
        <item m="1" x="3244"/>
        <item m="1" x="1726"/>
        <item m="1" x="6013"/>
        <item m="1" x="7485"/>
        <item m="1" x="3969"/>
        <item m="1" x="6356"/>
        <item m="1" x="3920"/>
        <item m="1" x="4649"/>
        <item m="1" x="6091"/>
        <item m="1" x="784"/>
        <item m="1" x="1178"/>
        <item m="1" x="1884"/>
        <item m="1" x="1414"/>
        <item m="1" x="2043"/>
        <item m="1" x="5640"/>
        <item m="1" x="1315"/>
        <item m="1" x="5959"/>
        <item m="1" x="7664"/>
        <item m="1" x="691"/>
        <item m="1" x="2161"/>
        <item m="1" x="2411"/>
        <item m="1" x="5598"/>
        <item m="1" x="916"/>
        <item m="1" x="3340"/>
        <item m="1" x="2927"/>
        <item m="1" x="6685"/>
        <item m="1" x="2646"/>
        <item m="1" x="4560"/>
        <item m="1" x="6788"/>
        <item m="1" x="4971"/>
        <item m="1" x="7920"/>
        <item m="1" x="4715"/>
        <item m="1" x="2501"/>
        <item m="1" x="5500"/>
        <item m="1" x="3891"/>
        <item m="1" x="4190"/>
        <item m="1" x="4299"/>
        <item m="1" x="7838"/>
        <item m="1" x="1745"/>
        <item m="1" x="3985"/>
        <item m="1" x="379"/>
        <item m="1" x="879"/>
        <item m="1" x="6009"/>
        <item m="1" x="2407"/>
        <item m="1" x="6623"/>
        <item m="1" x="5332"/>
        <item m="1" x="1578"/>
        <item m="1" x="4441"/>
        <item m="1" x="3979"/>
        <item m="1" x="6752"/>
        <item m="1" x="3993"/>
        <item m="1" x="5130"/>
        <item m="1" x="2464"/>
        <item m="1" x="2336"/>
        <item m="1" x="1320"/>
        <item m="1" x="320"/>
        <item m="1" x="1923"/>
        <item m="1" x="7564"/>
        <item m="1" x="3192"/>
        <item m="1" x="4425"/>
        <item m="1" x="5446"/>
        <item m="1" x="361"/>
        <item m="1" x="237"/>
        <item m="1" x="6154"/>
        <item m="1" x="4981"/>
        <item m="1" x="812"/>
        <item m="1" x="2759"/>
        <item m="1" x="711"/>
        <item m="1" x="5072"/>
        <item m="1" x="3077"/>
        <item m="1" x="3155"/>
        <item m="1" x="7001"/>
        <item m="1" x="4134"/>
        <item m="1" x="1845"/>
        <item m="1" x="5151"/>
        <item m="1" x="645"/>
        <item m="1" x="1789"/>
        <item m="1" x="5159"/>
        <item m="1" x="6881"/>
        <item m="1" x="6747"/>
        <item m="1" x="6893"/>
        <item m="1" x="590"/>
        <item m="1" x="1212"/>
        <item m="1" x="5108"/>
        <item m="1" x="3256"/>
        <item m="1" x="1217"/>
        <item m="1" x="1617"/>
        <item m="1" x="4373"/>
        <item m="1" x="2023"/>
        <item m="1" x="3226"/>
        <item m="1" x="4835"/>
        <item m="1" x="4257"/>
        <item m="1" x="7327"/>
        <item m="1" x="5622"/>
        <item m="1" x="2717"/>
        <item m="1" x="7812"/>
        <item m="1" x="3976"/>
        <item m="1" x="3080"/>
        <item m="1" x="2072"/>
        <item m="1" x="7556"/>
        <item m="1" x="2822"/>
        <item m="1" x="4443"/>
        <item m="1" x="4427"/>
        <item m="1" x="4542"/>
        <item m="1" x="3286"/>
        <item m="1" x="905"/>
        <item m="1" x="1513"/>
        <item m="1" x="7060"/>
        <item m="1" x="7700"/>
        <item m="1" x="624"/>
        <item m="1" x="2245"/>
        <item m="1" x="4231"/>
        <item m="1" x="6993"/>
        <item m="1" x="3724"/>
        <item m="1" x="6811"/>
        <item m="1" x="549"/>
        <item m="1" x="2166"/>
        <item m="1" x="6647"/>
        <item m="1" x="5920"/>
        <item m="1" x="7701"/>
        <item m="1" x="6522"/>
        <item m="1" x="2683"/>
        <item m="1" x="1111"/>
        <item m="1" x="5363"/>
        <item m="1" x="7005"/>
        <item m="1" x="6201"/>
        <item m="1" x="1834"/>
        <item m="1" x="2939"/>
        <item m="1" x="7459"/>
        <item m="1" x="5837"/>
        <item m="1" x="4245"/>
        <item m="1" x="3005"/>
        <item m="1" x="6950"/>
        <item m="1" x="7806"/>
        <item m="1" x="7117"/>
        <item m="1" x="6007"/>
        <item m="1" x="489"/>
        <item m="1" x="1265"/>
        <item m="1" x="6385"/>
        <item m="1" x="6554"/>
        <item m="1" x="6876"/>
        <item m="1" x="5778"/>
        <item m="1" x="3747"/>
        <item m="1" x="4342"/>
        <item m="1" x="348"/>
        <item m="1" x="2661"/>
        <item m="1" x="3076"/>
        <item m="1" x="1099"/>
        <item m="1" x="909"/>
        <item m="1" x="4851"/>
        <item m="1" x="6770"/>
        <item m="1" x="7715"/>
        <item m="1" x="4681"/>
        <item m="1" x="7438"/>
        <item m="1" x="6923"/>
        <item m="1" x="5599"/>
        <item m="1" x="1989"/>
        <item m="1" x="5924"/>
        <item m="1" x="5476"/>
        <item m="1" x="3468"/>
        <item m="1" x="7509"/>
        <item m="1" x="1389"/>
        <item m="1" x="1036"/>
        <item m="1" x="4608"/>
        <item m="1" x="4841"/>
        <item m="1" x="6668"/>
        <item m="1" x="3699"/>
        <item m="1" x="6467"/>
        <item m="1" x="5289"/>
        <item m="1" x="7200"/>
        <item m="1" x="3168"/>
        <item m="1" x="5048"/>
        <item m="1" x="5923"/>
        <item m="1" x="4478"/>
        <item m="1" x="1890"/>
        <item m="1" x="1141"/>
        <item m="1" x="2709"/>
        <item m="1" x="6726"/>
        <item m="1" x="1887"/>
        <item m="1" x="6407"/>
        <item m="1" x="1153"/>
        <item m="1" x="1715"/>
        <item m="1" x="7860"/>
        <item m="1" x="1289"/>
        <item m="1" x="2793"/>
        <item m="1" x="5156"/>
        <item m="1" x="6550"/>
        <item m="1" x="3206"/>
        <item m="1" x="2281"/>
        <item m="1" x="7342"/>
        <item m="1" x="6622"/>
        <item m="1" x="2205"/>
        <item m="1" x="5770"/>
        <item m="1" x="4968"/>
        <item m="1" x="2236"/>
        <item m="1" x="5729"/>
        <item m="1" x="3057"/>
        <item m="1" x="6649"/>
        <item m="1" x="2004"/>
        <item m="1" x="1314"/>
        <item m="1" x="1174"/>
        <item m="1" x="1733"/>
        <item m="1" x="290"/>
        <item m="1" x="370"/>
        <item m="1" x="7554"/>
        <item m="1" x="7186"/>
        <item m="1" x="4575"/>
        <item m="1" x="6601"/>
        <item m="1" x="6897"/>
        <item m="1" x="7162"/>
        <item m="1" x="325"/>
        <item m="1" x="1023"/>
        <item m="1" x="2487"/>
        <item m="1" x="7082"/>
        <item m="1" x="6265"/>
        <item m="1" x="5947"/>
        <item m="1" x="5431"/>
        <item m="1" x="4792"/>
        <item m="1" x="947"/>
        <item m="1" x="5287"/>
        <item m="1" x="5302"/>
        <item m="1" x="282"/>
        <item m="1" x="1534"/>
        <item m="1" x="5357"/>
        <item m="1" x="4344"/>
        <item m="1" x="283"/>
        <item m="1" x="4694"/>
        <item m="1" x="5842"/>
        <item m="1" x="386"/>
        <item m="1" x="5155"/>
        <item m="1" x="3198"/>
        <item m="1" x="5677"/>
        <item m="1" x="3887"/>
        <item m="1" x="3648"/>
        <item m="1" x="1372"/>
        <item m="1" x="1614"/>
        <item m="1" x="7684"/>
        <item m="1" x="3611"/>
        <item m="1" x="4473"/>
        <item m="1" x="6223"/>
        <item m="1" x="2997"/>
        <item m="1" x="519"/>
        <item m="1" x="5911"/>
        <item m="1" x="7316"/>
        <item m="1" x="4742"/>
        <item m="1" x="7617"/>
        <item m="1" x="3644"/>
        <item m="1" x="2125"/>
        <item m="1" x="4584"/>
        <item m="1" x="5664"/>
        <item m="1" x="6206"/>
        <item m="1" x="1002"/>
        <item m="1" x="6502"/>
        <item m="1" x="6978"/>
        <item m="1" x="4296"/>
        <item m="1" x="254"/>
        <item m="1" x="1762"/>
        <item m="1" x="3157"/>
        <item m="1" x="3927"/>
        <item m="1" x="4025"/>
        <item m="1" x="5409"/>
        <item m="1" x="7061"/>
        <item m="1" x="4426"/>
        <item m="1" x="5850"/>
        <item m="1" x="1918"/>
        <item m="1" x="7837"/>
        <item m="1" x="3100"/>
        <item m="1" x="1159"/>
        <item m="1" x="5681"/>
        <item m="1" x="3888"/>
        <item m="1" x="1161"/>
        <item m="1" x="4376"/>
        <item m="1" x="5178"/>
        <item m="1" x="2413"/>
        <item m="1" x="4880"/>
        <item m="1" x="6785"/>
        <item m="1" x="4833"/>
        <item m="1" x="2862"/>
        <item m="1" x="7537"/>
        <item m="1" x="3467"/>
        <item m="1" x="3816"/>
        <item m="1" x="2659"/>
        <item m="1" x="7994"/>
        <item m="1" x="5380"/>
        <item m="1" x="4472"/>
        <item m="1" x="5689"/>
        <item m="1" x="4639"/>
        <item m="1" x="3011"/>
        <item m="1" x="6390"/>
        <item m="1" x="4152"/>
        <item m="1" x="629"/>
        <item m="1" x="1124"/>
        <item m="1" x="1898"/>
        <item m="1" x="3934"/>
        <item m="1" x="3662"/>
        <item m="1" x="7588"/>
        <item m="1" x="3310"/>
        <item m="1" x="1864"/>
        <item m="1" x="6054"/>
        <item m="1" x="7946"/>
        <item m="1" x="6973"/>
        <item m="1" x="3481"/>
        <item m="1" x="4898"/>
        <item m="1" x="7842"/>
        <item m="1" x="3639"/>
        <item m="1" x="1539"/>
        <item m="1" x="2386"/>
        <item m="1" x="1155"/>
        <item m="1" x="3642"/>
        <item m="1" x="1865"/>
        <item m="1" x="5400"/>
        <item m="1" x="6306"/>
        <item m="1" x="6417"/>
        <item m="1" x="7984"/>
        <item m="1" x="7996"/>
        <item m="1" x="5965"/>
        <item m="1" x="5333"/>
        <item m="1" x="3159"/>
        <item m="1" x="2429"/>
        <item m="1" x="6653"/>
        <item m="1" x="7729"/>
        <item m="1" x="7986"/>
        <item m="1" x="4120"/>
        <item m="1" x="479"/>
        <item m="1" x="2528"/>
        <item m="1" x="3007"/>
        <item m="1" x="3691"/>
        <item m="1" x="2188"/>
        <item m="1" x="5388"/>
        <item m="1" x="4265"/>
        <item m="1" x="5660"/>
        <item m="1" x="7979"/>
        <item m="1" x="3990"/>
        <item m="1" x="2951"/>
        <item m="1" x="7202"/>
        <item m="1" x="955"/>
        <item m="1" x="3569"/>
        <item m="1" x="3595"/>
        <item m="1" x="3953"/>
        <item m="1" x="7074"/>
        <item m="1" x="7260"/>
        <item m="1" x="7968"/>
        <item m="1" x="2092"/>
        <item m="1" x="3382"/>
        <item m="1" x="2522"/>
        <item m="1" x="4869"/>
        <item m="1" x="5542"/>
        <item m="1" x="1944"/>
        <item m="1" x="3718"/>
        <item m="1" x="2675"/>
        <item m="1" x="7865"/>
        <item m="1" x="7196"/>
        <item m="1" x="6508"/>
        <item m="1" x="484"/>
        <item m="1" x="6259"/>
        <item m="1" x="1593"/>
        <item m="1" x="3396"/>
        <item m="1" x="7452"/>
        <item m="1" x="6611"/>
        <item m="1" x="7960"/>
        <item m="1" x="7521"/>
        <item m="1" x="5654"/>
        <item m="1" x="6145"/>
        <item m="1" x="4601"/>
        <item m="1" x="3654"/>
        <item m="1" x="2672"/>
        <item m="1" x="6089"/>
        <item m="1" x="7743"/>
        <item m="1" x="4839"/>
        <item m="1" x="4189"/>
        <item m="1" x="1609"/>
        <item m="1" x="3878"/>
        <item m="1" x="2071"/>
        <item m="1" x="3797"/>
        <item m="1" x="7369"/>
        <item m="1" x="1266"/>
        <item m="1" x="7955"/>
        <item m="1" x="7008"/>
        <item m="1" x="5847"/>
        <item m="1" x="5719"/>
        <item m="1" x="2138"/>
        <item m="1" x="1348"/>
        <item m="1" x="2154"/>
        <item m="1" x="1485"/>
        <item m="1" x="2848"/>
        <item m="1" x="3490"/>
        <item m="1" x="7914"/>
        <item m="1" x="3388"/>
        <item m="1" x="5202"/>
        <item m="1" x="3661"/>
        <item m="1" x="7346"/>
        <item m="1" x="6867"/>
        <item m="1" x="626"/>
        <item m="1" x="326"/>
        <item m="1" x="468"/>
        <item m="1" x="6078"/>
        <item m="1" x="4638"/>
        <item m="1" x="978"/>
        <item m="1" x="6966"/>
        <item m="1" x="564"/>
        <item m="1" x="3026"/>
        <item m="1" x="4995"/>
        <item m="1" x="2304"/>
        <item m="1" x="7997"/>
        <item m="1" x="815"/>
        <item m="1" x="3879"/>
        <item m="1" x="3917"/>
        <item m="1" x="2671"/>
        <item m="1" x="6478"/>
        <item m="1" x="3958"/>
        <item m="1" x="4203"/>
        <item m="1" x="6839"/>
        <item m="1" x="4624"/>
        <item m="1" x="7687"/>
        <item m="1" x="6520"/>
        <item m="1" x="3789"/>
        <item m="1" x="1140"/>
        <item m="1" x="2244"/>
        <item m="1" x="276"/>
        <item m="1" x="1087"/>
        <item m="1" x="7049"/>
        <item m="1" x="2106"/>
        <item m="1" x="3783"/>
        <item m="1" x="1480"/>
        <item m="1" x="4508"/>
        <item m="1" x="5836"/>
        <item m="1" x="6477"/>
        <item m="1" x="2182"/>
        <item m="1" x="6287"/>
        <item m="1" x="5669"/>
        <item m="1" x="6487"/>
        <item m="1" x="6299"/>
        <item m="1" x="3187"/>
        <item m="1" x="7481"/>
        <item m="1" x="7917"/>
        <item m="1" x="7169"/>
        <item m="1" x="6596"/>
        <item m="1" x="7290"/>
        <item m="1" x="7873"/>
        <item m="1" x="4240"/>
        <item m="1" x="7985"/>
        <item m="1" x="1123"/>
        <item m="1" x="2174"/>
        <item m="1" x="1169"/>
        <item m="1" x="4329"/>
        <item m="1" x="2934"/>
        <item m="1" x="2830"/>
        <item m="1" x="7594"/>
        <item m="1" x="896"/>
        <item m="1" x="1889"/>
        <item m="1" x="7045"/>
        <item m="1" x="7964"/>
        <item m="1" x="2159"/>
        <item m="1" x="5524"/>
        <item m="1" x="5467"/>
        <item m="1" x="3041"/>
        <item m="1" x="6136"/>
        <item m="1" x="5848"/>
        <item m="1" x="1876"/>
        <item m="1" x="1753"/>
        <item m="1" x="4385"/>
        <item m="1" x="1439"/>
        <item m="1" x="1361"/>
        <item m="1" x="1958"/>
        <item m="1" x="7927"/>
        <item m="1" x="1358"/>
        <item m="1" x="1512"/>
        <item m="1" x="6330"/>
        <item m="1" x="1938"/>
        <item m="1" x="3884"/>
        <item m="1" x="4539"/>
        <item m="1" x="7896"/>
        <item m="1" x="5000"/>
        <item m="1" x="1206"/>
        <item m="1" x="6267"/>
        <item m="1" x="6746"/>
        <item m="1" x="4707"/>
        <item m="1" x="5148"/>
        <item m="1" x="7980"/>
        <item m="1" x="4220"/>
        <item m="1" x="1545"/>
        <item m="1" x="5070"/>
        <item m="1" x="7977"/>
        <item m="1" x="1309"/>
        <item m="1" x="1652"/>
        <item m="1" x="305"/>
        <item m="1" x="4380"/>
        <item m="1" x="1354"/>
        <item m="1" x="4018"/>
        <item m="1" x="7370"/>
        <item m="1" x="7318"/>
        <item m="1" x="1226"/>
        <item m="1" x="4820"/>
        <item m="1" x="4415"/>
        <item m="1" x="3392"/>
        <item m="1" x="3412"/>
        <item m="1" x="1706"/>
        <item m="1" x="4566"/>
        <item m="1" x="1776"/>
        <item m="1" x="4163"/>
        <item m="1" x="3720"/>
        <item m="1" x="499"/>
        <item m="1" x="7287"/>
        <item m="1" x="5910"/>
        <item m="1" x="4384"/>
        <item m="1" x="3871"/>
        <item m="1" x="6408"/>
        <item m="1" x="1352"/>
        <item m="1" x="3429"/>
        <item m="1" x="1737"/>
        <item m="1" x="4836"/>
        <item m="1" x="7489"/>
        <item m="1" x="659"/>
        <item m="1" x="7966"/>
        <item m="1" x="5097"/>
        <item m="1" x="1149"/>
        <item m="1" x="2860"/>
        <item m="1" x="2229"/>
        <item m="1" x="7382"/>
        <item m="1" x="3828"/>
        <item m="1" x="7998"/>
        <item m="1" x="3291"/>
        <item m="1" x="7887"/>
        <item m="1" x="451"/>
        <item m="1" x="5851"/>
        <item m="1" x="7834"/>
        <item m="1" x="5220"/>
        <item m="1" x="1577"/>
        <item m="1" x="1548"/>
        <item m="1" x="3240"/>
        <item m="1" x="6561"/>
        <item m="1" x="5751"/>
        <item m="1" x="7623"/>
        <item m="1" x="2799"/>
        <item m="1" x="7071"/>
        <item m="1" x="3716"/>
        <item m="1" x="3567"/>
        <item m="1" x="3032"/>
        <item m="1" x="1511"/>
        <item m="1" x="2729"/>
        <item m="1" x="4698"/>
        <item m="1" x="7981"/>
        <item m="1" x="989"/>
        <item m="1" x="4362"/>
        <item m="1" x="2627"/>
        <item m="1" x="7462"/>
        <item m="1" x="2019"/>
        <item m="1" x="4162"/>
        <item m="1" x="927"/>
        <item m="1" x="5647"/>
        <item m="1" x="1030"/>
        <item m="1" x="3950"/>
        <item m="1" x="7982"/>
        <item m="1" x="1271"/>
        <item m="1" x="5839"/>
        <item m="1" x="2139"/>
        <item m="1" x="1571"/>
        <item m="1" x="5403"/>
        <item m="1" x="2574"/>
        <item m="1" x="780"/>
        <item m="1" x="2086"/>
        <item m="1" x="2119"/>
        <item m="1" x="4519"/>
        <item m="1" x="6188"/>
        <item m="1" x="6471"/>
        <item m="1" x="7217"/>
        <item m="1" x="3175"/>
        <item m="1" x="6790"/>
        <item m="1" x="1117"/>
        <item m="1" x="2549"/>
        <item m="1" x="2290"/>
        <item m="1" x="6492"/>
        <item m="1" x="7971"/>
        <item m="1" x="5756"/>
        <item m="1" x="2924"/>
        <item m="1" x="5213"/>
        <item m="1" x="4578"/>
        <item m="1" x="3169"/>
        <item m="1" x="7991"/>
        <item m="1" x="6033"/>
        <item m="1" x="4781"/>
        <item m="1" x="2363"/>
        <item m="1" x="4697"/>
        <item m="1" x="1125"/>
        <item m="1" x="6854"/>
        <item m="1" x="7043"/>
        <item m="1" x="4236"/>
        <item m="1" x="3546"/>
        <item m="1" x="7361"/>
        <item m="1" x="2565"/>
        <item m="1" x="7988"/>
        <item m="1" x="7962"/>
        <item m="1" x="5497"/>
        <item m="1" x="2990"/>
        <item m="1" x="5788"/>
        <item m="1" x="5741"/>
        <item m="1" x="4852"/>
        <item m="1" x="3525"/>
        <item m="1" x="4000"/>
        <item m="1" x="1693"/>
        <item m="1" x="610"/>
        <item m="1" x="6062"/>
        <item m="1" x="238"/>
        <item m="1" x="3545"/>
        <item m="1" x="6386"/>
        <item m="1" x="3984"/>
        <item m="1" x="7111"/>
        <item m="1" x="1165"/>
        <item m="1" x="6688"/>
        <item m="1" x="2886"/>
        <item m="1" x="2300"/>
        <item m="1" x="6163"/>
        <item m="1" x="7990"/>
        <item m="1" x="7392"/>
        <item m="1" x="7935"/>
        <item m="1" x="6006"/>
        <item m="1" x="7475"/>
        <item m="1" x="6586"/>
        <item m="1" x="7717"/>
        <item m="1" x="2155"/>
        <item m="1" x="4693"/>
        <item m="1" x="6115"/>
        <item m="1" x="5590"/>
        <item m="1" x="3218"/>
        <item m="1" x="3017"/>
        <item m="1" x="4056"/>
        <item m="1" x="1090"/>
        <item m="1" x="1787"/>
        <item m="1" x="611"/>
        <item m="1" x="7922"/>
        <item m="1" x="4022"/>
        <item m="1" x="2670"/>
        <item m="1" x="1091"/>
        <item m="1" x="5034"/>
        <item m="1" x="5221"/>
        <item m="1" x="5682"/>
        <item m="1" x="7959"/>
        <item m="1" x="5613"/>
        <item m="1" x="7970"/>
        <item m="1" x="425"/>
        <item m="1" x="7983"/>
        <item m="1" x="3116"/>
        <item m="1" x="7995"/>
        <item m="1" x="1182"/>
        <item m="1" x="5679"/>
        <item m="1" x="7975"/>
        <item m="1" x="2181"/>
        <item m="1" x="5878"/>
        <item m="1" x="7358"/>
        <item m="1" x="6756"/>
        <item m="1" x="7473"/>
        <item m="1" x="2165"/>
        <item m="1" x="749"/>
        <item m="1" x="1555"/>
        <item m="1" x="5817"/>
        <item m="1" x="7097"/>
        <item m="1" x="1913"/>
        <item m="1" x="3758"/>
        <item m="1" x="7969"/>
        <item m="1" x="2548"/>
        <item m="1" x="7978"/>
        <item m="1" x="1098"/>
        <item m="1" x="3456"/>
        <item m="1" x="5235"/>
        <item m="1" x="685"/>
        <item m="1" x="803"/>
        <item m="1" x="4167"/>
        <item m="1" x="2409"/>
        <item m="1" x="525"/>
        <item m="1" x="4282"/>
        <item m="1" x="7965"/>
        <item m="1" x="2399"/>
        <item m="1" x="709"/>
        <item m="1" x="4938"/>
        <item m="1" x="7276"/>
        <item m="1" x="2564"/>
        <item m="1" x="6817"/>
        <item m="1" x="4531"/>
        <item m="1" x="3311"/>
        <item m="1" x="7992"/>
        <item m="1" x="4889"/>
        <item m="1" x="819"/>
        <item m="1" x="1650"/>
        <item m="1" x="7999"/>
        <item m="1" x="5594"/>
        <item m="1" x="4028"/>
        <item m="1" x="5528"/>
        <item m="1" x="6473"/>
        <item m="1" x="6092"/>
        <item m="1" x="3743"/>
        <item m="1" x="7993"/>
        <item m="1" x="5486"/>
        <item m="1" x="3647"/>
        <item m="1" x="7448"/>
        <item m="1" x="5525"/>
        <item m="1" x="4030"/>
        <item m="1" x="5157"/>
        <item m="1" x="6148"/>
        <item m="1" x="7907"/>
        <item m="1" x="1814"/>
        <item m="1" x="7242"/>
        <item m="1" x="7441"/>
        <item m="1" x="3640"/>
        <item m="1" x="4033"/>
        <item m="1" x="3563"/>
        <item m="1" x="5040"/>
        <item m="1" x="47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15"/>
  </rowFields>
  <rowItems count="68">
    <i>
      <x v="32"/>
    </i>
    <i>
      <x v="26"/>
    </i>
    <i>
      <x v="27"/>
    </i>
    <i>
      <x v="49"/>
    </i>
    <i>
      <x v="4"/>
    </i>
    <i>
      <x v="19"/>
    </i>
    <i>
      <x v="28"/>
    </i>
    <i>
      <x v="5"/>
    </i>
    <i>
      <x v="31"/>
    </i>
    <i>
      <x v="30"/>
    </i>
    <i>
      <x v="21"/>
    </i>
    <i>
      <x v="96"/>
    </i>
    <i>
      <x v="3"/>
    </i>
    <i>
      <x v="60"/>
    </i>
    <i>
      <x v="10"/>
    </i>
    <i>
      <x v="51"/>
    </i>
    <i>
      <x v="55"/>
    </i>
    <i>
      <x v="83"/>
    </i>
    <i>
      <x v="11"/>
    </i>
    <i>
      <x v="23"/>
    </i>
    <i>
      <x v="62"/>
    </i>
    <i>
      <x v="29"/>
    </i>
    <i>
      <x v="69"/>
    </i>
    <i>
      <x v="47"/>
    </i>
    <i>
      <x v="113"/>
    </i>
    <i>
      <x v="24"/>
    </i>
    <i>
      <x v="58"/>
    </i>
    <i>
      <x v="36"/>
    </i>
    <i>
      <x v="87"/>
    </i>
    <i>
      <x v="17"/>
    </i>
    <i>
      <x v="89"/>
    </i>
    <i>
      <x v="43"/>
    </i>
    <i>
      <x v="45"/>
    </i>
    <i>
      <x v="98"/>
    </i>
    <i>
      <x v="37"/>
    </i>
    <i>
      <x v="74"/>
    </i>
    <i>
      <x v="42"/>
    </i>
    <i>
      <x v="82"/>
    </i>
    <i>
      <x v="14"/>
    </i>
    <i>
      <x v="99"/>
    </i>
    <i>
      <x v="34"/>
    </i>
    <i>
      <x v="13"/>
    </i>
    <i>
      <x v="81"/>
    </i>
    <i>
      <x v="54"/>
    </i>
    <i>
      <x v="18"/>
    </i>
    <i>
      <x v="2"/>
    </i>
    <i>
      <x v="46"/>
    </i>
    <i>
      <x v="106"/>
    </i>
    <i>
      <x v="112"/>
    </i>
    <i>
      <x v="8"/>
    </i>
    <i>
      <x v="38"/>
    </i>
    <i>
      <x v="67"/>
    </i>
    <i>
      <x v="33"/>
    </i>
    <i>
      <x v="16"/>
    </i>
    <i>
      <x v="57"/>
    </i>
    <i>
      <x v="9"/>
    </i>
    <i>
      <x v="109"/>
    </i>
    <i>
      <x v="50"/>
    </i>
    <i>
      <x v="68"/>
    </i>
    <i>
      <x v="92"/>
    </i>
    <i>
      <x v="107"/>
    </i>
    <i>
      <x v="94"/>
    </i>
    <i>
      <x v="85"/>
    </i>
    <i>
      <x v="12"/>
    </i>
    <i>
      <x v="75"/>
    </i>
    <i>
      <x v="90"/>
    </i>
    <i>
      <x v="7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.  Sales _x000a_2023" fld="10" baseField="4" baseItem="7" numFmtId="169"/>
    <dataField name="C. Sales _x000a_2022 " fld="9" baseField="4" baseItem="7" numFmtId="169"/>
    <dataField name="C. Sales Δ _x000a_23 vs 22" fld="16" baseField="0" baseItem="0" numFmtId="42"/>
    <dataField name="C. Sales % _x000a_Δ 23 vs 22" fld="17" baseField="0" baseItem="0" numFmtId="165"/>
    <dataField name="YD² _x000a_2023  " fld="12" baseField="13" baseItem="117" numFmtId="3"/>
    <dataField name="YD² _x000a_2022  " fld="11" baseField="6" baseItem="62" numFmtId="3"/>
    <dataField name="Yd² Δ _x000a_23 vs 22" fld="18" baseField="0" baseItem="0" numFmtId="3"/>
    <dataField name="Yd² % Δ _x000a_23 vs 22" fld="19" baseField="0" baseItem="0" numFmtId="165"/>
  </dataFields>
  <formats count="10">
    <format dxfId="7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0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69">
      <pivotArea dataOnly="0" outline="0" fieldPosition="0">
        <references count="1">
          <reference field="4294967294" count="1">
            <x v="4"/>
          </reference>
        </references>
      </pivotArea>
    </format>
    <format dxfId="68">
      <pivotArea dataOnly="0" outline="0" fieldPosition="0">
        <references count="1">
          <reference field="4294967294" count="1">
            <x v="7"/>
          </reference>
        </references>
      </pivotArea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field="6" type="button" dataOnly="0" labelOnly="1" outline="0" axis="axisRow" fieldPosition="0"/>
    </format>
    <format dxfId="64">
      <pivotArea field="6" type="button" dataOnly="0" labelOnly="1" outline="0" axis="axisRow" fieldPosition="0"/>
    </format>
  </formats>
  <conditionalFormats count="4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6" type="captionNotEqual" evalOrder="-1" id="1" stringValue1="(blank)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T69"/>
  <sheetViews>
    <sheetView tabSelected="1" zoomScale="80" zoomScaleNormal="80" workbookViewId="0"/>
  </sheetViews>
  <sheetFormatPr defaultRowHeight="12.5" x14ac:dyDescent="0.25"/>
  <cols>
    <col min="1" max="1" width="11.54296875" bestFit="1" customWidth="1"/>
    <col min="2" max="2" width="14.54296875" bestFit="1" customWidth="1"/>
    <col min="3" max="3" width="14" bestFit="1" customWidth="1"/>
    <col min="4" max="4" width="14" customWidth="1"/>
    <col min="5" max="5" width="14.54296875" bestFit="1" customWidth="1"/>
    <col min="6" max="6" width="14" bestFit="1" customWidth="1"/>
    <col min="7" max="7" width="14.81640625" bestFit="1" customWidth="1"/>
    <col min="8" max="8" width="14" bestFit="1" customWidth="1"/>
    <col min="9" max="9" width="13" customWidth="1"/>
    <col min="10" max="13" width="14" bestFit="1" customWidth="1"/>
    <col min="14" max="14" width="14.81640625" bestFit="1" customWidth="1"/>
    <col min="15" max="15" width="13.81640625" bestFit="1" customWidth="1"/>
    <col min="16" max="16" width="13.54296875" customWidth="1"/>
    <col min="17" max="17" width="9.1796875" bestFit="1" customWidth="1"/>
  </cols>
  <sheetData>
    <row r="1" spans="1:20" ht="31" x14ac:dyDescent="0.35">
      <c r="A1" s="16" t="s">
        <v>17</v>
      </c>
      <c r="B1" s="7" t="s">
        <v>15</v>
      </c>
      <c r="C1" s="7" t="s">
        <v>14</v>
      </c>
      <c r="D1" s="7" t="s">
        <v>13</v>
      </c>
      <c r="E1" s="7" t="s">
        <v>12</v>
      </c>
      <c r="F1" s="7" t="s">
        <v>11</v>
      </c>
      <c r="G1" s="7" t="s">
        <v>10</v>
      </c>
      <c r="H1" s="7" t="s">
        <v>9</v>
      </c>
      <c r="I1" s="7" t="s">
        <v>8</v>
      </c>
      <c r="J1" s="7" t="s">
        <v>7</v>
      </c>
      <c r="K1" s="7" t="s">
        <v>6</v>
      </c>
      <c r="L1" s="7" t="s">
        <v>5</v>
      </c>
      <c r="M1" s="7" t="s">
        <v>4</v>
      </c>
      <c r="N1" s="7" t="s">
        <v>3</v>
      </c>
      <c r="O1" s="31" t="s">
        <v>16</v>
      </c>
      <c r="P1" s="31" t="s">
        <v>1</v>
      </c>
    </row>
    <row r="2" spans="1:20" ht="1" customHeight="1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5">
        <f>SUM(B4:M4)</f>
        <v>5374801.71</v>
      </c>
      <c r="O2" s="2"/>
      <c r="P2" s="2"/>
    </row>
    <row r="3" spans="1:20" ht="1" customHeight="1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5">
        <f>N5</f>
        <v>6261360.3999999994</v>
      </c>
      <c r="O3" s="2"/>
      <c r="P3" s="2"/>
    </row>
    <row r="4" spans="1:20" ht="15.5" x14ac:dyDescent="0.35">
      <c r="A4" s="3">
        <v>2023</v>
      </c>
      <c r="B4" s="14">
        <v>1222472.81</v>
      </c>
      <c r="C4" s="14">
        <v>1313383.42</v>
      </c>
      <c r="D4" s="14">
        <v>1723526.59</v>
      </c>
      <c r="E4" s="14">
        <v>1115418.8899999999</v>
      </c>
      <c r="F4" s="14"/>
      <c r="G4" s="14"/>
      <c r="H4" s="14"/>
      <c r="I4" s="14"/>
      <c r="J4" s="14"/>
      <c r="K4" s="14"/>
      <c r="L4" s="14"/>
      <c r="M4" s="14"/>
      <c r="N4" s="11">
        <f>SUM(B4:M4)</f>
        <v>5374801.71</v>
      </c>
      <c r="O4" s="13">
        <f>N4-N5</f>
        <v>-886558.68999999948</v>
      </c>
      <c r="P4" s="66">
        <f>(N4-N5)/N5</f>
        <v>-0.14159202367587714</v>
      </c>
    </row>
    <row r="5" spans="1:20" ht="15.5" x14ac:dyDescent="0.35">
      <c r="A5" s="3">
        <v>2022</v>
      </c>
      <c r="B5" s="12">
        <v>1281345.3899999999</v>
      </c>
      <c r="C5" s="12">
        <v>1599352.38</v>
      </c>
      <c r="D5" s="12">
        <v>1731985.24</v>
      </c>
      <c r="E5" s="12">
        <v>1648677.39</v>
      </c>
      <c r="F5" s="12">
        <v>1264513.21</v>
      </c>
      <c r="G5" s="12">
        <v>1997377.13</v>
      </c>
      <c r="H5" s="12">
        <v>1281309.1399999999</v>
      </c>
      <c r="I5" s="12">
        <v>1112034.24</v>
      </c>
      <c r="J5" s="12">
        <v>1566425.78</v>
      </c>
      <c r="K5" s="12">
        <v>2078854.53</v>
      </c>
      <c r="L5" s="12">
        <v>1021966.26</v>
      </c>
      <c r="M5" s="12">
        <v>1780695.88</v>
      </c>
      <c r="N5" s="11">
        <f>SUM(B5:E5)</f>
        <v>6261360.3999999994</v>
      </c>
      <c r="O5" s="54"/>
      <c r="P5" s="66"/>
    </row>
    <row r="6" spans="1:20" ht="15.5" x14ac:dyDescent="0.35">
      <c r="A6" s="52"/>
      <c r="B6" s="10">
        <f t="shared" ref="B6:M6" si="0">IF(ISBLANK(B4),"",B4-B5)</f>
        <v>-58872.579999999842</v>
      </c>
      <c r="C6" s="10">
        <f t="shared" si="0"/>
        <v>-285968.95999999996</v>
      </c>
      <c r="D6" s="10">
        <f t="shared" si="0"/>
        <v>-8458.6499999999069</v>
      </c>
      <c r="E6" s="10">
        <f t="shared" si="0"/>
        <v>-533258.5</v>
      </c>
      <c r="F6" s="10" t="str">
        <f t="shared" si="0"/>
        <v/>
      </c>
      <c r="G6" s="10" t="str">
        <f t="shared" si="0"/>
        <v/>
      </c>
      <c r="H6" s="10" t="str">
        <f t="shared" si="0"/>
        <v/>
      </c>
      <c r="I6" s="10" t="str">
        <f t="shared" si="0"/>
        <v/>
      </c>
      <c r="J6" s="10" t="str">
        <f t="shared" si="0"/>
        <v/>
      </c>
      <c r="K6" s="10" t="str">
        <f t="shared" si="0"/>
        <v/>
      </c>
      <c r="L6" s="10" t="str">
        <f t="shared" si="0"/>
        <v/>
      </c>
      <c r="M6" s="10" t="str">
        <f t="shared" si="0"/>
        <v/>
      </c>
      <c r="N6" s="9"/>
      <c r="O6" s="54"/>
      <c r="P6" s="54"/>
    </row>
    <row r="7" spans="1:20" x14ac:dyDescent="0.2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</row>
    <row r="8" spans="1:20" ht="31" x14ac:dyDescent="0.6">
      <c r="A8" s="8" t="s">
        <v>41</v>
      </c>
      <c r="B8" s="7" t="s">
        <v>15</v>
      </c>
      <c r="C8" s="7" t="s">
        <v>14</v>
      </c>
      <c r="D8" s="7" t="s">
        <v>13</v>
      </c>
      <c r="E8" s="7" t="s">
        <v>12</v>
      </c>
      <c r="F8" s="7" t="s">
        <v>11</v>
      </c>
      <c r="G8" s="7" t="s">
        <v>10</v>
      </c>
      <c r="H8" s="7" t="s">
        <v>9</v>
      </c>
      <c r="I8" s="7" t="s">
        <v>8</v>
      </c>
      <c r="J8" s="7" t="s">
        <v>7</v>
      </c>
      <c r="K8" s="7" t="s">
        <v>6</v>
      </c>
      <c r="L8" s="7" t="s">
        <v>5</v>
      </c>
      <c r="M8" s="7" t="s">
        <v>4</v>
      </c>
      <c r="N8" s="7" t="s">
        <v>3</v>
      </c>
      <c r="O8" s="6" t="s">
        <v>42</v>
      </c>
      <c r="P8" s="31" t="s">
        <v>1</v>
      </c>
    </row>
    <row r="9" spans="1:20" ht="1" customHeight="1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>
        <f>SUM(B11:M11)</f>
        <v>15063650.590000002</v>
      </c>
      <c r="O9" s="2"/>
      <c r="P9" s="2"/>
    </row>
    <row r="10" spans="1:20" ht="1" customHeight="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>
        <f>N12</f>
        <v>18225193.964000002</v>
      </c>
      <c r="O10" s="2"/>
      <c r="P10" s="2"/>
      <c r="Q10" s="4" t="s">
        <v>2</v>
      </c>
    </row>
    <row r="11" spans="1:20" ht="15.5" x14ac:dyDescent="0.35">
      <c r="A11" s="3">
        <v>2023</v>
      </c>
      <c r="B11" s="23">
        <v>3510638.2629999998</v>
      </c>
      <c r="C11" s="23">
        <v>3449758.406</v>
      </c>
      <c r="D11" s="23">
        <v>4856427.4970000004</v>
      </c>
      <c r="E11" s="23">
        <v>3246826.4240000001</v>
      </c>
      <c r="F11" s="23"/>
      <c r="G11" s="23"/>
      <c r="H11" s="23"/>
      <c r="I11" s="23"/>
      <c r="J11" s="23"/>
      <c r="K11" s="23"/>
      <c r="L11" s="23"/>
      <c r="M11" s="23"/>
      <c r="N11" s="26">
        <f>SUM(B11:M11)</f>
        <v>15063650.590000002</v>
      </c>
      <c r="O11" s="51">
        <f>N11-N12</f>
        <v>-3161543.3739999998</v>
      </c>
      <c r="P11" s="66">
        <f>(N11-N12)/N12</f>
        <v>-0.17347104125448307</v>
      </c>
    </row>
    <row r="12" spans="1:20" ht="15.5" x14ac:dyDescent="0.35">
      <c r="A12" s="3">
        <v>2022</v>
      </c>
      <c r="B12" s="24">
        <v>3968772.5589999999</v>
      </c>
      <c r="C12" s="24">
        <v>4791834.7369999997</v>
      </c>
      <c r="D12" s="24">
        <v>4918646.1040000003</v>
      </c>
      <c r="E12" s="24">
        <v>4545940.5640000002</v>
      </c>
      <c r="F12" s="24">
        <v>3618569.7239999999</v>
      </c>
      <c r="G12" s="24">
        <v>6052457.9589999998</v>
      </c>
      <c r="H12" s="24">
        <v>3334098.588</v>
      </c>
      <c r="I12" s="24">
        <v>3102780.162</v>
      </c>
      <c r="J12" s="24">
        <v>4101796.9449999998</v>
      </c>
      <c r="K12" s="24">
        <v>5065131.2309999997</v>
      </c>
      <c r="L12" s="24">
        <v>2775710.93</v>
      </c>
      <c r="M12" s="24">
        <v>4727815.9469999997</v>
      </c>
      <c r="N12" s="26">
        <f>SUM(B12:E12)</f>
        <v>18225193.964000002</v>
      </c>
      <c r="O12" s="55"/>
      <c r="P12" s="66"/>
      <c r="T12" s="32"/>
    </row>
    <row r="13" spans="1:20" ht="15.5" x14ac:dyDescent="0.35">
      <c r="A13" s="52"/>
      <c r="B13" s="26">
        <f t="shared" ref="B13:M13" si="1">IF(ISBLANK(B11),"",B11-B12)</f>
        <v>-458134.29600000009</v>
      </c>
      <c r="C13" s="26">
        <f t="shared" si="1"/>
        <v>-1342076.3309999998</v>
      </c>
      <c r="D13" s="26">
        <f t="shared" si="1"/>
        <v>-62218.606999999844</v>
      </c>
      <c r="E13" s="26">
        <f t="shared" si="1"/>
        <v>-1299114.1400000001</v>
      </c>
      <c r="F13" s="26" t="str">
        <f t="shared" si="1"/>
        <v/>
      </c>
      <c r="G13" s="26" t="str">
        <f t="shared" si="1"/>
        <v/>
      </c>
      <c r="H13" s="26" t="str">
        <f t="shared" si="1"/>
        <v/>
      </c>
      <c r="I13" s="26" t="str">
        <f t="shared" si="1"/>
        <v/>
      </c>
      <c r="J13" s="26" t="str">
        <f t="shared" si="1"/>
        <v/>
      </c>
      <c r="K13" s="26" t="str">
        <f t="shared" si="1"/>
        <v/>
      </c>
      <c r="L13" s="26" t="str">
        <f t="shared" si="1"/>
        <v/>
      </c>
      <c r="M13" s="26" t="str">
        <f t="shared" si="1"/>
        <v/>
      </c>
      <c r="N13" s="25"/>
      <c r="O13" s="56"/>
      <c r="P13" s="54"/>
    </row>
    <row r="14" spans="1:20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</row>
    <row r="15" spans="1:20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6" spans="1:20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1:16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spans="1:16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</row>
    <row r="19" spans="1:16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spans="1:16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</row>
    <row r="21" spans="1:16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spans="1:16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</row>
    <row r="23" spans="1:16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</row>
    <row r="24" spans="1:16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</row>
    <row r="25" spans="1:16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</row>
    <row r="26" spans="1:16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</row>
    <row r="27" spans="1:16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</row>
    <row r="28" spans="1:16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</row>
    <row r="29" spans="1:16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</row>
    <row r="30" spans="1:16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</row>
    <row r="31" spans="1:16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</row>
    <row r="32" spans="1:16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</row>
    <row r="33" spans="1:16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</row>
    <row r="34" spans="1:16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</row>
    <row r="35" spans="1:16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</row>
    <row r="36" spans="1:16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</row>
    <row r="37" spans="1:16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</row>
    <row r="38" spans="1:16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</row>
    <row r="39" spans="1:16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</row>
    <row r="40" spans="1:16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</row>
    <row r="68" spans="2:14" x14ac:dyDescent="0.25">
      <c r="B68" s="22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2:14" x14ac:dyDescent="0.2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</sheetData>
  <mergeCells count="2">
    <mergeCell ref="P4:P5"/>
    <mergeCell ref="P11:P12"/>
  </mergeCells>
  <conditionalFormatting sqref="O4 O11">
    <cfRule type="cellIs" dxfId="107" priority="1" operator="lessThan">
      <formula>0</formula>
    </cfRule>
  </conditionalFormatting>
  <pageMargins left="0.7" right="0.7" top="0.75" bottom="0.75" header="0.3" footer="0.3"/>
  <pageSetup scale="59" orientation="landscape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486"/>
  <sheetViews>
    <sheetView zoomScaleNormal="100" workbookViewId="0">
      <selection activeCell="A22" sqref="A3:A65"/>
      <pivotSelection pane="bottomRight" showHeader="1" axis="axisRow" dimension="1" activeRow="21" previousRow="21" click="1" r:id="rId1">
        <pivotArea dataOnly="0" labelOnly="1" fieldPosition="0">
          <references count="1">
            <reference field="14" count="0"/>
          </references>
        </pivotArea>
      </pivotSelection>
    </sheetView>
  </sheetViews>
  <sheetFormatPr defaultRowHeight="12.5" x14ac:dyDescent="0.25"/>
  <cols>
    <col min="1" max="1" width="52.54296875" bestFit="1" customWidth="1"/>
    <col min="2" max="3" width="9.90625" bestFit="1" customWidth="1"/>
    <col min="4" max="4" width="10.26953125" bestFit="1" customWidth="1"/>
    <col min="5" max="5" width="7.54296875" bestFit="1" customWidth="1"/>
    <col min="6" max="6" width="9.90625" bestFit="1" customWidth="1"/>
    <col min="7" max="7" width="9.90625" style="1" bestFit="1" customWidth="1"/>
    <col min="8" max="8" width="9.54296875" bestFit="1" customWidth="1"/>
    <col min="9" max="9" width="7.6328125" bestFit="1" customWidth="1"/>
    <col min="10" max="10" width="8.1796875" customWidth="1"/>
    <col min="11" max="11" width="6.81640625" customWidth="1"/>
    <col min="12" max="12" width="8.1796875" customWidth="1"/>
  </cols>
  <sheetData>
    <row r="1" spans="1:9" ht="52" x14ac:dyDescent="0.3">
      <c r="A1" s="58" t="s">
        <v>44</v>
      </c>
      <c r="B1" s="37" t="s">
        <v>913</v>
      </c>
      <c r="C1" s="38" t="s">
        <v>915</v>
      </c>
      <c r="D1" s="38" t="s">
        <v>916</v>
      </c>
      <c r="E1" s="39" t="s">
        <v>917</v>
      </c>
      <c r="F1" s="37" t="s">
        <v>914</v>
      </c>
      <c r="G1" s="38" t="s">
        <v>644</v>
      </c>
      <c r="H1" s="38" t="s">
        <v>918</v>
      </c>
      <c r="I1" s="39" t="s">
        <v>919</v>
      </c>
    </row>
    <row r="2" spans="1:9" x14ac:dyDescent="0.25">
      <c r="A2" s="21" t="s">
        <v>138</v>
      </c>
      <c r="B2" s="27">
        <v>2914405.9899999998</v>
      </c>
      <c r="C2" s="27">
        <v>3238116.5199999996</v>
      </c>
      <c r="D2" s="28">
        <v>-323710.5299999998</v>
      </c>
      <c r="E2" s="30">
        <v>-9.9968771352304447E-2</v>
      </c>
      <c r="F2" s="40">
        <v>6747894.4280000022</v>
      </c>
      <c r="G2" s="29">
        <v>7746951.9670000002</v>
      </c>
      <c r="H2" s="29">
        <v>-999057.53899999987</v>
      </c>
      <c r="I2" s="41">
        <v>-0.12896137000148253</v>
      </c>
    </row>
    <row r="3" spans="1:9" x14ac:dyDescent="0.25">
      <c r="A3" s="67" t="s">
        <v>180</v>
      </c>
      <c r="B3" s="27">
        <v>737043.14</v>
      </c>
      <c r="C3" s="27">
        <v>664187.04</v>
      </c>
      <c r="D3" s="28">
        <v>72856.099999999977</v>
      </c>
      <c r="E3" s="30">
        <v>0.10969214334564549</v>
      </c>
      <c r="F3" s="40">
        <v>1601009.5330000001</v>
      </c>
      <c r="G3" s="29">
        <v>1498163.6410000001</v>
      </c>
      <c r="H3" s="29">
        <v>102845.89199999999</v>
      </c>
      <c r="I3" s="41">
        <v>6.8647969544469806E-2</v>
      </c>
    </row>
    <row r="4" spans="1:9" x14ac:dyDescent="0.25">
      <c r="A4" s="67" t="s">
        <v>179</v>
      </c>
      <c r="B4" s="27">
        <v>467602.51</v>
      </c>
      <c r="C4" s="27">
        <v>596340.40999999992</v>
      </c>
      <c r="D4" s="28">
        <v>-128737.89999999991</v>
      </c>
      <c r="E4" s="30">
        <v>-0.21587988645612649</v>
      </c>
      <c r="F4" s="40">
        <v>1005579.028</v>
      </c>
      <c r="G4" s="29">
        <v>1300734.933</v>
      </c>
      <c r="H4" s="29">
        <v>-295155.90499999991</v>
      </c>
      <c r="I4" s="41">
        <v>-0.22691472144847818</v>
      </c>
    </row>
    <row r="5" spans="1:9" x14ac:dyDescent="0.25">
      <c r="A5" s="67" t="s">
        <v>183</v>
      </c>
      <c r="B5" s="27">
        <v>266858.06</v>
      </c>
      <c r="C5" s="27">
        <v>156738.08000000002</v>
      </c>
      <c r="D5" s="28">
        <v>110119.97999999998</v>
      </c>
      <c r="E5" s="30">
        <v>0.70257323555322337</v>
      </c>
      <c r="F5" s="40">
        <v>579077.36100000003</v>
      </c>
      <c r="G5" s="29">
        <v>354322.527</v>
      </c>
      <c r="H5" s="29">
        <v>224754.83400000003</v>
      </c>
      <c r="I5" s="41">
        <v>0.63432273387460925</v>
      </c>
    </row>
    <row r="6" spans="1:9" x14ac:dyDescent="0.25">
      <c r="A6" s="67" t="s">
        <v>184</v>
      </c>
      <c r="B6" s="27">
        <v>224667.43</v>
      </c>
      <c r="C6" s="27">
        <v>273218.14</v>
      </c>
      <c r="D6" s="28">
        <v>-48550.710000000021</v>
      </c>
      <c r="E6" s="30">
        <v>-0.17769943825838219</v>
      </c>
      <c r="F6" s="40">
        <v>487346.12400000001</v>
      </c>
      <c r="G6" s="29">
        <v>617872.71100000001</v>
      </c>
      <c r="H6" s="29">
        <v>-130526.587</v>
      </c>
      <c r="I6" s="41">
        <v>-0.2112515809101658</v>
      </c>
    </row>
    <row r="7" spans="1:9" x14ac:dyDescent="0.25">
      <c r="A7" s="67" t="s">
        <v>430</v>
      </c>
      <c r="B7" s="27">
        <v>223367.79</v>
      </c>
      <c r="C7" s="27">
        <v>252405.31</v>
      </c>
      <c r="D7" s="28">
        <v>-29037.51999999999</v>
      </c>
      <c r="E7" s="30">
        <v>-0.11504322155504569</v>
      </c>
      <c r="F7" s="40">
        <v>484334.78300000005</v>
      </c>
      <c r="G7" s="29">
        <v>569161.46</v>
      </c>
      <c r="H7" s="29">
        <v>-84826.676999999909</v>
      </c>
      <c r="I7" s="41">
        <v>-0.14903798475743582</v>
      </c>
    </row>
    <row r="8" spans="1:9" x14ac:dyDescent="0.25">
      <c r="A8" s="67" t="s">
        <v>181</v>
      </c>
      <c r="B8" s="27">
        <v>223035.12</v>
      </c>
      <c r="C8" s="27">
        <v>358615.54</v>
      </c>
      <c r="D8" s="28">
        <v>-135580.41999999998</v>
      </c>
      <c r="E8" s="30">
        <v>-0.37806621542390489</v>
      </c>
      <c r="F8" s="40">
        <v>484334.78300000005</v>
      </c>
      <c r="G8" s="29">
        <v>810431.28</v>
      </c>
      <c r="H8" s="29">
        <v>-326096.49699999997</v>
      </c>
      <c r="I8" s="41">
        <v>-0.40237402608645606</v>
      </c>
    </row>
    <row r="9" spans="1:9" x14ac:dyDescent="0.25">
      <c r="A9" s="67" t="s">
        <v>182</v>
      </c>
      <c r="B9" s="27">
        <v>215001.83</v>
      </c>
      <c r="C9" s="27">
        <v>281727.56</v>
      </c>
      <c r="D9" s="28">
        <v>-66725.73000000001</v>
      </c>
      <c r="E9" s="30">
        <v>-0.23684487949989702</v>
      </c>
      <c r="F9" s="40">
        <v>466803.23800000001</v>
      </c>
      <c r="G9" s="29">
        <v>616665.99799999991</v>
      </c>
      <c r="H9" s="29">
        <v>-149862.75999999989</v>
      </c>
      <c r="I9" s="41">
        <v>-0.24302095540542501</v>
      </c>
    </row>
    <row r="10" spans="1:9" x14ac:dyDescent="0.25">
      <c r="A10" s="67" t="s">
        <v>1223</v>
      </c>
      <c r="B10" s="27">
        <v>161969.54</v>
      </c>
      <c r="C10" s="27"/>
      <c r="D10" s="28">
        <v>161969.54</v>
      </c>
      <c r="E10" s="30">
        <v>1</v>
      </c>
      <c r="F10" s="40">
        <v>351342.554</v>
      </c>
      <c r="G10" s="29"/>
      <c r="H10" s="29">
        <v>351342.554</v>
      </c>
      <c r="I10" s="41">
        <v>1</v>
      </c>
    </row>
    <row r="11" spans="1:9" x14ac:dyDescent="0.25">
      <c r="A11" s="67" t="s">
        <v>431</v>
      </c>
      <c r="B11" s="27">
        <v>51831.02</v>
      </c>
      <c r="C11" s="27">
        <v>41409.56</v>
      </c>
      <c r="D11" s="28">
        <v>10421.459999999999</v>
      </c>
      <c r="E11" s="30">
        <v>0.25166797232329924</v>
      </c>
      <c r="F11" s="40">
        <v>202602</v>
      </c>
      <c r="G11" s="29">
        <v>185357.40000000002</v>
      </c>
      <c r="H11" s="29">
        <v>17244.599999999977</v>
      </c>
      <c r="I11" s="41">
        <v>9.3034321802096781E-2</v>
      </c>
    </row>
    <row r="12" spans="1:9" x14ac:dyDescent="0.25">
      <c r="A12" s="67" t="s">
        <v>425</v>
      </c>
      <c r="B12" s="27">
        <v>49046.14</v>
      </c>
      <c r="C12" s="27">
        <v>11797.56</v>
      </c>
      <c r="D12" s="28">
        <v>37248.58</v>
      </c>
      <c r="E12" s="30">
        <v>3.157312189978267</v>
      </c>
      <c r="F12" s="40">
        <v>189138.12200000003</v>
      </c>
      <c r="G12" s="29">
        <v>61612.487999999998</v>
      </c>
      <c r="H12" s="29">
        <v>127525.63400000003</v>
      </c>
      <c r="I12" s="41">
        <v>2.0698017259098518</v>
      </c>
    </row>
    <row r="13" spans="1:9" x14ac:dyDescent="0.25">
      <c r="A13" s="67" t="s">
        <v>1539</v>
      </c>
      <c r="B13" s="27">
        <v>42190.64</v>
      </c>
      <c r="C13" s="27"/>
      <c r="D13" s="28">
        <v>42190.64</v>
      </c>
      <c r="E13" s="30">
        <v>1</v>
      </c>
      <c r="F13" s="40">
        <v>91731.236000000004</v>
      </c>
      <c r="G13" s="29"/>
      <c r="H13" s="29">
        <v>91731.236000000004</v>
      </c>
      <c r="I13" s="41">
        <v>1</v>
      </c>
    </row>
    <row r="14" spans="1:9" x14ac:dyDescent="0.25">
      <c r="A14" s="67" t="s">
        <v>138</v>
      </c>
      <c r="B14" s="27">
        <v>34605.85</v>
      </c>
      <c r="C14" s="27">
        <v>115445.39</v>
      </c>
      <c r="D14" s="28">
        <v>-80839.540000000008</v>
      </c>
      <c r="E14" s="30">
        <v>-0.70024052064790121</v>
      </c>
      <c r="F14" s="40">
        <v>110280.32000000001</v>
      </c>
      <c r="G14" s="29">
        <v>417968.39399999997</v>
      </c>
      <c r="H14" s="29">
        <v>-307688.07399999996</v>
      </c>
      <c r="I14" s="41">
        <v>-0.73615153302715985</v>
      </c>
    </row>
    <row r="15" spans="1:9" x14ac:dyDescent="0.25">
      <c r="A15" s="67" t="s">
        <v>814</v>
      </c>
      <c r="B15" s="27">
        <v>34154.420000000006</v>
      </c>
      <c r="C15" s="27">
        <v>44138.06</v>
      </c>
      <c r="D15" s="28">
        <v>-9983.6399999999921</v>
      </c>
      <c r="E15" s="30">
        <v>-0.22619118284763745</v>
      </c>
      <c r="F15" s="40">
        <v>108416.71199999998</v>
      </c>
      <c r="G15" s="29">
        <v>151289.98199999999</v>
      </c>
      <c r="H15" s="29">
        <v>-42873.270000000004</v>
      </c>
      <c r="I15" s="41">
        <v>-0.2833847253680023</v>
      </c>
    </row>
    <row r="16" spans="1:9" x14ac:dyDescent="0.25">
      <c r="A16" s="67" t="s">
        <v>1540</v>
      </c>
      <c r="B16" s="27">
        <v>29721.86</v>
      </c>
      <c r="C16" s="27">
        <v>8445.25</v>
      </c>
      <c r="D16" s="28">
        <v>21276.61</v>
      </c>
      <c r="E16" s="30">
        <v>2.5193582191172554</v>
      </c>
      <c r="F16" s="40">
        <v>122060.54399999999</v>
      </c>
      <c r="G16" s="29">
        <v>33909.659999999996</v>
      </c>
      <c r="H16" s="29">
        <v>88150.883999999991</v>
      </c>
      <c r="I16" s="41">
        <v>2.5995802965880519</v>
      </c>
    </row>
    <row r="17" spans="1:9" x14ac:dyDescent="0.25">
      <c r="A17" s="67" t="s">
        <v>625</v>
      </c>
      <c r="B17" s="27">
        <v>29489.96</v>
      </c>
      <c r="C17" s="27">
        <v>25114.799999999999</v>
      </c>
      <c r="D17" s="28">
        <v>4375.16</v>
      </c>
      <c r="E17" s="30">
        <v>0.17420644400911017</v>
      </c>
      <c r="F17" s="40">
        <v>118179.12000000001</v>
      </c>
      <c r="G17" s="29">
        <v>103067.76000000001</v>
      </c>
      <c r="H17" s="29">
        <v>15111.36</v>
      </c>
      <c r="I17" s="41">
        <v>0.14661577975498835</v>
      </c>
    </row>
    <row r="18" spans="1:9" x14ac:dyDescent="0.25">
      <c r="A18" s="67" t="s">
        <v>1225</v>
      </c>
      <c r="B18" s="27">
        <v>19089.280000000002</v>
      </c>
      <c r="C18" s="27"/>
      <c r="D18" s="28">
        <v>19089.280000000002</v>
      </c>
      <c r="E18" s="30">
        <v>1</v>
      </c>
      <c r="F18" s="40">
        <v>34116.380000000005</v>
      </c>
      <c r="G18" s="29"/>
      <c r="H18" s="29">
        <v>34116.380000000005</v>
      </c>
      <c r="I18" s="41">
        <v>1</v>
      </c>
    </row>
    <row r="19" spans="1:9" x14ac:dyDescent="0.25">
      <c r="A19" s="67" t="s">
        <v>178</v>
      </c>
      <c r="B19" s="27">
        <v>16901.919999999998</v>
      </c>
      <c r="C19" s="27">
        <v>15903.98</v>
      </c>
      <c r="D19" s="28">
        <v>997.93999999999869</v>
      </c>
      <c r="E19" s="30">
        <v>6.2747815326729461E-2</v>
      </c>
      <c r="F19" s="40">
        <v>60445.440000000002</v>
      </c>
      <c r="G19" s="29">
        <v>60445.440000000002</v>
      </c>
      <c r="H19" s="29">
        <v>0</v>
      </c>
      <c r="I19" s="41">
        <v>0</v>
      </c>
    </row>
    <row r="20" spans="1:9" x14ac:dyDescent="0.25">
      <c r="A20" s="67" t="s">
        <v>1236</v>
      </c>
      <c r="B20" s="27">
        <v>9691.2800000000007</v>
      </c>
      <c r="C20" s="27"/>
      <c r="D20" s="28">
        <v>9691.2800000000007</v>
      </c>
      <c r="E20" s="30">
        <v>1</v>
      </c>
      <c r="F20" s="40">
        <v>30221.867999999999</v>
      </c>
      <c r="G20" s="29"/>
      <c r="H20" s="29">
        <v>30221.867999999999</v>
      </c>
      <c r="I20" s="41">
        <v>1</v>
      </c>
    </row>
    <row r="21" spans="1:9" x14ac:dyDescent="0.25">
      <c r="A21" s="67" t="s">
        <v>1778</v>
      </c>
      <c r="B21" s="27">
        <v>8033.26</v>
      </c>
      <c r="C21" s="27"/>
      <c r="D21" s="28">
        <v>8033.26</v>
      </c>
      <c r="E21" s="30">
        <v>1</v>
      </c>
      <c r="F21" s="40">
        <v>17531.540999999997</v>
      </c>
      <c r="G21" s="29"/>
      <c r="H21" s="29">
        <v>17531.540999999997</v>
      </c>
      <c r="I21" s="41">
        <v>1</v>
      </c>
    </row>
    <row r="22" spans="1:9" x14ac:dyDescent="0.25">
      <c r="A22" s="67" t="s">
        <v>1247</v>
      </c>
      <c r="B22" s="27">
        <v>7338.99</v>
      </c>
      <c r="C22" s="27">
        <v>3735.07</v>
      </c>
      <c r="D22" s="28">
        <v>3603.9199999999996</v>
      </c>
      <c r="E22" s="30">
        <v>0.96488686959012804</v>
      </c>
      <c r="F22" s="40">
        <v>30223.008000000002</v>
      </c>
      <c r="G22" s="29">
        <v>15111.36</v>
      </c>
      <c r="H22" s="29">
        <v>15111.648000000001</v>
      </c>
      <c r="I22" s="41">
        <v>1.0000190585096245</v>
      </c>
    </row>
    <row r="23" spans="1:9" x14ac:dyDescent="0.25">
      <c r="A23" s="67" t="s">
        <v>1245</v>
      </c>
      <c r="B23" s="27">
        <v>7042.46</v>
      </c>
      <c r="C23" s="27"/>
      <c r="D23" s="28">
        <v>7042.46</v>
      </c>
      <c r="E23" s="30">
        <v>1</v>
      </c>
      <c r="F23" s="40">
        <v>30222.720000000001</v>
      </c>
      <c r="G23" s="29"/>
      <c r="H23" s="29">
        <v>30222.720000000001</v>
      </c>
      <c r="I23" s="41">
        <v>1</v>
      </c>
    </row>
    <row r="24" spans="1:9" x14ac:dyDescent="0.25">
      <c r="A24" s="67" t="s">
        <v>1290</v>
      </c>
      <c r="B24" s="27">
        <v>6379.5599999999995</v>
      </c>
      <c r="C24" s="27">
        <v>14646.609999999999</v>
      </c>
      <c r="D24" s="28">
        <v>-8267.0499999999993</v>
      </c>
      <c r="E24" s="30">
        <v>-0.56443436399276015</v>
      </c>
      <c r="F24" s="40">
        <v>24799.200000000001</v>
      </c>
      <c r="G24" s="29">
        <v>60847.039999999994</v>
      </c>
      <c r="H24" s="29">
        <v>-36047.839999999997</v>
      </c>
      <c r="I24" s="41">
        <v>-0.59243374862606302</v>
      </c>
    </row>
    <row r="25" spans="1:9" x14ac:dyDescent="0.25">
      <c r="A25" s="67" t="s">
        <v>611</v>
      </c>
      <c r="B25" s="27">
        <v>5759.42</v>
      </c>
      <c r="C25" s="27">
        <v>5225.29</v>
      </c>
      <c r="D25" s="28">
        <v>534.13000000000011</v>
      </c>
      <c r="E25" s="30">
        <v>0.10222016385693428</v>
      </c>
      <c r="F25" s="40">
        <v>15111.36</v>
      </c>
      <c r="G25" s="29">
        <v>15111.36</v>
      </c>
      <c r="H25" s="29">
        <v>0</v>
      </c>
      <c r="I25" s="41">
        <v>0</v>
      </c>
    </row>
    <row r="26" spans="1:9" x14ac:dyDescent="0.25">
      <c r="A26" s="67" t="s">
        <v>1235</v>
      </c>
      <c r="B26" s="27">
        <v>5132.16</v>
      </c>
      <c r="C26" s="27">
        <v>9451.73</v>
      </c>
      <c r="D26" s="28">
        <v>-4319.57</v>
      </c>
      <c r="E26" s="30">
        <v>-0.45701368955736144</v>
      </c>
      <c r="F26" s="40">
        <v>24796.799999999999</v>
      </c>
      <c r="G26" s="29">
        <v>37200.383999999998</v>
      </c>
      <c r="H26" s="29">
        <v>-12403.583999999999</v>
      </c>
      <c r="I26" s="41">
        <v>-0.33342623560014861</v>
      </c>
    </row>
    <row r="27" spans="1:9" x14ac:dyDescent="0.25">
      <c r="A27" s="67" t="s">
        <v>1544</v>
      </c>
      <c r="B27" s="27">
        <v>5110.78</v>
      </c>
      <c r="C27" s="27">
        <v>7601.3</v>
      </c>
      <c r="D27" s="28">
        <v>-2490.5200000000004</v>
      </c>
      <c r="E27" s="30">
        <v>-0.32764395563916704</v>
      </c>
      <c r="F27" s="40">
        <v>7555.68</v>
      </c>
      <c r="G27" s="29">
        <v>15111.36</v>
      </c>
      <c r="H27" s="29">
        <v>-7555.68</v>
      </c>
      <c r="I27" s="41">
        <v>-0.5</v>
      </c>
    </row>
    <row r="28" spans="1:9" x14ac:dyDescent="0.25">
      <c r="A28" s="67" t="s">
        <v>370</v>
      </c>
      <c r="B28" s="27">
        <v>5089.3799999999992</v>
      </c>
      <c r="C28" s="27"/>
      <c r="D28" s="28">
        <v>5089.3799999999992</v>
      </c>
      <c r="E28" s="30">
        <v>1</v>
      </c>
      <c r="F28" s="40">
        <v>3011.808</v>
      </c>
      <c r="G28" s="29"/>
      <c r="H28" s="29">
        <v>3011.808</v>
      </c>
      <c r="I28" s="41">
        <v>1</v>
      </c>
    </row>
    <row r="29" spans="1:9" x14ac:dyDescent="0.25">
      <c r="A29" s="67" t="s">
        <v>1546</v>
      </c>
      <c r="B29" s="27">
        <v>4693.79</v>
      </c>
      <c r="C29" s="27"/>
      <c r="D29" s="28">
        <v>4693.79</v>
      </c>
      <c r="E29" s="30">
        <v>1</v>
      </c>
      <c r="F29" s="40">
        <v>17000.28</v>
      </c>
      <c r="G29" s="29"/>
      <c r="H29" s="29">
        <v>17000.28</v>
      </c>
      <c r="I29" s="41">
        <v>1</v>
      </c>
    </row>
    <row r="30" spans="1:9" x14ac:dyDescent="0.25">
      <c r="A30" s="67" t="s">
        <v>1550</v>
      </c>
      <c r="B30" s="27">
        <v>4095.04</v>
      </c>
      <c r="C30" s="27"/>
      <c r="D30" s="28">
        <v>4095.04</v>
      </c>
      <c r="E30" s="30">
        <v>1</v>
      </c>
      <c r="F30" s="40">
        <v>11333.52</v>
      </c>
      <c r="G30" s="29"/>
      <c r="H30" s="29">
        <v>11333.52</v>
      </c>
      <c r="I30" s="41">
        <v>1</v>
      </c>
    </row>
    <row r="31" spans="1:9" x14ac:dyDescent="0.25">
      <c r="A31" s="67" t="s">
        <v>1244</v>
      </c>
      <c r="B31" s="27">
        <v>3638.13</v>
      </c>
      <c r="C31" s="27">
        <v>3464.21</v>
      </c>
      <c r="D31" s="28">
        <v>173.92000000000007</v>
      </c>
      <c r="E31" s="30">
        <v>5.0204808599940552E-2</v>
      </c>
      <c r="F31" s="40">
        <v>15111.36</v>
      </c>
      <c r="G31" s="29">
        <v>15111.36</v>
      </c>
      <c r="H31" s="29">
        <v>0</v>
      </c>
      <c r="I31" s="41">
        <v>0</v>
      </c>
    </row>
    <row r="32" spans="1:9" x14ac:dyDescent="0.25">
      <c r="A32" s="67" t="s">
        <v>1316</v>
      </c>
      <c r="B32" s="27">
        <v>3207.6</v>
      </c>
      <c r="C32" s="27">
        <v>3057.91</v>
      </c>
      <c r="D32" s="28">
        <v>149.69000000000005</v>
      </c>
      <c r="E32" s="30">
        <v>4.8951735008551614E-2</v>
      </c>
      <c r="F32" s="40">
        <v>12399.6</v>
      </c>
      <c r="G32" s="29">
        <v>12399.6</v>
      </c>
      <c r="H32" s="29">
        <v>0</v>
      </c>
      <c r="I32" s="41">
        <v>0</v>
      </c>
    </row>
    <row r="33" spans="1:9" x14ac:dyDescent="0.25">
      <c r="A33" s="67" t="s">
        <v>1249</v>
      </c>
      <c r="B33" s="27">
        <v>2956.63</v>
      </c>
      <c r="C33" s="27">
        <v>0</v>
      </c>
      <c r="D33" s="28">
        <v>2956.63</v>
      </c>
      <c r="E33" s="30">
        <v>1</v>
      </c>
      <c r="F33" s="40">
        <v>0</v>
      </c>
      <c r="G33" s="29">
        <v>1E-3</v>
      </c>
      <c r="H33" s="29">
        <v>-1E-3</v>
      </c>
      <c r="I33" s="41">
        <v>-1</v>
      </c>
    </row>
    <row r="34" spans="1:9" x14ac:dyDescent="0.25">
      <c r="A34" s="67" t="s">
        <v>1788</v>
      </c>
      <c r="B34" s="27">
        <v>2252.4499999999998</v>
      </c>
      <c r="C34" s="27">
        <v>2252.4499999999998</v>
      </c>
      <c r="D34" s="28">
        <v>0</v>
      </c>
      <c r="E34" s="30">
        <v>0</v>
      </c>
      <c r="F34" s="40">
        <v>8266.4</v>
      </c>
      <c r="G34" s="29">
        <v>8266.4</v>
      </c>
      <c r="H34" s="29">
        <v>0</v>
      </c>
      <c r="I34" s="41">
        <v>0</v>
      </c>
    </row>
    <row r="35" spans="1:9" x14ac:dyDescent="0.25">
      <c r="A35" s="67" t="s">
        <v>1557</v>
      </c>
      <c r="B35" s="27">
        <v>1971.09</v>
      </c>
      <c r="C35" s="27"/>
      <c r="D35" s="28">
        <v>1971.09</v>
      </c>
      <c r="E35" s="30">
        <v>1</v>
      </c>
      <c r="F35" s="40">
        <v>0</v>
      </c>
      <c r="G35" s="29"/>
      <c r="H35" s="29">
        <v>0</v>
      </c>
      <c r="I35" s="41">
        <v>0</v>
      </c>
    </row>
    <row r="36" spans="1:9" x14ac:dyDescent="0.25">
      <c r="A36" s="67" t="s">
        <v>802</v>
      </c>
      <c r="B36" s="27">
        <v>1094.48</v>
      </c>
      <c r="C36" s="27">
        <v>0</v>
      </c>
      <c r="D36" s="28">
        <v>1094.48</v>
      </c>
      <c r="E36" s="30">
        <v>1</v>
      </c>
      <c r="F36" s="40">
        <v>2E-3</v>
      </c>
      <c r="G36" s="29">
        <v>1E-3</v>
      </c>
      <c r="H36" s="29">
        <v>1E-3</v>
      </c>
      <c r="I36" s="41">
        <v>1</v>
      </c>
    </row>
    <row r="37" spans="1:9" x14ac:dyDescent="0.25">
      <c r="A37" s="67" t="s">
        <v>1260</v>
      </c>
      <c r="B37" s="27">
        <v>697.12</v>
      </c>
      <c r="C37" s="27"/>
      <c r="D37" s="28">
        <v>697.12</v>
      </c>
      <c r="E37" s="30">
        <v>1</v>
      </c>
      <c r="F37" s="40">
        <v>1259.3599999999999</v>
      </c>
      <c r="G37" s="29"/>
      <c r="H37" s="29">
        <v>1259.3599999999999</v>
      </c>
      <c r="I37" s="41">
        <v>1</v>
      </c>
    </row>
    <row r="38" spans="1:9" x14ac:dyDescent="0.25">
      <c r="A38" s="67" t="s">
        <v>1317</v>
      </c>
      <c r="B38" s="27">
        <v>688.09</v>
      </c>
      <c r="C38" s="27">
        <v>1363.82</v>
      </c>
      <c r="D38" s="28">
        <v>-675.7299999999999</v>
      </c>
      <c r="E38" s="30">
        <v>-0.49546861022715605</v>
      </c>
      <c r="F38" s="40">
        <v>826.67499999999995</v>
      </c>
      <c r="G38" s="29">
        <v>1653.28</v>
      </c>
      <c r="H38" s="29">
        <v>-826.60500000000002</v>
      </c>
      <c r="I38" s="41">
        <v>-0.49997882996225684</v>
      </c>
    </row>
    <row r="39" spans="1:9" x14ac:dyDescent="0.25">
      <c r="A39" s="67" t="s">
        <v>1616</v>
      </c>
      <c r="B39" s="27">
        <v>665.28</v>
      </c>
      <c r="C39" s="27">
        <v>0</v>
      </c>
      <c r="D39" s="28">
        <v>665.28</v>
      </c>
      <c r="E39" s="30">
        <v>1</v>
      </c>
      <c r="F39" s="40">
        <v>1E-3</v>
      </c>
      <c r="G39" s="29">
        <v>1E-3</v>
      </c>
      <c r="H39" s="29">
        <v>0</v>
      </c>
      <c r="I39" s="41">
        <v>0</v>
      </c>
    </row>
    <row r="40" spans="1:9" x14ac:dyDescent="0.25">
      <c r="A40" s="67" t="s">
        <v>1261</v>
      </c>
      <c r="B40" s="27">
        <v>536.98</v>
      </c>
      <c r="C40" s="27">
        <v>260.88</v>
      </c>
      <c r="D40" s="28">
        <v>276.10000000000002</v>
      </c>
      <c r="E40" s="30">
        <v>1.0583409996933457</v>
      </c>
      <c r="F40" s="40">
        <v>206.66900000000001</v>
      </c>
      <c r="G40" s="29">
        <v>103.334</v>
      </c>
      <c r="H40" s="29">
        <v>103.33500000000001</v>
      </c>
      <c r="I40" s="41">
        <v>1.0000096773569203</v>
      </c>
    </row>
    <row r="41" spans="1:9" x14ac:dyDescent="0.25">
      <c r="A41" s="67" t="s">
        <v>1266</v>
      </c>
      <c r="B41" s="27">
        <v>378.5</v>
      </c>
      <c r="C41" s="27"/>
      <c r="D41" s="28">
        <v>378.5</v>
      </c>
      <c r="E41" s="30">
        <v>1</v>
      </c>
      <c r="F41" s="40">
        <v>830.09999999999991</v>
      </c>
      <c r="G41" s="29"/>
      <c r="H41" s="29">
        <v>830.09999999999991</v>
      </c>
      <c r="I41" s="41">
        <v>1</v>
      </c>
    </row>
    <row r="42" spans="1:9" x14ac:dyDescent="0.25">
      <c r="A42" s="67" t="s">
        <v>1267</v>
      </c>
      <c r="B42" s="27">
        <v>332.64</v>
      </c>
      <c r="C42" s="27"/>
      <c r="D42" s="28">
        <v>332.64</v>
      </c>
      <c r="E42" s="30">
        <v>1</v>
      </c>
      <c r="F42" s="40">
        <v>1E-3</v>
      </c>
      <c r="G42" s="29"/>
      <c r="H42" s="29">
        <v>1E-3</v>
      </c>
      <c r="I42" s="41">
        <v>1</v>
      </c>
    </row>
    <row r="43" spans="1:9" x14ac:dyDescent="0.25">
      <c r="A43" s="67" t="s">
        <v>766</v>
      </c>
      <c r="B43" s="27">
        <v>298.06</v>
      </c>
      <c r="C43" s="27">
        <v>67</v>
      </c>
      <c r="D43" s="28">
        <v>231.06</v>
      </c>
      <c r="E43" s="30">
        <v>3.4486567164179105</v>
      </c>
      <c r="F43" s="40">
        <v>-454.68</v>
      </c>
      <c r="G43" s="29">
        <v>56.83</v>
      </c>
      <c r="H43" s="29">
        <v>-511.51</v>
      </c>
      <c r="I43" s="41">
        <v>-9.000703853598452</v>
      </c>
    </row>
    <row r="44" spans="1:9" x14ac:dyDescent="0.25">
      <c r="A44" s="67" t="s">
        <v>800</v>
      </c>
      <c r="B44" s="27">
        <v>284.40999999999997</v>
      </c>
      <c r="C44" s="27">
        <v>177.25</v>
      </c>
      <c r="D44" s="28">
        <v>107.15999999999997</v>
      </c>
      <c r="E44" s="30">
        <v>0.60456981664315923</v>
      </c>
      <c r="F44" s="40">
        <v>564.88</v>
      </c>
      <c r="G44" s="29">
        <v>151.56</v>
      </c>
      <c r="H44" s="29">
        <v>413.32</v>
      </c>
      <c r="I44" s="41">
        <v>2.7271047769860122</v>
      </c>
    </row>
    <row r="45" spans="1:9" x14ac:dyDescent="0.25">
      <c r="A45" s="67" t="s">
        <v>1270</v>
      </c>
      <c r="B45" s="27">
        <v>262.31</v>
      </c>
      <c r="C45" s="27"/>
      <c r="D45" s="28">
        <v>262.31</v>
      </c>
      <c r="E45" s="30">
        <v>1</v>
      </c>
      <c r="F45" s="40">
        <v>170.5</v>
      </c>
      <c r="G45" s="29"/>
      <c r="H45" s="29">
        <v>170.5</v>
      </c>
      <c r="I45" s="41">
        <v>1</v>
      </c>
    </row>
    <row r="46" spans="1:9" x14ac:dyDescent="0.25">
      <c r="A46" s="67" t="s">
        <v>1272</v>
      </c>
      <c r="B46" s="27">
        <v>199.59</v>
      </c>
      <c r="C46" s="27"/>
      <c r="D46" s="28">
        <v>199.59</v>
      </c>
      <c r="E46" s="30">
        <v>1</v>
      </c>
      <c r="F46" s="40">
        <v>108.497</v>
      </c>
      <c r="G46" s="29"/>
      <c r="H46" s="29">
        <v>108.497</v>
      </c>
      <c r="I46" s="41">
        <v>1</v>
      </c>
    </row>
    <row r="47" spans="1:9" x14ac:dyDescent="0.25">
      <c r="A47" s="67" t="s">
        <v>1278</v>
      </c>
      <c r="B47" s="27"/>
      <c r="C47" s="27">
        <v>667.66</v>
      </c>
      <c r="D47" s="28">
        <v>-667.66</v>
      </c>
      <c r="E47" s="30">
        <v>-1</v>
      </c>
      <c r="F47" s="40"/>
      <c r="G47" s="29">
        <v>2066.6880000000001</v>
      </c>
      <c r="H47" s="29">
        <v>-2066.6880000000001</v>
      </c>
      <c r="I47" s="41">
        <v>-1</v>
      </c>
    </row>
    <row r="48" spans="1:9" x14ac:dyDescent="0.25">
      <c r="A48" s="67" t="s">
        <v>1813</v>
      </c>
      <c r="B48" s="27"/>
      <c r="C48" s="27">
        <v>5136.91</v>
      </c>
      <c r="D48" s="28">
        <v>-5136.91</v>
      </c>
      <c r="E48" s="30">
        <v>-1</v>
      </c>
      <c r="F48" s="40"/>
      <c r="G48" s="29">
        <v>18889.439999999999</v>
      </c>
      <c r="H48" s="29">
        <v>-18889.439999999999</v>
      </c>
      <c r="I48" s="41">
        <v>-1</v>
      </c>
    </row>
    <row r="49" spans="1:9" x14ac:dyDescent="0.25">
      <c r="A49" s="67" t="s">
        <v>1596</v>
      </c>
      <c r="B49" s="27"/>
      <c r="C49" s="27">
        <v>4181.76</v>
      </c>
      <c r="D49" s="28">
        <v>-4181.76</v>
      </c>
      <c r="E49" s="30">
        <v>-1</v>
      </c>
      <c r="F49" s="40"/>
      <c r="G49" s="29">
        <v>15111.36</v>
      </c>
      <c r="H49" s="29">
        <v>-15111.36</v>
      </c>
      <c r="I49" s="41">
        <v>-1</v>
      </c>
    </row>
    <row r="50" spans="1:9" x14ac:dyDescent="0.25">
      <c r="A50" s="67" t="s">
        <v>687</v>
      </c>
      <c r="B50" s="27"/>
      <c r="C50" s="27">
        <v>746.66</v>
      </c>
      <c r="D50" s="28">
        <v>-746.66</v>
      </c>
      <c r="E50" s="30">
        <v>-1</v>
      </c>
      <c r="F50" s="40"/>
      <c r="G50" s="29">
        <v>2833.38</v>
      </c>
      <c r="H50" s="29">
        <v>-2833.38</v>
      </c>
      <c r="I50" s="41">
        <v>-1</v>
      </c>
    </row>
    <row r="51" spans="1:9" x14ac:dyDescent="0.25">
      <c r="A51" s="67" t="s">
        <v>627</v>
      </c>
      <c r="B51" s="27"/>
      <c r="C51" s="27">
        <v>5073.24</v>
      </c>
      <c r="D51" s="28">
        <v>-5073.24</v>
      </c>
      <c r="E51" s="30">
        <v>-1</v>
      </c>
      <c r="F51" s="40"/>
      <c r="G51" s="29">
        <v>15111.36</v>
      </c>
      <c r="H51" s="29">
        <v>-15111.36</v>
      </c>
      <c r="I51" s="41">
        <v>-1</v>
      </c>
    </row>
    <row r="52" spans="1:9" x14ac:dyDescent="0.25">
      <c r="A52" s="67" t="s">
        <v>1306</v>
      </c>
      <c r="B52" s="27"/>
      <c r="C52" s="27">
        <v>282.74</v>
      </c>
      <c r="D52" s="28">
        <v>-282.74</v>
      </c>
      <c r="E52" s="30">
        <v>-1</v>
      </c>
      <c r="F52" s="40"/>
      <c r="G52" s="29">
        <v>1033.3</v>
      </c>
      <c r="H52" s="29">
        <v>-1033.3</v>
      </c>
      <c r="I52" s="41">
        <v>-1</v>
      </c>
    </row>
    <row r="53" spans="1:9" x14ac:dyDescent="0.25">
      <c r="A53" s="67" t="s">
        <v>641</v>
      </c>
      <c r="B53" s="27"/>
      <c r="C53" s="27">
        <v>3558.3</v>
      </c>
      <c r="D53" s="28">
        <v>-3558.3</v>
      </c>
      <c r="E53" s="30">
        <v>-1</v>
      </c>
      <c r="F53" s="40"/>
      <c r="G53" s="29">
        <v>15111.36</v>
      </c>
      <c r="H53" s="29">
        <v>-15111.36</v>
      </c>
      <c r="I53" s="41">
        <v>-1</v>
      </c>
    </row>
    <row r="54" spans="1:9" x14ac:dyDescent="0.25">
      <c r="A54" s="67" t="s">
        <v>583</v>
      </c>
      <c r="B54" s="27"/>
      <c r="C54" s="27">
        <v>3536.91</v>
      </c>
      <c r="D54" s="28">
        <v>-3536.91</v>
      </c>
      <c r="E54" s="30">
        <v>-1</v>
      </c>
      <c r="F54" s="40"/>
      <c r="G54" s="29">
        <v>12160.2</v>
      </c>
      <c r="H54" s="29">
        <v>-12160.2</v>
      </c>
      <c r="I54" s="41">
        <v>-1</v>
      </c>
    </row>
    <row r="55" spans="1:9" x14ac:dyDescent="0.25">
      <c r="A55" s="67" t="s">
        <v>530</v>
      </c>
      <c r="B55" s="27"/>
      <c r="C55" s="27">
        <v>42380</v>
      </c>
      <c r="D55" s="28">
        <v>-42380</v>
      </c>
      <c r="E55" s="30">
        <v>-1</v>
      </c>
      <c r="F55" s="40"/>
      <c r="G55" s="29">
        <v>78391.176000000007</v>
      </c>
      <c r="H55" s="29">
        <v>-78391.176000000007</v>
      </c>
      <c r="I55" s="41">
        <v>-1</v>
      </c>
    </row>
    <row r="56" spans="1:9" x14ac:dyDescent="0.25">
      <c r="A56" s="67" t="s">
        <v>1796</v>
      </c>
      <c r="B56" s="27"/>
      <c r="C56" s="27">
        <v>139.71</v>
      </c>
      <c r="D56" s="28">
        <v>-139.71</v>
      </c>
      <c r="E56" s="30">
        <v>-1</v>
      </c>
      <c r="F56" s="40"/>
      <c r="G56" s="29">
        <v>227.34</v>
      </c>
      <c r="H56" s="29">
        <v>-227.34</v>
      </c>
      <c r="I56" s="41">
        <v>-1</v>
      </c>
    </row>
    <row r="57" spans="1:9" x14ac:dyDescent="0.25">
      <c r="A57" s="67" t="s">
        <v>1805</v>
      </c>
      <c r="B57" s="27"/>
      <c r="C57" s="27">
        <v>115.51</v>
      </c>
      <c r="D57" s="28">
        <v>-115.51</v>
      </c>
      <c r="E57" s="30">
        <v>-1</v>
      </c>
      <c r="F57" s="40"/>
      <c r="G57" s="29">
        <v>0</v>
      </c>
      <c r="H57" s="29">
        <v>0</v>
      </c>
      <c r="I57" s="41">
        <v>0</v>
      </c>
    </row>
    <row r="58" spans="1:9" x14ac:dyDescent="0.25">
      <c r="A58" s="67" t="s">
        <v>1283</v>
      </c>
      <c r="B58" s="27"/>
      <c r="C58" s="27">
        <v>6033.14</v>
      </c>
      <c r="D58" s="28">
        <v>-6033.14</v>
      </c>
      <c r="E58" s="30">
        <v>-1</v>
      </c>
      <c r="F58" s="40"/>
      <c r="G58" s="29">
        <v>30223.295999999998</v>
      </c>
      <c r="H58" s="29">
        <v>-30223.295999999998</v>
      </c>
      <c r="I58" s="41">
        <v>-1</v>
      </c>
    </row>
    <row r="59" spans="1:9" x14ac:dyDescent="0.25">
      <c r="A59" s="67" t="s">
        <v>1602</v>
      </c>
      <c r="B59" s="27"/>
      <c r="C59" s="27">
        <v>30587.530000000002</v>
      </c>
      <c r="D59" s="28">
        <v>-30587.530000000002</v>
      </c>
      <c r="E59" s="30">
        <v>-1</v>
      </c>
      <c r="F59" s="40"/>
      <c r="G59" s="29">
        <v>45092.85</v>
      </c>
      <c r="H59" s="29">
        <v>-45092.85</v>
      </c>
      <c r="I59" s="41">
        <v>-1</v>
      </c>
    </row>
    <row r="60" spans="1:9" x14ac:dyDescent="0.25">
      <c r="A60" s="67" t="s">
        <v>1291</v>
      </c>
      <c r="B60" s="27"/>
      <c r="C60" s="27">
        <v>778.14</v>
      </c>
      <c r="D60" s="28">
        <v>-778.14</v>
      </c>
      <c r="E60" s="30">
        <v>-1</v>
      </c>
      <c r="F60" s="40"/>
      <c r="G60" s="29">
        <v>3148.2</v>
      </c>
      <c r="H60" s="29">
        <v>-3148.2</v>
      </c>
      <c r="I60" s="41">
        <v>-1</v>
      </c>
    </row>
    <row r="61" spans="1:9" x14ac:dyDescent="0.25">
      <c r="A61" s="67" t="s">
        <v>446</v>
      </c>
      <c r="B61" s="27"/>
      <c r="C61" s="27">
        <v>3131.68</v>
      </c>
      <c r="D61" s="28">
        <v>-3131.68</v>
      </c>
      <c r="E61" s="30">
        <v>-1</v>
      </c>
      <c r="F61" s="40"/>
      <c r="G61" s="29">
        <v>12691.3</v>
      </c>
      <c r="H61" s="29">
        <v>-12691.3</v>
      </c>
      <c r="I61" s="41">
        <v>-1</v>
      </c>
    </row>
    <row r="62" spans="1:9" x14ac:dyDescent="0.25">
      <c r="A62" s="67" t="s">
        <v>614</v>
      </c>
      <c r="B62" s="27"/>
      <c r="C62" s="27">
        <v>216547.22</v>
      </c>
      <c r="D62" s="28">
        <v>-216547.22</v>
      </c>
      <c r="E62" s="30">
        <v>-1</v>
      </c>
      <c r="F62" s="40"/>
      <c r="G62" s="29">
        <v>488586.13799999998</v>
      </c>
      <c r="H62" s="29">
        <v>-488586.13799999998</v>
      </c>
      <c r="I62" s="41">
        <v>-1</v>
      </c>
    </row>
    <row r="63" spans="1:9" x14ac:dyDescent="0.25">
      <c r="A63" s="67" t="s">
        <v>818</v>
      </c>
      <c r="B63" s="27"/>
      <c r="C63" s="27">
        <v>210.04</v>
      </c>
      <c r="D63" s="28">
        <v>-210.04</v>
      </c>
      <c r="E63" s="30">
        <v>-1</v>
      </c>
      <c r="F63" s="40"/>
      <c r="G63" s="29">
        <v>170.5</v>
      </c>
      <c r="H63" s="29">
        <v>-170.5</v>
      </c>
      <c r="I63" s="41">
        <v>-1</v>
      </c>
    </row>
    <row r="64" spans="1:9" x14ac:dyDescent="0.25">
      <c r="A64" s="67" t="s">
        <v>1280</v>
      </c>
      <c r="B64" s="27"/>
      <c r="C64" s="27">
        <v>5485.71</v>
      </c>
      <c r="D64" s="28">
        <v>-5485.71</v>
      </c>
      <c r="E64" s="30">
        <v>-1</v>
      </c>
      <c r="F64" s="40"/>
      <c r="G64" s="29">
        <v>15111.36</v>
      </c>
      <c r="H64" s="29">
        <v>-15111.36</v>
      </c>
      <c r="I64" s="41">
        <v>-1</v>
      </c>
    </row>
    <row r="65" spans="1:9" x14ac:dyDescent="0.25">
      <c r="A65" s="67" t="s">
        <v>1814</v>
      </c>
      <c r="B65" s="27"/>
      <c r="C65" s="27">
        <v>12733.46</v>
      </c>
      <c r="D65" s="28">
        <v>-12733.46</v>
      </c>
      <c r="E65" s="30">
        <v>-1</v>
      </c>
      <c r="F65" s="40"/>
      <c r="G65" s="29">
        <v>28865.173999999999</v>
      </c>
      <c r="H65" s="29">
        <v>-28865.173999999999</v>
      </c>
      <c r="I65" s="41">
        <v>-1</v>
      </c>
    </row>
    <row r="66" spans="1:9" x14ac:dyDescent="0.25">
      <c r="A66" s="21" t="s">
        <v>141</v>
      </c>
      <c r="B66" s="27">
        <v>505187.45</v>
      </c>
      <c r="C66" s="27">
        <v>689269.05999999994</v>
      </c>
      <c r="D66" s="28">
        <v>-184081.60999999993</v>
      </c>
      <c r="E66" s="30">
        <v>-0.26706785591101384</v>
      </c>
      <c r="F66" s="40">
        <v>1778431.0840000003</v>
      </c>
      <c r="G66" s="29">
        <v>2370668.5420000004</v>
      </c>
      <c r="H66" s="29">
        <v>-592237.4580000001</v>
      </c>
      <c r="I66" s="41">
        <v>-0.24981875260400702</v>
      </c>
    </row>
    <row r="67" spans="1:9" x14ac:dyDescent="0.25">
      <c r="A67" s="21" t="s">
        <v>136</v>
      </c>
      <c r="B67" s="27">
        <v>434430.7099999999</v>
      </c>
      <c r="C67" s="27">
        <v>600906.89999999979</v>
      </c>
      <c r="D67" s="28">
        <v>-166476.18999999989</v>
      </c>
      <c r="E67" s="30">
        <v>-0.27704156833612653</v>
      </c>
      <c r="F67" s="40">
        <v>1471766.6669999994</v>
      </c>
      <c r="G67" s="29">
        <v>1923325.1759999997</v>
      </c>
      <c r="H67" s="29">
        <v>-451558.50900000031</v>
      </c>
      <c r="I67" s="41">
        <v>-0.23478011655788797</v>
      </c>
    </row>
    <row r="68" spans="1:9" x14ac:dyDescent="0.25">
      <c r="A68" s="21" t="s">
        <v>137</v>
      </c>
      <c r="B68" s="27">
        <v>424082.23999999987</v>
      </c>
      <c r="C68" s="27">
        <v>364392.86</v>
      </c>
      <c r="D68" s="28">
        <v>59689.379999999888</v>
      </c>
      <c r="E68" s="30">
        <v>0.16380502076796974</v>
      </c>
      <c r="F68" s="40">
        <v>1221000.6950000005</v>
      </c>
      <c r="G68" s="29">
        <v>1183900.3119999999</v>
      </c>
      <c r="H68" s="29">
        <v>37100.383000000613</v>
      </c>
      <c r="I68" s="41">
        <v>3.1337421423029928E-2</v>
      </c>
    </row>
    <row r="69" spans="1:9" x14ac:dyDescent="0.25">
      <c r="A69" s="21" t="s">
        <v>139</v>
      </c>
      <c r="B69" s="27">
        <v>275491.4800000001</v>
      </c>
      <c r="C69" s="27">
        <v>258683.03000000006</v>
      </c>
      <c r="D69" s="28">
        <v>16808.450000000041</v>
      </c>
      <c r="E69" s="30">
        <v>6.4977010668229904E-2</v>
      </c>
      <c r="F69" s="40">
        <v>988460.80699999991</v>
      </c>
      <c r="G69" s="29">
        <v>953763.95100000012</v>
      </c>
      <c r="H69" s="29">
        <v>34696.855999999796</v>
      </c>
      <c r="I69" s="41">
        <v>3.6378871274827404E-2</v>
      </c>
    </row>
    <row r="70" spans="1:9" x14ac:dyDescent="0.25">
      <c r="A70" s="21" t="s">
        <v>135</v>
      </c>
      <c r="B70" s="27">
        <v>235549.61000000002</v>
      </c>
      <c r="C70" s="27">
        <v>207851.65999999997</v>
      </c>
      <c r="D70" s="28">
        <v>27697.950000000041</v>
      </c>
      <c r="E70" s="30">
        <v>0.13325825735526983</v>
      </c>
      <c r="F70" s="40">
        <v>804814.07000000007</v>
      </c>
      <c r="G70" s="29">
        <v>772989.43799999997</v>
      </c>
      <c r="H70" s="29">
        <v>31824.6320000001</v>
      </c>
      <c r="I70" s="41">
        <v>4.1170849736759406E-2</v>
      </c>
    </row>
    <row r="71" spans="1:9" x14ac:dyDescent="0.25">
      <c r="A71" s="21" t="s">
        <v>140</v>
      </c>
      <c r="B71" s="27">
        <v>154032.18000000002</v>
      </c>
      <c r="C71" s="27">
        <v>116438.22999999998</v>
      </c>
      <c r="D71" s="28">
        <v>37593.950000000041</v>
      </c>
      <c r="E71" s="30">
        <v>0.3228660380701428</v>
      </c>
      <c r="F71" s="40">
        <v>552940.82799999998</v>
      </c>
      <c r="G71" s="29">
        <v>466522.11099999992</v>
      </c>
      <c r="H71" s="29">
        <v>86418.717000000062</v>
      </c>
      <c r="I71" s="41">
        <v>0.18524034544634924</v>
      </c>
    </row>
    <row r="72" spans="1:9" x14ac:dyDescent="0.25">
      <c r="A72" s="21" t="s">
        <v>142</v>
      </c>
      <c r="B72" s="27">
        <v>146028.62999999998</v>
      </c>
      <c r="C72" s="27">
        <v>228451.83000000002</v>
      </c>
      <c r="D72" s="28">
        <v>-82423.200000000041</v>
      </c>
      <c r="E72" s="30">
        <v>-0.36079028125973006</v>
      </c>
      <c r="F72" s="40">
        <v>502330.44700000004</v>
      </c>
      <c r="G72" s="29">
        <v>767624.79799999995</v>
      </c>
      <c r="H72" s="29">
        <v>-265294.35099999991</v>
      </c>
      <c r="I72" s="41">
        <v>-0.34560419581442431</v>
      </c>
    </row>
    <row r="73" spans="1:9" x14ac:dyDescent="0.25">
      <c r="A73" s="21" t="s">
        <v>143</v>
      </c>
      <c r="B73" s="27">
        <v>143597.57999999999</v>
      </c>
      <c r="C73" s="27">
        <v>255058.56999999995</v>
      </c>
      <c r="D73" s="28">
        <v>-111460.98999999996</v>
      </c>
      <c r="E73" s="30">
        <v>-0.43700154831104082</v>
      </c>
      <c r="F73" s="40">
        <v>486523.43499999994</v>
      </c>
      <c r="G73" s="29">
        <v>914999.06499999971</v>
      </c>
      <c r="H73" s="29">
        <v>-428475.62999999977</v>
      </c>
      <c r="I73" s="41">
        <v>-0.46827985556466106</v>
      </c>
    </row>
    <row r="74" spans="1:9" x14ac:dyDescent="0.25">
      <c r="A74" s="21" t="s">
        <v>144</v>
      </c>
      <c r="B74" s="27">
        <v>141995.83999999997</v>
      </c>
      <c r="C74" s="27">
        <v>302191.74</v>
      </c>
      <c r="D74" s="28">
        <v>-160195.90000000002</v>
      </c>
      <c r="E74" s="30">
        <v>-0.53011343063182348</v>
      </c>
      <c r="F74" s="40">
        <v>509488.12899999996</v>
      </c>
      <c r="G74" s="29">
        <v>1124448.6040000001</v>
      </c>
      <c r="H74" s="29">
        <v>-614960.47500000009</v>
      </c>
      <c r="I74" s="41">
        <v>-0.54689958510544789</v>
      </c>
    </row>
    <row r="75" spans="1:9" x14ac:dyDescent="0.25">
      <c r="A75" s="50" t="s">
        <v>32</v>
      </c>
      <c r="B75" s="49">
        <v>5374801.7099999972</v>
      </c>
      <c r="C75" s="43">
        <v>6261360.3999999994</v>
      </c>
      <c r="D75" s="44">
        <v>-886558.68999999948</v>
      </c>
      <c r="E75" s="45">
        <v>-0.14159202367587714</v>
      </c>
      <c r="F75" s="46">
        <v>15063650.589999994</v>
      </c>
      <c r="G75" s="47">
        <v>18225193.963999998</v>
      </c>
      <c r="H75" s="47">
        <v>-3161543.373999998</v>
      </c>
      <c r="I75" s="48">
        <v>-0.17347104125448301</v>
      </c>
    </row>
    <row r="76" spans="1:9" x14ac:dyDescent="0.25">
      <c r="G76"/>
    </row>
    <row r="77" spans="1:9" x14ac:dyDescent="0.25">
      <c r="G77"/>
    </row>
    <row r="78" spans="1:9" x14ac:dyDescent="0.25">
      <c r="G78"/>
    </row>
    <row r="79" spans="1:9" x14ac:dyDescent="0.25">
      <c r="G79"/>
    </row>
    <row r="80" spans="1:9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  <row r="1342" spans="7:7" x14ac:dyDescent="0.25">
      <c r="G1342"/>
    </row>
    <row r="1343" spans="7:7" x14ac:dyDescent="0.25">
      <c r="G1343"/>
    </row>
    <row r="1344" spans="7:7" x14ac:dyDescent="0.25">
      <c r="G1344"/>
    </row>
    <row r="1345" spans="7:7" x14ac:dyDescent="0.25">
      <c r="G1345"/>
    </row>
    <row r="1346" spans="7:7" x14ac:dyDescent="0.25">
      <c r="G1346"/>
    </row>
    <row r="1347" spans="7:7" x14ac:dyDescent="0.25">
      <c r="G1347"/>
    </row>
    <row r="1348" spans="7:7" x14ac:dyDescent="0.25">
      <c r="G1348"/>
    </row>
    <row r="1349" spans="7:7" x14ac:dyDescent="0.25">
      <c r="G1349"/>
    </row>
    <row r="1350" spans="7:7" x14ac:dyDescent="0.25">
      <c r="G1350"/>
    </row>
    <row r="1351" spans="7:7" x14ac:dyDescent="0.25">
      <c r="G1351"/>
    </row>
    <row r="1352" spans="7:7" x14ac:dyDescent="0.25">
      <c r="G1352"/>
    </row>
    <row r="1353" spans="7:7" x14ac:dyDescent="0.25">
      <c r="G1353"/>
    </row>
    <row r="1354" spans="7:7" x14ac:dyDescent="0.25">
      <c r="G1354"/>
    </row>
    <row r="1355" spans="7:7" x14ac:dyDescent="0.25">
      <c r="G1355"/>
    </row>
    <row r="1356" spans="7:7" x14ac:dyDescent="0.25">
      <c r="G1356"/>
    </row>
    <row r="1357" spans="7:7" x14ac:dyDescent="0.25">
      <c r="G1357"/>
    </row>
    <row r="1358" spans="7:7" x14ac:dyDescent="0.25">
      <c r="G1358"/>
    </row>
    <row r="1359" spans="7:7" x14ac:dyDescent="0.25">
      <c r="G1359"/>
    </row>
    <row r="1360" spans="7:7" x14ac:dyDescent="0.25">
      <c r="G1360"/>
    </row>
    <row r="1361" spans="7:7" x14ac:dyDescent="0.25">
      <c r="G1361"/>
    </row>
    <row r="1362" spans="7:7" x14ac:dyDescent="0.25">
      <c r="G1362"/>
    </row>
    <row r="1363" spans="7:7" x14ac:dyDescent="0.25">
      <c r="G1363"/>
    </row>
    <row r="1364" spans="7:7" x14ac:dyDescent="0.25">
      <c r="G1364"/>
    </row>
    <row r="1365" spans="7:7" x14ac:dyDescent="0.25">
      <c r="G1365"/>
    </row>
    <row r="1366" spans="7:7" x14ac:dyDescent="0.25">
      <c r="G1366"/>
    </row>
    <row r="1367" spans="7:7" x14ac:dyDescent="0.25">
      <c r="G1367"/>
    </row>
    <row r="1368" spans="7:7" x14ac:dyDescent="0.25">
      <c r="G1368"/>
    </row>
    <row r="1369" spans="7:7" x14ac:dyDescent="0.25">
      <c r="G1369"/>
    </row>
    <row r="1370" spans="7:7" x14ac:dyDescent="0.25">
      <c r="G1370"/>
    </row>
    <row r="1371" spans="7:7" x14ac:dyDescent="0.25">
      <c r="G1371"/>
    </row>
    <row r="1372" spans="7:7" x14ac:dyDescent="0.25">
      <c r="G1372"/>
    </row>
    <row r="1373" spans="7:7" x14ac:dyDescent="0.25">
      <c r="G1373"/>
    </row>
    <row r="1374" spans="7:7" x14ac:dyDescent="0.25">
      <c r="G1374"/>
    </row>
    <row r="1375" spans="7:7" x14ac:dyDescent="0.25">
      <c r="G1375"/>
    </row>
    <row r="1376" spans="7:7" x14ac:dyDescent="0.25">
      <c r="G1376"/>
    </row>
    <row r="1377" spans="7:7" x14ac:dyDescent="0.25">
      <c r="G1377"/>
    </row>
    <row r="1378" spans="7:7" x14ac:dyDescent="0.25">
      <c r="G1378"/>
    </row>
    <row r="1379" spans="7:7" x14ac:dyDescent="0.25">
      <c r="G1379"/>
    </row>
    <row r="1380" spans="7:7" x14ac:dyDescent="0.25">
      <c r="G1380"/>
    </row>
    <row r="1381" spans="7:7" x14ac:dyDescent="0.25">
      <c r="G1381"/>
    </row>
    <row r="1382" spans="7:7" x14ac:dyDescent="0.25">
      <c r="G1382"/>
    </row>
    <row r="1383" spans="7:7" x14ac:dyDescent="0.25">
      <c r="G1383"/>
    </row>
    <row r="1384" spans="7:7" x14ac:dyDescent="0.25">
      <c r="G1384"/>
    </row>
    <row r="1385" spans="7:7" x14ac:dyDescent="0.25">
      <c r="G1385"/>
    </row>
    <row r="1386" spans="7:7" x14ac:dyDescent="0.25">
      <c r="G1386"/>
    </row>
    <row r="1387" spans="7:7" x14ac:dyDescent="0.25">
      <c r="G1387"/>
    </row>
    <row r="1388" spans="7:7" x14ac:dyDescent="0.25">
      <c r="G1388"/>
    </row>
    <row r="1389" spans="7:7" x14ac:dyDescent="0.25">
      <c r="G1389"/>
    </row>
    <row r="1390" spans="7:7" x14ac:dyDescent="0.25">
      <c r="G1390"/>
    </row>
    <row r="1391" spans="7:7" x14ac:dyDescent="0.25">
      <c r="G1391"/>
    </row>
    <row r="1392" spans="7:7" x14ac:dyDescent="0.25">
      <c r="G1392"/>
    </row>
    <row r="1393" spans="7:7" x14ac:dyDescent="0.25">
      <c r="G1393"/>
    </row>
    <row r="1394" spans="7:7" x14ac:dyDescent="0.25">
      <c r="G1394"/>
    </row>
    <row r="1395" spans="7:7" x14ac:dyDescent="0.25">
      <c r="G1395"/>
    </row>
    <row r="1396" spans="7:7" x14ac:dyDescent="0.25">
      <c r="G1396"/>
    </row>
    <row r="1397" spans="7:7" x14ac:dyDescent="0.25">
      <c r="G1397"/>
    </row>
    <row r="1398" spans="7:7" x14ac:dyDescent="0.25">
      <c r="G1398"/>
    </row>
    <row r="1399" spans="7:7" x14ac:dyDescent="0.25">
      <c r="G1399"/>
    </row>
    <row r="1400" spans="7:7" x14ac:dyDescent="0.25">
      <c r="G1400"/>
    </row>
    <row r="1401" spans="7:7" x14ac:dyDescent="0.25">
      <c r="G1401"/>
    </row>
    <row r="1402" spans="7:7" x14ac:dyDescent="0.25">
      <c r="G1402"/>
    </row>
    <row r="1403" spans="7:7" x14ac:dyDescent="0.25">
      <c r="G1403"/>
    </row>
    <row r="1404" spans="7:7" x14ac:dyDescent="0.25">
      <c r="G1404"/>
    </row>
    <row r="1405" spans="7:7" x14ac:dyDescent="0.25">
      <c r="G1405"/>
    </row>
    <row r="1406" spans="7:7" x14ac:dyDescent="0.25">
      <c r="G1406"/>
    </row>
    <row r="1407" spans="7:7" x14ac:dyDescent="0.25">
      <c r="G1407"/>
    </row>
    <row r="1408" spans="7:7" x14ac:dyDescent="0.25">
      <c r="G1408"/>
    </row>
    <row r="1409" spans="7:7" x14ac:dyDescent="0.25">
      <c r="G1409"/>
    </row>
    <row r="1410" spans="7:7" x14ac:dyDescent="0.25">
      <c r="G1410"/>
    </row>
    <row r="1411" spans="7:7" x14ac:dyDescent="0.25">
      <c r="G1411"/>
    </row>
    <row r="1412" spans="7:7" x14ac:dyDescent="0.25">
      <c r="G1412"/>
    </row>
    <row r="1413" spans="7:7" x14ac:dyDescent="0.25">
      <c r="G1413"/>
    </row>
    <row r="1414" spans="7:7" x14ac:dyDescent="0.25">
      <c r="G1414"/>
    </row>
    <row r="1415" spans="7:7" x14ac:dyDescent="0.25">
      <c r="G1415"/>
    </row>
    <row r="1416" spans="7:7" x14ac:dyDescent="0.25">
      <c r="G1416"/>
    </row>
    <row r="1417" spans="7:7" x14ac:dyDescent="0.25">
      <c r="G1417"/>
    </row>
    <row r="1418" spans="7:7" x14ac:dyDescent="0.25">
      <c r="G1418"/>
    </row>
    <row r="1419" spans="7:7" x14ac:dyDescent="0.25">
      <c r="G1419"/>
    </row>
    <row r="1420" spans="7:7" x14ac:dyDescent="0.25">
      <c r="G1420"/>
    </row>
    <row r="1421" spans="7:7" x14ac:dyDescent="0.25">
      <c r="G1421"/>
    </row>
    <row r="1422" spans="7:7" x14ac:dyDescent="0.25">
      <c r="G1422"/>
    </row>
    <row r="1423" spans="7:7" x14ac:dyDescent="0.25">
      <c r="G1423"/>
    </row>
    <row r="1424" spans="7:7" x14ac:dyDescent="0.25">
      <c r="G1424"/>
    </row>
    <row r="1425" spans="7:7" x14ac:dyDescent="0.25">
      <c r="G1425"/>
    </row>
    <row r="1426" spans="7:7" x14ac:dyDescent="0.25">
      <c r="G1426"/>
    </row>
    <row r="1427" spans="7:7" x14ac:dyDescent="0.25">
      <c r="G1427"/>
    </row>
    <row r="1428" spans="7:7" x14ac:dyDescent="0.25">
      <c r="G1428"/>
    </row>
    <row r="1429" spans="7:7" x14ac:dyDescent="0.25">
      <c r="G1429"/>
    </row>
    <row r="1430" spans="7:7" x14ac:dyDescent="0.25">
      <c r="G1430"/>
    </row>
    <row r="1431" spans="7:7" x14ac:dyDescent="0.25">
      <c r="G1431"/>
    </row>
    <row r="1432" spans="7:7" x14ac:dyDescent="0.25">
      <c r="G1432"/>
    </row>
    <row r="1433" spans="7:7" x14ac:dyDescent="0.25">
      <c r="G1433"/>
    </row>
    <row r="1434" spans="7:7" x14ac:dyDescent="0.25">
      <c r="G1434"/>
    </row>
    <row r="1435" spans="7:7" x14ac:dyDescent="0.25">
      <c r="G1435"/>
    </row>
    <row r="1436" spans="7:7" x14ac:dyDescent="0.25">
      <c r="G1436"/>
    </row>
    <row r="1437" spans="7:7" x14ac:dyDescent="0.25">
      <c r="G1437"/>
    </row>
    <row r="1438" spans="7:7" x14ac:dyDescent="0.25">
      <c r="G1438"/>
    </row>
    <row r="1439" spans="7:7" x14ac:dyDescent="0.25">
      <c r="G1439"/>
    </row>
    <row r="1440" spans="7:7" x14ac:dyDescent="0.25">
      <c r="G1440"/>
    </row>
    <row r="1441" spans="7:7" x14ac:dyDescent="0.25">
      <c r="G1441"/>
    </row>
    <row r="1442" spans="7:7" x14ac:dyDescent="0.25">
      <c r="G1442"/>
    </row>
    <row r="1443" spans="7:7" x14ac:dyDescent="0.25">
      <c r="G1443"/>
    </row>
    <row r="1444" spans="7:7" x14ac:dyDescent="0.25">
      <c r="G1444"/>
    </row>
    <row r="1445" spans="7:7" x14ac:dyDescent="0.25">
      <c r="G1445"/>
    </row>
    <row r="1446" spans="7:7" x14ac:dyDescent="0.25">
      <c r="G1446"/>
    </row>
    <row r="1447" spans="7:7" x14ac:dyDescent="0.25">
      <c r="G1447"/>
    </row>
    <row r="1448" spans="7:7" x14ac:dyDescent="0.25">
      <c r="G1448"/>
    </row>
    <row r="1449" spans="7:7" x14ac:dyDescent="0.25">
      <c r="G1449"/>
    </row>
    <row r="1450" spans="7:7" x14ac:dyDescent="0.25">
      <c r="G1450"/>
    </row>
    <row r="1451" spans="7:7" x14ac:dyDescent="0.25">
      <c r="G1451"/>
    </row>
    <row r="1452" spans="7:7" x14ac:dyDescent="0.25">
      <c r="G1452"/>
    </row>
    <row r="1453" spans="7:7" x14ac:dyDescent="0.25">
      <c r="G1453"/>
    </row>
    <row r="1454" spans="7:7" x14ac:dyDescent="0.25">
      <c r="G1454"/>
    </row>
    <row r="1455" spans="7:7" x14ac:dyDescent="0.25">
      <c r="G1455"/>
    </row>
    <row r="1456" spans="7:7" x14ac:dyDescent="0.25">
      <c r="G1456"/>
    </row>
    <row r="1457" spans="7:7" x14ac:dyDescent="0.25">
      <c r="G1457"/>
    </row>
    <row r="1458" spans="7:7" x14ac:dyDescent="0.25">
      <c r="G1458"/>
    </row>
    <row r="1459" spans="7:7" x14ac:dyDescent="0.25">
      <c r="G1459"/>
    </row>
    <row r="1460" spans="7:7" x14ac:dyDescent="0.25">
      <c r="G1460"/>
    </row>
    <row r="1461" spans="7:7" x14ac:dyDescent="0.25">
      <c r="G1461"/>
    </row>
    <row r="1462" spans="7:7" x14ac:dyDescent="0.25">
      <c r="G1462"/>
    </row>
    <row r="1463" spans="7:7" x14ac:dyDescent="0.25">
      <c r="G1463"/>
    </row>
    <row r="1464" spans="7:7" x14ac:dyDescent="0.25">
      <c r="G1464"/>
    </row>
    <row r="1465" spans="7:7" x14ac:dyDescent="0.25">
      <c r="G1465"/>
    </row>
    <row r="1466" spans="7:7" x14ac:dyDescent="0.25">
      <c r="G1466"/>
    </row>
    <row r="1467" spans="7:7" x14ac:dyDescent="0.25">
      <c r="G1467"/>
    </row>
    <row r="1468" spans="7:7" x14ac:dyDescent="0.25">
      <c r="G1468"/>
    </row>
    <row r="1469" spans="7:7" x14ac:dyDescent="0.25">
      <c r="G1469"/>
    </row>
    <row r="1470" spans="7:7" x14ac:dyDescent="0.25">
      <c r="G1470"/>
    </row>
    <row r="1471" spans="7:7" x14ac:dyDescent="0.25">
      <c r="G1471"/>
    </row>
    <row r="1472" spans="7:7" x14ac:dyDescent="0.25">
      <c r="G1472"/>
    </row>
    <row r="1473" spans="7:7" x14ac:dyDescent="0.25">
      <c r="G1473"/>
    </row>
    <row r="1474" spans="7:7" x14ac:dyDescent="0.25">
      <c r="G1474"/>
    </row>
    <row r="1475" spans="7:7" x14ac:dyDescent="0.25">
      <c r="G1475"/>
    </row>
    <row r="1476" spans="7:7" x14ac:dyDescent="0.25">
      <c r="G1476"/>
    </row>
    <row r="1477" spans="7:7" x14ac:dyDescent="0.25">
      <c r="G1477"/>
    </row>
    <row r="1478" spans="7:7" x14ac:dyDescent="0.25">
      <c r="G1478"/>
    </row>
    <row r="1479" spans="7:7" x14ac:dyDescent="0.25">
      <c r="G1479"/>
    </row>
    <row r="1480" spans="7:7" x14ac:dyDescent="0.25">
      <c r="G1480"/>
    </row>
    <row r="1481" spans="7:7" x14ac:dyDescent="0.25">
      <c r="G1481"/>
    </row>
    <row r="1482" spans="7:7" x14ac:dyDescent="0.25">
      <c r="G1482"/>
    </row>
    <row r="1483" spans="7:7" x14ac:dyDescent="0.25">
      <c r="G1483"/>
    </row>
    <row r="1484" spans="7:7" x14ac:dyDescent="0.25">
      <c r="G1484"/>
    </row>
    <row r="1485" spans="7:7" x14ac:dyDescent="0.25">
      <c r="G1485"/>
    </row>
    <row r="1486" spans="7:7" x14ac:dyDescent="0.25">
      <c r="G1486"/>
    </row>
    <row r="1487" spans="7:7" x14ac:dyDescent="0.25">
      <c r="G1487"/>
    </row>
    <row r="1488" spans="7:7" x14ac:dyDescent="0.25">
      <c r="G1488"/>
    </row>
    <row r="1489" spans="7:7" x14ac:dyDescent="0.25">
      <c r="G1489"/>
    </row>
    <row r="1490" spans="7:7" x14ac:dyDescent="0.25">
      <c r="G1490"/>
    </row>
    <row r="1491" spans="7:7" x14ac:dyDescent="0.25">
      <c r="G1491"/>
    </row>
    <row r="1492" spans="7:7" x14ac:dyDescent="0.25">
      <c r="G1492"/>
    </row>
    <row r="1493" spans="7:7" x14ac:dyDescent="0.25">
      <c r="G1493"/>
    </row>
    <row r="1494" spans="7:7" x14ac:dyDescent="0.25">
      <c r="G1494"/>
    </row>
    <row r="1495" spans="7:7" x14ac:dyDescent="0.25">
      <c r="G1495"/>
    </row>
    <row r="1496" spans="7:7" x14ac:dyDescent="0.25">
      <c r="G1496"/>
    </row>
    <row r="1497" spans="7:7" x14ac:dyDescent="0.25">
      <c r="G1497"/>
    </row>
    <row r="1498" spans="7:7" x14ac:dyDescent="0.25">
      <c r="G1498"/>
    </row>
    <row r="1499" spans="7:7" x14ac:dyDescent="0.25">
      <c r="G1499"/>
    </row>
    <row r="1500" spans="7:7" x14ac:dyDescent="0.25">
      <c r="G1500"/>
    </row>
    <row r="1501" spans="7:7" x14ac:dyDescent="0.25">
      <c r="G1501"/>
    </row>
    <row r="1502" spans="7:7" x14ac:dyDescent="0.25">
      <c r="G1502"/>
    </row>
    <row r="1503" spans="7:7" x14ac:dyDescent="0.25">
      <c r="G1503"/>
    </row>
    <row r="1504" spans="7:7" x14ac:dyDescent="0.25">
      <c r="G1504"/>
    </row>
    <row r="1505" spans="7:7" x14ac:dyDescent="0.25">
      <c r="G1505"/>
    </row>
    <row r="1506" spans="7:7" x14ac:dyDescent="0.25">
      <c r="G1506"/>
    </row>
    <row r="1507" spans="7:7" x14ac:dyDescent="0.25">
      <c r="G1507"/>
    </row>
    <row r="1508" spans="7:7" x14ac:dyDescent="0.25">
      <c r="G1508"/>
    </row>
    <row r="1509" spans="7:7" x14ac:dyDescent="0.25">
      <c r="G1509"/>
    </row>
    <row r="1510" spans="7:7" x14ac:dyDescent="0.25">
      <c r="G1510"/>
    </row>
    <row r="1511" spans="7:7" x14ac:dyDescent="0.25">
      <c r="G1511"/>
    </row>
    <row r="1512" spans="7:7" x14ac:dyDescent="0.25">
      <c r="G1512"/>
    </row>
    <row r="1513" spans="7:7" x14ac:dyDescent="0.25">
      <c r="G1513"/>
    </row>
    <row r="1514" spans="7:7" x14ac:dyDescent="0.25">
      <c r="G1514"/>
    </row>
    <row r="1515" spans="7:7" x14ac:dyDescent="0.25">
      <c r="G1515"/>
    </row>
    <row r="1516" spans="7:7" x14ac:dyDescent="0.25">
      <c r="G1516"/>
    </row>
    <row r="1517" spans="7:7" x14ac:dyDescent="0.25">
      <c r="G1517"/>
    </row>
    <row r="1518" spans="7:7" x14ac:dyDescent="0.25">
      <c r="G1518"/>
    </row>
    <row r="1519" spans="7:7" x14ac:dyDescent="0.25">
      <c r="G1519"/>
    </row>
    <row r="1520" spans="7:7" x14ac:dyDescent="0.25">
      <c r="G1520"/>
    </row>
    <row r="1521" spans="7:7" x14ac:dyDescent="0.25">
      <c r="G1521"/>
    </row>
    <row r="1522" spans="7:7" x14ac:dyDescent="0.25">
      <c r="G1522"/>
    </row>
    <row r="1523" spans="7:7" x14ac:dyDescent="0.25">
      <c r="G1523"/>
    </row>
    <row r="1524" spans="7:7" x14ac:dyDescent="0.25">
      <c r="G1524"/>
    </row>
    <row r="1525" spans="7:7" x14ac:dyDescent="0.25">
      <c r="G1525"/>
    </row>
    <row r="1526" spans="7:7" x14ac:dyDescent="0.25">
      <c r="G1526"/>
    </row>
    <row r="1527" spans="7:7" x14ac:dyDescent="0.25">
      <c r="G1527"/>
    </row>
    <row r="1528" spans="7:7" x14ac:dyDescent="0.25">
      <c r="G1528"/>
    </row>
    <row r="1529" spans="7:7" x14ac:dyDescent="0.25">
      <c r="G1529"/>
    </row>
    <row r="1530" spans="7:7" x14ac:dyDescent="0.25">
      <c r="G1530"/>
    </row>
    <row r="1531" spans="7:7" x14ac:dyDescent="0.25">
      <c r="G1531"/>
    </row>
    <row r="1532" spans="7:7" x14ac:dyDescent="0.25">
      <c r="G1532"/>
    </row>
    <row r="1533" spans="7:7" x14ac:dyDescent="0.25">
      <c r="G1533"/>
    </row>
    <row r="1534" spans="7:7" x14ac:dyDescent="0.25">
      <c r="G1534"/>
    </row>
    <row r="1535" spans="7:7" x14ac:dyDescent="0.25">
      <c r="G1535"/>
    </row>
    <row r="1536" spans="7:7" x14ac:dyDescent="0.25">
      <c r="G1536"/>
    </row>
    <row r="1537" spans="7:7" x14ac:dyDescent="0.25">
      <c r="G1537"/>
    </row>
    <row r="1538" spans="7:7" x14ac:dyDescent="0.25">
      <c r="G1538"/>
    </row>
    <row r="1539" spans="7:7" x14ac:dyDescent="0.25">
      <c r="G1539"/>
    </row>
    <row r="1540" spans="7:7" x14ac:dyDescent="0.25">
      <c r="G1540"/>
    </row>
    <row r="1541" spans="7:7" x14ac:dyDescent="0.25">
      <c r="G1541"/>
    </row>
    <row r="1542" spans="7:7" x14ac:dyDescent="0.25">
      <c r="G1542"/>
    </row>
    <row r="1543" spans="7:7" x14ac:dyDescent="0.25">
      <c r="G1543"/>
    </row>
    <row r="1544" spans="7:7" x14ac:dyDescent="0.25">
      <c r="G1544"/>
    </row>
    <row r="1545" spans="7:7" x14ac:dyDescent="0.25">
      <c r="G1545"/>
    </row>
    <row r="1546" spans="7:7" x14ac:dyDescent="0.25">
      <c r="G1546"/>
    </row>
    <row r="1547" spans="7:7" x14ac:dyDescent="0.25">
      <c r="G1547"/>
    </row>
    <row r="1548" spans="7:7" x14ac:dyDescent="0.25">
      <c r="G1548"/>
    </row>
    <row r="1549" spans="7:7" x14ac:dyDescent="0.25">
      <c r="G1549"/>
    </row>
    <row r="1550" spans="7:7" x14ac:dyDescent="0.25">
      <c r="G1550"/>
    </row>
    <row r="1551" spans="7:7" x14ac:dyDescent="0.25">
      <c r="G1551"/>
    </row>
    <row r="1552" spans="7:7" x14ac:dyDescent="0.25">
      <c r="G1552"/>
    </row>
    <row r="1553" spans="7:7" x14ac:dyDescent="0.25">
      <c r="G1553"/>
    </row>
    <row r="1554" spans="7:7" x14ac:dyDescent="0.25">
      <c r="G1554"/>
    </row>
    <row r="1555" spans="7:7" x14ac:dyDescent="0.25">
      <c r="G1555"/>
    </row>
    <row r="1556" spans="7:7" x14ac:dyDescent="0.25">
      <c r="G1556"/>
    </row>
    <row r="1557" spans="7:7" x14ac:dyDescent="0.25">
      <c r="G1557"/>
    </row>
    <row r="1558" spans="7:7" x14ac:dyDescent="0.25">
      <c r="G1558"/>
    </row>
    <row r="1559" spans="7:7" x14ac:dyDescent="0.25">
      <c r="G1559"/>
    </row>
    <row r="1560" spans="7:7" x14ac:dyDescent="0.25">
      <c r="G1560"/>
    </row>
    <row r="1561" spans="7:7" x14ac:dyDescent="0.25">
      <c r="G1561"/>
    </row>
    <row r="1562" spans="7:7" x14ac:dyDescent="0.25">
      <c r="G1562"/>
    </row>
    <row r="1563" spans="7:7" x14ac:dyDescent="0.25">
      <c r="G1563"/>
    </row>
    <row r="1564" spans="7:7" x14ac:dyDescent="0.25">
      <c r="G1564"/>
    </row>
    <row r="1565" spans="7:7" x14ac:dyDescent="0.25">
      <c r="G1565"/>
    </row>
    <row r="1566" spans="7:7" x14ac:dyDescent="0.25">
      <c r="G1566"/>
    </row>
    <row r="1567" spans="7:7" x14ac:dyDescent="0.25">
      <c r="G1567"/>
    </row>
    <row r="1568" spans="7:7" x14ac:dyDescent="0.25">
      <c r="G1568"/>
    </row>
    <row r="1569" spans="7:7" x14ac:dyDescent="0.25">
      <c r="G1569"/>
    </row>
    <row r="1570" spans="7:7" x14ac:dyDescent="0.25">
      <c r="G1570"/>
    </row>
    <row r="1571" spans="7:7" x14ac:dyDescent="0.25">
      <c r="G1571"/>
    </row>
    <row r="1572" spans="7:7" x14ac:dyDescent="0.25">
      <c r="G1572"/>
    </row>
    <row r="1573" spans="7:7" x14ac:dyDescent="0.25">
      <c r="G1573"/>
    </row>
    <row r="1574" spans="7:7" x14ac:dyDescent="0.25">
      <c r="G1574"/>
    </row>
    <row r="1575" spans="7:7" x14ac:dyDescent="0.25">
      <c r="G1575"/>
    </row>
    <row r="1576" spans="7:7" x14ac:dyDescent="0.25">
      <c r="G1576"/>
    </row>
    <row r="1577" spans="7:7" x14ac:dyDescent="0.25">
      <c r="G1577"/>
    </row>
    <row r="1578" spans="7:7" x14ac:dyDescent="0.25">
      <c r="G1578"/>
    </row>
    <row r="1579" spans="7:7" x14ac:dyDescent="0.25">
      <c r="G1579"/>
    </row>
    <row r="1580" spans="7:7" x14ac:dyDescent="0.25">
      <c r="G1580"/>
    </row>
    <row r="1581" spans="7:7" x14ac:dyDescent="0.25">
      <c r="G1581"/>
    </row>
    <row r="1582" spans="7:7" x14ac:dyDescent="0.25">
      <c r="G1582"/>
    </row>
    <row r="1583" spans="7:7" x14ac:dyDescent="0.25">
      <c r="G1583"/>
    </row>
    <row r="1584" spans="7:7" x14ac:dyDescent="0.25">
      <c r="G1584"/>
    </row>
    <row r="1585" spans="7:7" x14ac:dyDescent="0.25">
      <c r="G1585"/>
    </row>
    <row r="1586" spans="7:7" x14ac:dyDescent="0.25">
      <c r="G1586"/>
    </row>
    <row r="1587" spans="7:7" x14ac:dyDescent="0.25">
      <c r="G1587"/>
    </row>
    <row r="1588" spans="7:7" x14ac:dyDescent="0.25">
      <c r="G1588"/>
    </row>
    <row r="1589" spans="7:7" x14ac:dyDescent="0.25">
      <c r="G1589"/>
    </row>
    <row r="1590" spans="7:7" x14ac:dyDescent="0.25">
      <c r="G1590"/>
    </row>
    <row r="1591" spans="7:7" x14ac:dyDescent="0.25">
      <c r="G1591"/>
    </row>
    <row r="1592" spans="7:7" x14ac:dyDescent="0.25">
      <c r="G1592"/>
    </row>
    <row r="1593" spans="7:7" x14ac:dyDescent="0.25">
      <c r="G1593"/>
    </row>
    <row r="1594" spans="7:7" x14ac:dyDescent="0.25">
      <c r="G1594"/>
    </row>
    <row r="1595" spans="7:7" x14ac:dyDescent="0.25">
      <c r="G1595"/>
    </row>
    <row r="1596" spans="7:7" x14ac:dyDescent="0.25">
      <c r="G1596"/>
    </row>
    <row r="1597" spans="7:7" x14ac:dyDescent="0.25">
      <c r="G1597"/>
    </row>
    <row r="1598" spans="7:7" x14ac:dyDescent="0.25">
      <c r="G1598"/>
    </row>
    <row r="1599" spans="7:7" x14ac:dyDescent="0.25">
      <c r="G1599"/>
    </row>
    <row r="1600" spans="7:7" x14ac:dyDescent="0.25">
      <c r="G1600"/>
    </row>
    <row r="1601" spans="7:7" x14ac:dyDescent="0.25">
      <c r="G1601"/>
    </row>
    <row r="1602" spans="7:7" x14ac:dyDescent="0.25">
      <c r="G1602"/>
    </row>
    <row r="1603" spans="7:7" x14ac:dyDescent="0.25">
      <c r="G1603"/>
    </row>
    <row r="1604" spans="7:7" x14ac:dyDescent="0.25">
      <c r="G1604"/>
    </row>
    <row r="1605" spans="7:7" x14ac:dyDescent="0.25">
      <c r="G1605"/>
    </row>
    <row r="1606" spans="7:7" x14ac:dyDescent="0.25">
      <c r="G1606"/>
    </row>
    <row r="1607" spans="7:7" x14ac:dyDescent="0.25">
      <c r="G1607"/>
    </row>
    <row r="1608" spans="7:7" x14ac:dyDescent="0.25">
      <c r="G1608"/>
    </row>
    <row r="1609" spans="7:7" x14ac:dyDescent="0.25">
      <c r="G1609"/>
    </row>
    <row r="1610" spans="7:7" x14ac:dyDescent="0.25">
      <c r="G1610"/>
    </row>
    <row r="1611" spans="7:7" x14ac:dyDescent="0.25">
      <c r="G1611"/>
    </row>
    <row r="1612" spans="7:7" x14ac:dyDescent="0.25">
      <c r="G1612"/>
    </row>
    <row r="1613" spans="7:7" x14ac:dyDescent="0.25">
      <c r="G1613"/>
    </row>
    <row r="1614" spans="7:7" x14ac:dyDescent="0.25">
      <c r="G1614"/>
    </row>
    <row r="1615" spans="7:7" x14ac:dyDescent="0.25">
      <c r="G1615"/>
    </row>
    <row r="1616" spans="7:7" x14ac:dyDescent="0.25">
      <c r="G1616"/>
    </row>
    <row r="1617" spans="7:7" x14ac:dyDescent="0.25">
      <c r="G1617"/>
    </row>
    <row r="1618" spans="7:7" x14ac:dyDescent="0.25">
      <c r="G1618"/>
    </row>
    <row r="1619" spans="7:7" x14ac:dyDescent="0.25">
      <c r="G1619"/>
    </row>
    <row r="1620" spans="7:7" x14ac:dyDescent="0.25">
      <c r="G1620"/>
    </row>
    <row r="1621" spans="7:7" x14ac:dyDescent="0.25">
      <c r="G1621"/>
    </row>
    <row r="1622" spans="7:7" x14ac:dyDescent="0.25">
      <c r="G1622"/>
    </row>
    <row r="1623" spans="7:7" x14ac:dyDescent="0.25">
      <c r="G1623"/>
    </row>
    <row r="1624" spans="7:7" x14ac:dyDescent="0.25">
      <c r="G1624"/>
    </row>
    <row r="1625" spans="7:7" x14ac:dyDescent="0.25">
      <c r="G1625"/>
    </row>
    <row r="1626" spans="7:7" x14ac:dyDescent="0.25">
      <c r="G1626"/>
    </row>
    <row r="1627" spans="7:7" x14ac:dyDescent="0.25">
      <c r="G1627"/>
    </row>
    <row r="1628" spans="7:7" x14ac:dyDescent="0.25">
      <c r="G1628"/>
    </row>
    <row r="1629" spans="7:7" x14ac:dyDescent="0.25">
      <c r="G1629"/>
    </row>
    <row r="1630" spans="7:7" x14ac:dyDescent="0.25">
      <c r="G1630"/>
    </row>
    <row r="1631" spans="7:7" x14ac:dyDescent="0.25">
      <c r="G1631"/>
    </row>
    <row r="1632" spans="7:7" x14ac:dyDescent="0.25">
      <c r="G1632"/>
    </row>
    <row r="1633" spans="7:7" x14ac:dyDescent="0.25">
      <c r="G1633"/>
    </row>
    <row r="1634" spans="7:7" x14ac:dyDescent="0.25">
      <c r="G1634"/>
    </row>
    <row r="1635" spans="7:7" x14ac:dyDescent="0.25">
      <c r="G1635"/>
    </row>
    <row r="1636" spans="7:7" x14ac:dyDescent="0.25">
      <c r="G1636"/>
    </row>
    <row r="1637" spans="7:7" x14ac:dyDescent="0.25">
      <c r="G1637"/>
    </row>
    <row r="1638" spans="7:7" x14ac:dyDescent="0.25">
      <c r="G1638"/>
    </row>
    <row r="1639" spans="7:7" x14ac:dyDescent="0.25">
      <c r="G1639"/>
    </row>
    <row r="1640" spans="7:7" x14ac:dyDescent="0.25">
      <c r="G1640"/>
    </row>
    <row r="1641" spans="7:7" x14ac:dyDescent="0.25">
      <c r="G1641"/>
    </row>
    <row r="1642" spans="7:7" x14ac:dyDescent="0.25">
      <c r="G1642"/>
    </row>
    <row r="1643" spans="7:7" x14ac:dyDescent="0.25">
      <c r="G1643"/>
    </row>
    <row r="1644" spans="7:7" x14ac:dyDescent="0.25">
      <c r="G1644"/>
    </row>
    <row r="1645" spans="7:7" x14ac:dyDescent="0.25">
      <c r="G1645"/>
    </row>
    <row r="1646" spans="7:7" x14ac:dyDescent="0.25">
      <c r="G1646"/>
    </row>
    <row r="1647" spans="7:7" x14ac:dyDescent="0.25">
      <c r="G1647"/>
    </row>
    <row r="1648" spans="7:7" x14ac:dyDescent="0.25">
      <c r="G1648"/>
    </row>
    <row r="1649" spans="7:7" x14ac:dyDescent="0.25">
      <c r="G1649"/>
    </row>
    <row r="1650" spans="7:7" x14ac:dyDescent="0.25">
      <c r="G1650"/>
    </row>
    <row r="1651" spans="7:7" x14ac:dyDescent="0.25">
      <c r="G1651"/>
    </row>
    <row r="1652" spans="7:7" x14ac:dyDescent="0.25">
      <c r="G1652"/>
    </row>
    <row r="1653" spans="7:7" x14ac:dyDescent="0.25">
      <c r="G1653"/>
    </row>
    <row r="1654" spans="7:7" x14ac:dyDescent="0.25">
      <c r="G1654"/>
    </row>
    <row r="1655" spans="7:7" x14ac:dyDescent="0.25">
      <c r="G1655"/>
    </row>
    <row r="1656" spans="7:7" x14ac:dyDescent="0.25">
      <c r="G1656"/>
    </row>
    <row r="1657" spans="7:7" x14ac:dyDescent="0.25">
      <c r="G1657"/>
    </row>
    <row r="1658" spans="7:7" x14ac:dyDescent="0.25">
      <c r="G1658"/>
    </row>
    <row r="1659" spans="7:7" x14ac:dyDescent="0.25">
      <c r="G1659"/>
    </row>
    <row r="1660" spans="7:7" x14ac:dyDescent="0.25">
      <c r="G1660"/>
    </row>
    <row r="1661" spans="7:7" x14ac:dyDescent="0.25">
      <c r="G1661"/>
    </row>
    <row r="1662" spans="7:7" x14ac:dyDescent="0.25">
      <c r="G1662"/>
    </row>
    <row r="1663" spans="7:7" x14ac:dyDescent="0.25">
      <c r="G1663"/>
    </row>
    <row r="1664" spans="7:7" x14ac:dyDescent="0.25">
      <c r="G1664"/>
    </row>
    <row r="1665" spans="7:7" x14ac:dyDescent="0.25">
      <c r="G1665"/>
    </row>
    <row r="1666" spans="7:7" x14ac:dyDescent="0.25">
      <c r="G1666"/>
    </row>
    <row r="1667" spans="7:7" x14ac:dyDescent="0.25">
      <c r="G1667"/>
    </row>
    <row r="1668" spans="7:7" x14ac:dyDescent="0.25">
      <c r="G1668"/>
    </row>
    <row r="1669" spans="7:7" x14ac:dyDescent="0.25">
      <c r="G1669"/>
    </row>
    <row r="1670" spans="7:7" x14ac:dyDescent="0.25">
      <c r="G1670"/>
    </row>
    <row r="1671" spans="7:7" x14ac:dyDescent="0.25">
      <c r="G1671"/>
    </row>
    <row r="1672" spans="7:7" x14ac:dyDescent="0.25">
      <c r="G1672"/>
    </row>
    <row r="1673" spans="7:7" x14ac:dyDescent="0.25">
      <c r="G1673"/>
    </row>
    <row r="1674" spans="7:7" x14ac:dyDescent="0.25">
      <c r="G1674"/>
    </row>
    <row r="1675" spans="7:7" x14ac:dyDescent="0.25">
      <c r="G1675"/>
    </row>
    <row r="1676" spans="7:7" x14ac:dyDescent="0.25">
      <c r="G1676"/>
    </row>
    <row r="1677" spans="7:7" x14ac:dyDescent="0.25">
      <c r="G1677"/>
    </row>
    <row r="1678" spans="7:7" x14ac:dyDescent="0.25">
      <c r="G1678"/>
    </row>
    <row r="1679" spans="7:7" x14ac:dyDescent="0.25">
      <c r="G1679"/>
    </row>
    <row r="1680" spans="7:7" x14ac:dyDescent="0.25">
      <c r="G1680"/>
    </row>
    <row r="1681" spans="7:7" x14ac:dyDescent="0.25">
      <c r="G1681"/>
    </row>
    <row r="1682" spans="7:7" x14ac:dyDescent="0.25">
      <c r="G1682"/>
    </row>
    <row r="1683" spans="7:7" x14ac:dyDescent="0.25">
      <c r="G1683"/>
    </row>
    <row r="1684" spans="7:7" x14ac:dyDescent="0.25">
      <c r="G1684"/>
    </row>
    <row r="1685" spans="7:7" x14ac:dyDescent="0.25">
      <c r="G1685"/>
    </row>
    <row r="1686" spans="7:7" x14ac:dyDescent="0.25">
      <c r="G1686"/>
    </row>
    <row r="1687" spans="7:7" x14ac:dyDescent="0.25">
      <c r="G1687"/>
    </row>
    <row r="1688" spans="7:7" x14ac:dyDescent="0.25">
      <c r="G1688"/>
    </row>
    <row r="1689" spans="7:7" x14ac:dyDescent="0.25">
      <c r="G1689"/>
    </row>
    <row r="1690" spans="7:7" x14ac:dyDescent="0.25">
      <c r="G1690"/>
    </row>
    <row r="1691" spans="7:7" x14ac:dyDescent="0.25">
      <c r="G1691"/>
    </row>
    <row r="1692" spans="7:7" x14ac:dyDescent="0.25">
      <c r="G1692"/>
    </row>
    <row r="1693" spans="7:7" x14ac:dyDescent="0.25">
      <c r="G1693"/>
    </row>
    <row r="1694" spans="7:7" x14ac:dyDescent="0.25">
      <c r="G1694"/>
    </row>
    <row r="1695" spans="7:7" x14ac:dyDescent="0.25">
      <c r="G1695"/>
    </row>
    <row r="1696" spans="7:7" x14ac:dyDescent="0.25">
      <c r="G1696"/>
    </row>
    <row r="1697" spans="7:7" x14ac:dyDescent="0.25">
      <c r="G1697"/>
    </row>
    <row r="1698" spans="7:7" x14ac:dyDescent="0.25">
      <c r="G1698"/>
    </row>
    <row r="1699" spans="7:7" x14ac:dyDescent="0.25">
      <c r="G1699"/>
    </row>
    <row r="1700" spans="7:7" x14ac:dyDescent="0.25">
      <c r="G1700"/>
    </row>
    <row r="1701" spans="7:7" x14ac:dyDescent="0.25">
      <c r="G1701"/>
    </row>
    <row r="1702" spans="7:7" x14ac:dyDescent="0.25">
      <c r="G1702"/>
    </row>
    <row r="1703" spans="7:7" x14ac:dyDescent="0.25">
      <c r="G1703"/>
    </row>
    <row r="1704" spans="7:7" x14ac:dyDescent="0.25">
      <c r="G1704"/>
    </row>
    <row r="1705" spans="7:7" x14ac:dyDescent="0.25">
      <c r="G1705"/>
    </row>
    <row r="1706" spans="7:7" x14ac:dyDescent="0.25">
      <c r="G1706"/>
    </row>
    <row r="1707" spans="7:7" x14ac:dyDescent="0.25">
      <c r="G1707"/>
    </row>
    <row r="1708" spans="7:7" x14ac:dyDescent="0.25">
      <c r="G1708"/>
    </row>
    <row r="1709" spans="7:7" x14ac:dyDescent="0.25">
      <c r="G1709"/>
    </row>
    <row r="1710" spans="7:7" x14ac:dyDescent="0.25">
      <c r="G1710"/>
    </row>
    <row r="1711" spans="7:7" x14ac:dyDescent="0.25">
      <c r="G1711"/>
    </row>
    <row r="1712" spans="7:7" x14ac:dyDescent="0.25">
      <c r="G1712"/>
    </row>
    <row r="1713" spans="7:7" x14ac:dyDescent="0.25">
      <c r="G1713"/>
    </row>
    <row r="1714" spans="7:7" x14ac:dyDescent="0.25">
      <c r="G1714"/>
    </row>
    <row r="1715" spans="7:7" x14ac:dyDescent="0.25">
      <c r="G1715"/>
    </row>
    <row r="1716" spans="7:7" x14ac:dyDescent="0.25">
      <c r="G1716"/>
    </row>
    <row r="1717" spans="7:7" x14ac:dyDescent="0.25">
      <c r="G1717"/>
    </row>
    <row r="1718" spans="7:7" x14ac:dyDescent="0.25">
      <c r="G1718"/>
    </row>
    <row r="1719" spans="7:7" x14ac:dyDescent="0.25">
      <c r="G1719"/>
    </row>
    <row r="1720" spans="7:7" x14ac:dyDescent="0.25">
      <c r="G1720"/>
    </row>
    <row r="1721" spans="7:7" x14ac:dyDescent="0.25">
      <c r="G1721"/>
    </row>
    <row r="1722" spans="7:7" x14ac:dyDescent="0.25">
      <c r="G1722"/>
    </row>
    <row r="1723" spans="7:7" x14ac:dyDescent="0.25">
      <c r="G1723"/>
    </row>
    <row r="1724" spans="7:7" x14ac:dyDescent="0.25">
      <c r="G1724"/>
    </row>
    <row r="1725" spans="7:7" x14ac:dyDescent="0.25">
      <c r="G1725"/>
    </row>
    <row r="1726" spans="7:7" x14ac:dyDescent="0.25">
      <c r="G1726"/>
    </row>
    <row r="1727" spans="7:7" x14ac:dyDescent="0.25">
      <c r="G1727"/>
    </row>
    <row r="1728" spans="7:7" x14ac:dyDescent="0.25">
      <c r="G1728"/>
    </row>
    <row r="1729" spans="7:7" x14ac:dyDescent="0.25">
      <c r="G1729"/>
    </row>
    <row r="1730" spans="7:7" x14ac:dyDescent="0.25">
      <c r="G1730"/>
    </row>
    <row r="1731" spans="7:7" x14ac:dyDescent="0.25">
      <c r="G1731"/>
    </row>
    <row r="1732" spans="7:7" x14ac:dyDescent="0.25">
      <c r="G1732"/>
    </row>
    <row r="1733" spans="7:7" x14ac:dyDescent="0.25">
      <c r="G1733"/>
    </row>
    <row r="1734" spans="7:7" x14ac:dyDescent="0.25">
      <c r="G1734"/>
    </row>
    <row r="1735" spans="7:7" x14ac:dyDescent="0.25">
      <c r="G1735"/>
    </row>
    <row r="1736" spans="7:7" x14ac:dyDescent="0.25">
      <c r="G1736"/>
    </row>
    <row r="1737" spans="7:7" x14ac:dyDescent="0.25">
      <c r="G1737"/>
    </row>
    <row r="1738" spans="7:7" x14ac:dyDescent="0.25">
      <c r="G1738"/>
    </row>
    <row r="1739" spans="7:7" x14ac:dyDescent="0.25">
      <c r="G1739"/>
    </row>
    <row r="1740" spans="7:7" x14ac:dyDescent="0.25">
      <c r="G1740"/>
    </row>
    <row r="1741" spans="7:7" x14ac:dyDescent="0.25">
      <c r="G1741"/>
    </row>
    <row r="1742" spans="7:7" x14ac:dyDescent="0.25">
      <c r="G1742"/>
    </row>
    <row r="1743" spans="7:7" x14ac:dyDescent="0.25">
      <c r="G1743"/>
    </row>
    <row r="1744" spans="7:7" x14ac:dyDescent="0.25">
      <c r="G1744"/>
    </row>
    <row r="1745" spans="7:7" x14ac:dyDescent="0.25">
      <c r="G1745"/>
    </row>
    <row r="1746" spans="7:7" x14ac:dyDescent="0.25">
      <c r="G1746"/>
    </row>
    <row r="1747" spans="7:7" x14ac:dyDescent="0.25">
      <c r="G1747"/>
    </row>
    <row r="1748" spans="7:7" x14ac:dyDescent="0.25">
      <c r="G1748"/>
    </row>
    <row r="1749" spans="7:7" x14ac:dyDescent="0.25">
      <c r="G1749"/>
    </row>
    <row r="1750" spans="7:7" x14ac:dyDescent="0.25">
      <c r="G1750"/>
    </row>
    <row r="1751" spans="7:7" x14ac:dyDescent="0.25">
      <c r="G1751"/>
    </row>
    <row r="1752" spans="7:7" x14ac:dyDescent="0.25">
      <c r="G1752"/>
    </row>
    <row r="1753" spans="7:7" x14ac:dyDescent="0.25">
      <c r="G1753"/>
    </row>
    <row r="1754" spans="7:7" x14ac:dyDescent="0.25">
      <c r="G1754"/>
    </row>
    <row r="1755" spans="7:7" x14ac:dyDescent="0.25">
      <c r="G1755"/>
    </row>
    <row r="1756" spans="7:7" x14ac:dyDescent="0.25">
      <c r="G1756"/>
    </row>
    <row r="1757" spans="7:7" x14ac:dyDescent="0.25">
      <c r="G1757"/>
    </row>
    <row r="1758" spans="7:7" x14ac:dyDescent="0.25">
      <c r="G1758"/>
    </row>
    <row r="1759" spans="7:7" x14ac:dyDescent="0.25">
      <c r="G1759"/>
    </row>
    <row r="1760" spans="7:7" x14ac:dyDescent="0.25">
      <c r="G1760"/>
    </row>
    <row r="1761" spans="7:7" x14ac:dyDescent="0.25">
      <c r="G1761"/>
    </row>
    <row r="1762" spans="7:7" x14ac:dyDescent="0.25">
      <c r="G1762"/>
    </row>
    <row r="1763" spans="7:7" x14ac:dyDescent="0.25">
      <c r="G1763"/>
    </row>
    <row r="1764" spans="7:7" x14ac:dyDescent="0.25">
      <c r="G1764"/>
    </row>
    <row r="1765" spans="7:7" x14ac:dyDescent="0.25">
      <c r="G1765"/>
    </row>
    <row r="1766" spans="7:7" x14ac:dyDescent="0.25">
      <c r="G1766"/>
    </row>
    <row r="1767" spans="7:7" x14ac:dyDescent="0.25">
      <c r="G1767"/>
    </row>
    <row r="1768" spans="7:7" x14ac:dyDescent="0.25">
      <c r="G1768"/>
    </row>
    <row r="1769" spans="7:7" x14ac:dyDescent="0.25">
      <c r="G1769"/>
    </row>
    <row r="1770" spans="7:7" x14ac:dyDescent="0.25">
      <c r="G1770"/>
    </row>
    <row r="1771" spans="7:7" x14ac:dyDescent="0.25">
      <c r="G1771"/>
    </row>
    <row r="1772" spans="7:7" x14ac:dyDescent="0.25">
      <c r="G1772"/>
    </row>
    <row r="1773" spans="7:7" x14ac:dyDescent="0.25">
      <c r="G1773"/>
    </row>
    <row r="1774" spans="7:7" x14ac:dyDescent="0.25">
      <c r="G1774"/>
    </row>
    <row r="1775" spans="7:7" x14ac:dyDescent="0.25">
      <c r="G1775"/>
    </row>
    <row r="1776" spans="7:7" x14ac:dyDescent="0.25">
      <c r="G1776"/>
    </row>
    <row r="1777" spans="7:7" x14ac:dyDescent="0.25">
      <c r="G1777"/>
    </row>
    <row r="1778" spans="7:7" x14ac:dyDescent="0.25">
      <c r="G1778"/>
    </row>
    <row r="1779" spans="7:7" x14ac:dyDescent="0.25">
      <c r="G1779"/>
    </row>
    <row r="1780" spans="7:7" x14ac:dyDescent="0.25">
      <c r="G1780"/>
    </row>
    <row r="1781" spans="7:7" x14ac:dyDescent="0.25">
      <c r="G1781"/>
    </row>
    <row r="1782" spans="7:7" x14ac:dyDescent="0.25">
      <c r="G1782"/>
    </row>
    <row r="1783" spans="7:7" x14ac:dyDescent="0.25">
      <c r="G1783"/>
    </row>
    <row r="1784" spans="7:7" x14ac:dyDescent="0.25">
      <c r="G1784"/>
    </row>
    <row r="1785" spans="7:7" x14ac:dyDescent="0.25">
      <c r="G1785"/>
    </row>
    <row r="1786" spans="7:7" x14ac:dyDescent="0.25">
      <c r="G1786"/>
    </row>
    <row r="1787" spans="7:7" x14ac:dyDescent="0.25">
      <c r="G1787"/>
    </row>
    <row r="1788" spans="7:7" x14ac:dyDescent="0.25">
      <c r="G1788"/>
    </row>
    <row r="1789" spans="7:7" x14ac:dyDescent="0.25">
      <c r="G1789"/>
    </row>
    <row r="1790" spans="7:7" x14ac:dyDescent="0.25">
      <c r="G1790"/>
    </row>
    <row r="1791" spans="7:7" x14ac:dyDescent="0.25">
      <c r="G1791"/>
    </row>
    <row r="1792" spans="7:7" x14ac:dyDescent="0.25">
      <c r="G1792"/>
    </row>
    <row r="1793" spans="7:7" x14ac:dyDescent="0.25">
      <c r="G1793"/>
    </row>
    <row r="1794" spans="7:7" x14ac:dyDescent="0.25">
      <c r="G1794"/>
    </row>
    <row r="1795" spans="7:7" x14ac:dyDescent="0.25">
      <c r="G1795"/>
    </row>
    <row r="1796" spans="7:7" x14ac:dyDescent="0.25">
      <c r="G1796"/>
    </row>
    <row r="1797" spans="7:7" x14ac:dyDescent="0.25">
      <c r="G1797"/>
    </row>
    <row r="1798" spans="7:7" x14ac:dyDescent="0.25">
      <c r="G1798"/>
    </row>
    <row r="1799" spans="7:7" x14ac:dyDescent="0.25">
      <c r="G1799"/>
    </row>
    <row r="1800" spans="7:7" x14ac:dyDescent="0.25">
      <c r="G1800"/>
    </row>
    <row r="1801" spans="7:7" x14ac:dyDescent="0.25">
      <c r="G1801"/>
    </row>
    <row r="1802" spans="7:7" x14ac:dyDescent="0.25">
      <c r="G1802"/>
    </row>
    <row r="1803" spans="7:7" x14ac:dyDescent="0.25">
      <c r="G1803"/>
    </row>
    <row r="1804" spans="7:7" x14ac:dyDescent="0.25">
      <c r="G1804"/>
    </row>
    <row r="1805" spans="7:7" x14ac:dyDescent="0.25">
      <c r="G1805"/>
    </row>
    <row r="1806" spans="7:7" x14ac:dyDescent="0.25">
      <c r="G1806"/>
    </row>
    <row r="1807" spans="7:7" x14ac:dyDescent="0.25">
      <c r="G1807"/>
    </row>
    <row r="1808" spans="7:7" x14ac:dyDescent="0.25">
      <c r="G1808"/>
    </row>
    <row r="1809" spans="7:7" x14ac:dyDescent="0.25">
      <c r="G1809"/>
    </row>
    <row r="1810" spans="7:7" x14ac:dyDescent="0.25">
      <c r="G1810"/>
    </row>
    <row r="1811" spans="7:7" x14ac:dyDescent="0.25">
      <c r="G1811"/>
    </row>
    <row r="1812" spans="7:7" x14ac:dyDescent="0.25">
      <c r="G1812"/>
    </row>
    <row r="1813" spans="7:7" x14ac:dyDescent="0.25">
      <c r="G1813"/>
    </row>
    <row r="1814" spans="7:7" x14ac:dyDescent="0.25">
      <c r="G1814"/>
    </row>
    <row r="1815" spans="7:7" x14ac:dyDescent="0.25">
      <c r="G1815"/>
    </row>
    <row r="1816" spans="7:7" x14ac:dyDescent="0.25">
      <c r="G1816"/>
    </row>
    <row r="1817" spans="7:7" x14ac:dyDescent="0.25">
      <c r="G1817"/>
    </row>
    <row r="1818" spans="7:7" x14ac:dyDescent="0.25">
      <c r="G1818"/>
    </row>
    <row r="1819" spans="7:7" x14ac:dyDescent="0.25">
      <c r="G1819"/>
    </row>
    <row r="1820" spans="7:7" x14ac:dyDescent="0.25">
      <c r="G1820"/>
    </row>
    <row r="1821" spans="7:7" x14ac:dyDescent="0.25">
      <c r="G1821"/>
    </row>
    <row r="1822" spans="7:7" x14ac:dyDescent="0.25">
      <c r="G1822"/>
    </row>
    <row r="1823" spans="7:7" x14ac:dyDescent="0.25">
      <c r="G1823"/>
    </row>
    <row r="1824" spans="7:7" x14ac:dyDescent="0.25">
      <c r="G1824"/>
    </row>
    <row r="1825" spans="7:7" x14ac:dyDescent="0.25">
      <c r="G1825"/>
    </row>
    <row r="1826" spans="7:7" x14ac:dyDescent="0.25">
      <c r="G1826"/>
    </row>
    <row r="1827" spans="7:7" x14ac:dyDescent="0.25">
      <c r="G1827"/>
    </row>
    <row r="1828" spans="7:7" x14ac:dyDescent="0.25">
      <c r="G1828"/>
    </row>
    <row r="1829" spans="7:7" x14ac:dyDescent="0.25">
      <c r="G1829"/>
    </row>
    <row r="1830" spans="7:7" x14ac:dyDescent="0.25">
      <c r="G1830"/>
    </row>
    <row r="1831" spans="7:7" x14ac:dyDescent="0.25">
      <c r="G1831"/>
    </row>
    <row r="1832" spans="7:7" x14ac:dyDescent="0.25">
      <c r="G1832"/>
    </row>
    <row r="1833" spans="7:7" x14ac:dyDescent="0.25">
      <c r="G1833"/>
    </row>
    <row r="1834" spans="7:7" x14ac:dyDescent="0.25">
      <c r="G1834"/>
    </row>
    <row r="1835" spans="7:7" x14ac:dyDescent="0.25">
      <c r="G1835"/>
    </row>
    <row r="1836" spans="7:7" x14ac:dyDescent="0.25">
      <c r="G1836"/>
    </row>
    <row r="1837" spans="7:7" x14ac:dyDescent="0.25">
      <c r="G1837"/>
    </row>
    <row r="1838" spans="7:7" x14ac:dyDescent="0.25">
      <c r="G1838"/>
    </row>
    <row r="1839" spans="7:7" x14ac:dyDescent="0.25">
      <c r="G1839"/>
    </row>
    <row r="1840" spans="7:7" x14ac:dyDescent="0.25">
      <c r="G1840"/>
    </row>
    <row r="1841" spans="7:7" x14ac:dyDescent="0.25">
      <c r="G1841"/>
    </row>
    <row r="1842" spans="7:7" x14ac:dyDescent="0.25">
      <c r="G1842"/>
    </row>
    <row r="1843" spans="7:7" x14ac:dyDescent="0.25">
      <c r="G1843"/>
    </row>
    <row r="1844" spans="7:7" x14ac:dyDescent="0.25">
      <c r="G1844"/>
    </row>
    <row r="1845" spans="7:7" x14ac:dyDescent="0.25">
      <c r="G1845"/>
    </row>
    <row r="1846" spans="7:7" x14ac:dyDescent="0.25">
      <c r="G1846"/>
    </row>
    <row r="1847" spans="7:7" x14ac:dyDescent="0.25">
      <c r="G1847"/>
    </row>
    <row r="1848" spans="7:7" x14ac:dyDescent="0.25">
      <c r="G1848"/>
    </row>
    <row r="1849" spans="7:7" x14ac:dyDescent="0.25">
      <c r="G1849"/>
    </row>
    <row r="1850" spans="7:7" x14ac:dyDescent="0.25">
      <c r="G1850"/>
    </row>
    <row r="1851" spans="7:7" x14ac:dyDescent="0.25">
      <c r="G1851"/>
    </row>
    <row r="1852" spans="7:7" x14ac:dyDescent="0.25">
      <c r="G1852"/>
    </row>
    <row r="1853" spans="7:7" x14ac:dyDescent="0.25">
      <c r="G1853"/>
    </row>
    <row r="1854" spans="7:7" x14ac:dyDescent="0.25">
      <c r="G1854"/>
    </row>
    <row r="1855" spans="7:7" x14ac:dyDescent="0.25">
      <c r="G1855"/>
    </row>
    <row r="1856" spans="7:7" x14ac:dyDescent="0.25">
      <c r="G1856"/>
    </row>
    <row r="1857" spans="7:7" x14ac:dyDescent="0.25">
      <c r="G1857"/>
    </row>
    <row r="1858" spans="7:7" x14ac:dyDescent="0.25">
      <c r="G1858"/>
    </row>
    <row r="1859" spans="7:7" x14ac:dyDescent="0.25">
      <c r="G1859"/>
    </row>
    <row r="1860" spans="7:7" x14ac:dyDescent="0.25">
      <c r="G1860"/>
    </row>
    <row r="1861" spans="7:7" x14ac:dyDescent="0.25">
      <c r="G1861"/>
    </row>
    <row r="1862" spans="7:7" x14ac:dyDescent="0.25">
      <c r="G1862"/>
    </row>
    <row r="1863" spans="7:7" x14ac:dyDescent="0.25">
      <c r="G1863"/>
    </row>
    <row r="1864" spans="7:7" x14ac:dyDescent="0.25">
      <c r="G1864"/>
    </row>
    <row r="1865" spans="7:7" x14ac:dyDescent="0.25">
      <c r="G1865"/>
    </row>
    <row r="1866" spans="7:7" x14ac:dyDescent="0.25">
      <c r="G1866"/>
    </row>
    <row r="1867" spans="7:7" x14ac:dyDescent="0.25">
      <c r="G1867"/>
    </row>
    <row r="1868" spans="7:7" x14ac:dyDescent="0.25">
      <c r="G1868"/>
    </row>
    <row r="1869" spans="7:7" x14ac:dyDescent="0.25">
      <c r="G1869"/>
    </row>
    <row r="1870" spans="7:7" x14ac:dyDescent="0.25">
      <c r="G1870"/>
    </row>
    <row r="1871" spans="7:7" x14ac:dyDescent="0.25">
      <c r="G1871"/>
    </row>
    <row r="1872" spans="7:7" x14ac:dyDescent="0.25">
      <c r="G1872"/>
    </row>
    <row r="1873" spans="7:7" x14ac:dyDescent="0.25">
      <c r="G1873"/>
    </row>
    <row r="1874" spans="7:7" x14ac:dyDescent="0.25">
      <c r="G1874"/>
    </row>
    <row r="1875" spans="7:7" x14ac:dyDescent="0.25">
      <c r="G1875"/>
    </row>
    <row r="1876" spans="7:7" x14ac:dyDescent="0.25">
      <c r="G1876"/>
    </row>
    <row r="1877" spans="7:7" x14ac:dyDescent="0.25">
      <c r="G1877"/>
    </row>
    <row r="1878" spans="7:7" x14ac:dyDescent="0.25">
      <c r="G1878"/>
    </row>
    <row r="1879" spans="7:7" x14ac:dyDescent="0.25">
      <c r="G1879"/>
    </row>
    <row r="1880" spans="7:7" x14ac:dyDescent="0.25">
      <c r="G1880"/>
    </row>
    <row r="1881" spans="7:7" x14ac:dyDescent="0.25">
      <c r="G1881"/>
    </row>
    <row r="1882" spans="7:7" x14ac:dyDescent="0.25">
      <c r="G1882"/>
    </row>
    <row r="1883" spans="7:7" x14ac:dyDescent="0.25">
      <c r="G1883"/>
    </row>
    <row r="1884" spans="7:7" x14ac:dyDescent="0.25">
      <c r="G1884"/>
    </row>
    <row r="1885" spans="7:7" x14ac:dyDescent="0.25">
      <c r="G1885"/>
    </row>
    <row r="1886" spans="7:7" x14ac:dyDescent="0.25">
      <c r="G1886"/>
    </row>
    <row r="1887" spans="7:7" x14ac:dyDescent="0.25">
      <c r="G1887"/>
    </row>
    <row r="1888" spans="7:7" x14ac:dyDescent="0.25">
      <c r="G1888"/>
    </row>
    <row r="1889" spans="7:7" x14ac:dyDescent="0.25">
      <c r="G1889"/>
    </row>
    <row r="1890" spans="7:7" x14ac:dyDescent="0.25">
      <c r="G1890"/>
    </row>
    <row r="1891" spans="7:7" x14ac:dyDescent="0.25">
      <c r="G1891"/>
    </row>
    <row r="1892" spans="7:7" x14ac:dyDescent="0.25">
      <c r="G1892"/>
    </row>
    <row r="1893" spans="7:7" x14ac:dyDescent="0.25">
      <c r="G1893"/>
    </row>
    <row r="1894" spans="7:7" x14ac:dyDescent="0.25">
      <c r="G1894"/>
    </row>
    <row r="1895" spans="7:7" x14ac:dyDescent="0.25">
      <c r="G1895"/>
    </row>
    <row r="1896" spans="7:7" x14ac:dyDescent="0.25">
      <c r="G1896"/>
    </row>
    <row r="1897" spans="7:7" x14ac:dyDescent="0.25">
      <c r="G1897"/>
    </row>
    <row r="1898" spans="7:7" x14ac:dyDescent="0.25">
      <c r="G1898"/>
    </row>
    <row r="1899" spans="7:7" x14ac:dyDescent="0.25">
      <c r="G1899"/>
    </row>
    <row r="1900" spans="7:7" x14ac:dyDescent="0.25">
      <c r="G1900"/>
    </row>
    <row r="1901" spans="7:7" x14ac:dyDescent="0.25">
      <c r="G1901"/>
    </row>
    <row r="1902" spans="7:7" x14ac:dyDescent="0.25">
      <c r="G1902"/>
    </row>
    <row r="1903" spans="7:7" x14ac:dyDescent="0.25">
      <c r="G1903"/>
    </row>
    <row r="1904" spans="7:7" x14ac:dyDescent="0.25">
      <c r="G1904"/>
    </row>
    <row r="1905" spans="7:7" x14ac:dyDescent="0.25">
      <c r="G1905"/>
    </row>
    <row r="1906" spans="7:7" x14ac:dyDescent="0.25">
      <c r="G1906"/>
    </row>
    <row r="1907" spans="7:7" x14ac:dyDescent="0.25">
      <c r="G1907"/>
    </row>
    <row r="1908" spans="7:7" x14ac:dyDescent="0.25">
      <c r="G1908"/>
    </row>
    <row r="1909" spans="7:7" x14ac:dyDescent="0.25">
      <c r="G1909"/>
    </row>
    <row r="1910" spans="7:7" x14ac:dyDescent="0.25">
      <c r="G1910"/>
    </row>
    <row r="1911" spans="7:7" x14ac:dyDescent="0.25">
      <c r="G1911"/>
    </row>
    <row r="1912" spans="7:7" x14ac:dyDescent="0.25">
      <c r="G1912"/>
    </row>
    <row r="1913" spans="7:7" x14ac:dyDescent="0.25">
      <c r="G1913"/>
    </row>
    <row r="1914" spans="7:7" x14ac:dyDescent="0.25">
      <c r="G1914"/>
    </row>
    <row r="1915" spans="7:7" x14ac:dyDescent="0.25">
      <c r="G1915"/>
    </row>
    <row r="1916" spans="7:7" x14ac:dyDescent="0.25">
      <c r="G1916"/>
    </row>
    <row r="1917" spans="7:7" x14ac:dyDescent="0.25">
      <c r="G1917"/>
    </row>
    <row r="1918" spans="7:7" x14ac:dyDescent="0.25">
      <c r="G1918"/>
    </row>
    <row r="1919" spans="7:7" x14ac:dyDescent="0.25">
      <c r="G1919"/>
    </row>
    <row r="1920" spans="7:7" x14ac:dyDescent="0.25">
      <c r="G1920"/>
    </row>
    <row r="1921" spans="7:7" x14ac:dyDescent="0.25">
      <c r="G1921"/>
    </row>
    <row r="1922" spans="7:7" x14ac:dyDescent="0.25">
      <c r="G1922"/>
    </row>
    <row r="1923" spans="7:7" x14ac:dyDescent="0.25">
      <c r="G1923"/>
    </row>
    <row r="1924" spans="7:7" x14ac:dyDescent="0.25">
      <c r="G1924"/>
    </row>
    <row r="1925" spans="7:7" x14ac:dyDescent="0.25">
      <c r="G1925"/>
    </row>
    <row r="1926" spans="7:7" x14ac:dyDescent="0.25">
      <c r="G1926"/>
    </row>
    <row r="1927" spans="7:7" x14ac:dyDescent="0.25">
      <c r="G1927"/>
    </row>
    <row r="1928" spans="7:7" x14ac:dyDescent="0.25">
      <c r="G1928"/>
    </row>
    <row r="1929" spans="7:7" x14ac:dyDescent="0.25">
      <c r="G1929"/>
    </row>
    <row r="1930" spans="7:7" x14ac:dyDescent="0.25">
      <c r="G1930"/>
    </row>
    <row r="1931" spans="7:7" x14ac:dyDescent="0.25">
      <c r="G1931"/>
    </row>
    <row r="1932" spans="7:7" x14ac:dyDescent="0.25">
      <c r="G1932"/>
    </row>
    <row r="1933" spans="7:7" x14ac:dyDescent="0.25">
      <c r="G1933"/>
    </row>
    <row r="1934" spans="7:7" x14ac:dyDescent="0.25">
      <c r="G1934"/>
    </row>
    <row r="1935" spans="7:7" x14ac:dyDescent="0.25">
      <c r="G1935"/>
    </row>
    <row r="1936" spans="7:7" x14ac:dyDescent="0.25">
      <c r="G1936"/>
    </row>
    <row r="1937" spans="7:7" x14ac:dyDescent="0.25">
      <c r="G1937"/>
    </row>
    <row r="1938" spans="7:7" x14ac:dyDescent="0.25">
      <c r="G1938"/>
    </row>
    <row r="1939" spans="7:7" x14ac:dyDescent="0.25">
      <c r="G1939"/>
    </row>
    <row r="1940" spans="7:7" x14ac:dyDescent="0.25">
      <c r="G1940"/>
    </row>
    <row r="1941" spans="7:7" x14ac:dyDescent="0.25">
      <c r="G1941"/>
    </row>
    <row r="1942" spans="7:7" x14ac:dyDescent="0.25">
      <c r="G1942"/>
    </row>
    <row r="1943" spans="7:7" x14ac:dyDescent="0.25">
      <c r="G1943"/>
    </row>
    <row r="1944" spans="7:7" x14ac:dyDescent="0.25">
      <c r="G1944"/>
    </row>
    <row r="1945" spans="7:7" x14ac:dyDescent="0.25">
      <c r="G1945"/>
    </row>
    <row r="1946" spans="7:7" x14ac:dyDescent="0.25">
      <c r="G1946"/>
    </row>
    <row r="1947" spans="7:7" x14ac:dyDescent="0.25">
      <c r="G1947"/>
    </row>
    <row r="1948" spans="7:7" x14ac:dyDescent="0.25">
      <c r="G1948"/>
    </row>
    <row r="1949" spans="7:7" x14ac:dyDescent="0.25">
      <c r="G1949"/>
    </row>
    <row r="1950" spans="7:7" x14ac:dyDescent="0.25">
      <c r="G1950"/>
    </row>
    <row r="1951" spans="7:7" x14ac:dyDescent="0.25">
      <c r="G1951"/>
    </row>
    <row r="1952" spans="7:7" x14ac:dyDescent="0.25">
      <c r="G1952"/>
    </row>
    <row r="1953" spans="7:7" x14ac:dyDescent="0.25">
      <c r="G1953"/>
    </row>
    <row r="1954" spans="7:7" x14ac:dyDescent="0.25">
      <c r="G1954"/>
    </row>
    <row r="1955" spans="7:7" x14ac:dyDescent="0.25">
      <c r="G1955"/>
    </row>
    <row r="1956" spans="7:7" x14ac:dyDescent="0.25">
      <c r="G1956"/>
    </row>
    <row r="1957" spans="7:7" x14ac:dyDescent="0.25">
      <c r="G1957"/>
    </row>
    <row r="1958" spans="7:7" x14ac:dyDescent="0.25">
      <c r="G1958"/>
    </row>
    <row r="1959" spans="7:7" x14ac:dyDescent="0.25">
      <c r="G1959"/>
    </row>
    <row r="1960" spans="7:7" x14ac:dyDescent="0.25">
      <c r="G1960"/>
    </row>
    <row r="1961" spans="7:7" x14ac:dyDescent="0.25">
      <c r="G1961"/>
    </row>
    <row r="1962" spans="7:7" x14ac:dyDescent="0.25">
      <c r="G1962"/>
    </row>
    <row r="1963" spans="7:7" x14ac:dyDescent="0.25">
      <c r="G1963"/>
    </row>
    <row r="1964" spans="7:7" x14ac:dyDescent="0.25">
      <c r="G1964"/>
    </row>
    <row r="1965" spans="7:7" x14ac:dyDescent="0.25">
      <c r="G1965"/>
    </row>
    <row r="1966" spans="7:7" x14ac:dyDescent="0.25">
      <c r="G1966"/>
    </row>
    <row r="1967" spans="7:7" x14ac:dyDescent="0.25">
      <c r="G1967"/>
    </row>
    <row r="1968" spans="7:7" x14ac:dyDescent="0.25">
      <c r="G1968"/>
    </row>
    <row r="1969" spans="7:7" x14ac:dyDescent="0.25">
      <c r="G1969"/>
    </row>
    <row r="1970" spans="7:7" x14ac:dyDescent="0.25">
      <c r="G1970"/>
    </row>
    <row r="1971" spans="7:7" x14ac:dyDescent="0.25">
      <c r="G1971"/>
    </row>
    <row r="1972" spans="7:7" x14ac:dyDescent="0.25">
      <c r="G1972"/>
    </row>
    <row r="1973" spans="7:7" x14ac:dyDescent="0.25">
      <c r="G1973"/>
    </row>
    <row r="1974" spans="7:7" x14ac:dyDescent="0.25">
      <c r="G1974"/>
    </row>
    <row r="1975" spans="7:7" x14ac:dyDescent="0.25">
      <c r="G1975"/>
    </row>
    <row r="1976" spans="7:7" x14ac:dyDescent="0.25">
      <c r="G1976"/>
    </row>
    <row r="1977" spans="7:7" x14ac:dyDescent="0.25">
      <c r="G1977"/>
    </row>
    <row r="1978" spans="7:7" x14ac:dyDescent="0.25">
      <c r="G1978"/>
    </row>
    <row r="1979" spans="7:7" x14ac:dyDescent="0.25">
      <c r="G1979"/>
    </row>
    <row r="1980" spans="7:7" x14ac:dyDescent="0.25">
      <c r="G1980"/>
    </row>
    <row r="1981" spans="7:7" x14ac:dyDescent="0.25">
      <c r="G1981"/>
    </row>
    <row r="1982" spans="7:7" x14ac:dyDescent="0.25">
      <c r="G1982"/>
    </row>
    <row r="1983" spans="7:7" x14ac:dyDescent="0.25">
      <c r="G1983"/>
    </row>
    <row r="1984" spans="7:7" x14ac:dyDescent="0.25">
      <c r="G1984"/>
    </row>
    <row r="1985" spans="7:7" x14ac:dyDescent="0.25">
      <c r="G1985"/>
    </row>
    <row r="1986" spans="7:7" x14ac:dyDescent="0.25">
      <c r="G1986"/>
    </row>
    <row r="1987" spans="7:7" x14ac:dyDescent="0.25">
      <c r="G1987"/>
    </row>
    <row r="1988" spans="7:7" x14ac:dyDescent="0.25">
      <c r="G1988"/>
    </row>
    <row r="1989" spans="7:7" x14ac:dyDescent="0.25">
      <c r="G1989"/>
    </row>
    <row r="1990" spans="7:7" x14ac:dyDescent="0.25">
      <c r="G1990"/>
    </row>
    <row r="1991" spans="7:7" x14ac:dyDescent="0.25">
      <c r="G1991"/>
    </row>
    <row r="1992" spans="7:7" x14ac:dyDescent="0.25">
      <c r="G1992"/>
    </row>
    <row r="1993" spans="7:7" x14ac:dyDescent="0.25">
      <c r="G1993"/>
    </row>
    <row r="1994" spans="7:7" x14ac:dyDescent="0.25">
      <c r="G1994"/>
    </row>
    <row r="1995" spans="7:7" x14ac:dyDescent="0.25">
      <c r="G1995"/>
    </row>
    <row r="1996" spans="7:7" x14ac:dyDescent="0.25">
      <c r="G1996"/>
    </row>
    <row r="1997" spans="7:7" x14ac:dyDescent="0.25">
      <c r="G1997"/>
    </row>
    <row r="1998" spans="7:7" x14ac:dyDescent="0.25">
      <c r="G1998"/>
    </row>
    <row r="1999" spans="7:7" x14ac:dyDescent="0.25">
      <c r="G1999"/>
    </row>
    <row r="2000" spans="7:7" x14ac:dyDescent="0.25">
      <c r="G2000"/>
    </row>
    <row r="2001" spans="7:7" x14ac:dyDescent="0.25">
      <c r="G2001"/>
    </row>
    <row r="2002" spans="7:7" x14ac:dyDescent="0.25">
      <c r="G2002"/>
    </row>
    <row r="2003" spans="7:7" x14ac:dyDescent="0.25">
      <c r="G2003"/>
    </row>
    <row r="2004" spans="7:7" x14ac:dyDescent="0.25">
      <c r="G2004"/>
    </row>
    <row r="2005" spans="7:7" x14ac:dyDescent="0.25">
      <c r="G2005"/>
    </row>
    <row r="2006" spans="7:7" x14ac:dyDescent="0.25">
      <c r="G2006"/>
    </row>
    <row r="2007" spans="7:7" x14ac:dyDescent="0.25">
      <c r="G2007"/>
    </row>
    <row r="2008" spans="7:7" x14ac:dyDescent="0.25">
      <c r="G2008"/>
    </row>
    <row r="2009" spans="7:7" x14ac:dyDescent="0.25">
      <c r="G2009"/>
    </row>
    <row r="2010" spans="7:7" x14ac:dyDescent="0.25">
      <c r="G2010"/>
    </row>
    <row r="2011" spans="7:7" x14ac:dyDescent="0.25">
      <c r="G2011"/>
    </row>
    <row r="2012" spans="7:7" x14ac:dyDescent="0.25">
      <c r="G2012"/>
    </row>
    <row r="2013" spans="7:7" x14ac:dyDescent="0.25">
      <c r="G2013"/>
    </row>
    <row r="2014" spans="7:7" x14ac:dyDescent="0.25">
      <c r="G2014"/>
    </row>
    <row r="2015" spans="7:7" x14ac:dyDescent="0.25">
      <c r="G2015"/>
    </row>
    <row r="2016" spans="7:7" x14ac:dyDescent="0.25">
      <c r="G2016"/>
    </row>
    <row r="2017" spans="7:7" x14ac:dyDescent="0.25">
      <c r="G2017"/>
    </row>
    <row r="2018" spans="7:7" x14ac:dyDescent="0.25">
      <c r="G2018"/>
    </row>
    <row r="2019" spans="7:7" x14ac:dyDescent="0.25">
      <c r="G2019"/>
    </row>
    <row r="2020" spans="7:7" x14ac:dyDescent="0.25">
      <c r="G2020"/>
    </row>
    <row r="2021" spans="7:7" x14ac:dyDescent="0.25">
      <c r="G2021"/>
    </row>
    <row r="2022" spans="7:7" x14ac:dyDescent="0.25">
      <c r="G2022"/>
    </row>
    <row r="2023" spans="7:7" x14ac:dyDescent="0.25">
      <c r="G2023"/>
    </row>
    <row r="2024" spans="7:7" x14ac:dyDescent="0.25">
      <c r="G2024"/>
    </row>
    <row r="2025" spans="7:7" x14ac:dyDescent="0.25">
      <c r="G2025"/>
    </row>
    <row r="2026" spans="7:7" x14ac:dyDescent="0.25">
      <c r="G2026"/>
    </row>
    <row r="2027" spans="7:7" x14ac:dyDescent="0.25">
      <c r="G2027"/>
    </row>
    <row r="2028" spans="7:7" x14ac:dyDescent="0.25">
      <c r="G2028"/>
    </row>
    <row r="2029" spans="7:7" x14ac:dyDescent="0.25">
      <c r="G2029"/>
    </row>
    <row r="2030" spans="7:7" x14ac:dyDescent="0.25">
      <c r="G2030"/>
    </row>
    <row r="2031" spans="7:7" x14ac:dyDescent="0.25">
      <c r="G2031"/>
    </row>
    <row r="2032" spans="7:7" x14ac:dyDescent="0.25">
      <c r="G2032"/>
    </row>
    <row r="2033" spans="7:7" x14ac:dyDescent="0.25">
      <c r="G2033"/>
    </row>
    <row r="2034" spans="7:7" x14ac:dyDescent="0.25">
      <c r="G2034"/>
    </row>
    <row r="2035" spans="7:7" x14ac:dyDescent="0.25">
      <c r="G2035"/>
    </row>
    <row r="2036" spans="7:7" x14ac:dyDescent="0.25">
      <c r="G2036"/>
    </row>
    <row r="2037" spans="7:7" x14ac:dyDescent="0.25">
      <c r="G2037"/>
    </row>
    <row r="2038" spans="7:7" x14ac:dyDescent="0.25">
      <c r="G2038"/>
    </row>
    <row r="2039" spans="7:7" x14ac:dyDescent="0.25">
      <c r="G2039"/>
    </row>
    <row r="2040" spans="7:7" x14ac:dyDescent="0.25">
      <c r="G2040"/>
    </row>
    <row r="2041" spans="7:7" x14ac:dyDescent="0.25">
      <c r="G2041"/>
    </row>
    <row r="2042" spans="7:7" x14ac:dyDescent="0.25">
      <c r="G2042"/>
    </row>
    <row r="2043" spans="7:7" x14ac:dyDescent="0.25">
      <c r="G2043"/>
    </row>
    <row r="2044" spans="7:7" x14ac:dyDescent="0.25">
      <c r="G2044"/>
    </row>
    <row r="2045" spans="7:7" x14ac:dyDescent="0.25">
      <c r="G2045"/>
    </row>
    <row r="2046" spans="7:7" x14ac:dyDescent="0.25">
      <c r="G2046"/>
    </row>
    <row r="2047" spans="7:7" x14ac:dyDescent="0.25">
      <c r="G2047"/>
    </row>
    <row r="2048" spans="7:7" x14ac:dyDescent="0.25">
      <c r="G2048"/>
    </row>
    <row r="2049" spans="7:7" x14ac:dyDescent="0.25">
      <c r="G2049"/>
    </row>
    <row r="2050" spans="7:7" x14ac:dyDescent="0.25">
      <c r="G2050"/>
    </row>
    <row r="2051" spans="7:7" x14ac:dyDescent="0.25">
      <c r="G2051"/>
    </row>
    <row r="2052" spans="7:7" x14ac:dyDescent="0.25">
      <c r="G2052"/>
    </row>
    <row r="2053" spans="7:7" x14ac:dyDescent="0.25">
      <c r="G2053"/>
    </row>
    <row r="2054" spans="7:7" x14ac:dyDescent="0.25">
      <c r="G2054"/>
    </row>
    <row r="2055" spans="7:7" x14ac:dyDescent="0.25">
      <c r="G2055"/>
    </row>
    <row r="2056" spans="7:7" x14ac:dyDescent="0.25">
      <c r="G2056"/>
    </row>
    <row r="2057" spans="7:7" x14ac:dyDescent="0.25">
      <c r="G2057"/>
    </row>
    <row r="2058" spans="7:7" x14ac:dyDescent="0.25">
      <c r="G2058"/>
    </row>
    <row r="2059" spans="7:7" x14ac:dyDescent="0.25">
      <c r="G2059"/>
    </row>
    <row r="2060" spans="7:7" x14ac:dyDescent="0.25">
      <c r="G2060"/>
    </row>
    <row r="2061" spans="7:7" x14ac:dyDescent="0.25">
      <c r="G2061"/>
    </row>
    <row r="2062" spans="7:7" x14ac:dyDescent="0.25">
      <c r="G2062"/>
    </row>
    <row r="2063" spans="7:7" x14ac:dyDescent="0.25">
      <c r="G2063"/>
    </row>
    <row r="2064" spans="7:7" x14ac:dyDescent="0.25">
      <c r="G2064"/>
    </row>
    <row r="2065" spans="7:7" x14ac:dyDescent="0.25">
      <c r="G2065"/>
    </row>
    <row r="2066" spans="7:7" x14ac:dyDescent="0.25">
      <c r="G2066"/>
    </row>
    <row r="2067" spans="7:7" x14ac:dyDescent="0.25">
      <c r="G2067"/>
    </row>
    <row r="2068" spans="7:7" x14ac:dyDescent="0.25">
      <c r="G2068"/>
    </row>
    <row r="2069" spans="7:7" x14ac:dyDescent="0.25">
      <c r="G2069"/>
    </row>
    <row r="2070" spans="7:7" x14ac:dyDescent="0.25">
      <c r="G2070"/>
    </row>
    <row r="2071" spans="7:7" x14ac:dyDescent="0.25">
      <c r="G2071"/>
    </row>
    <row r="2072" spans="7:7" x14ac:dyDescent="0.25">
      <c r="G2072"/>
    </row>
    <row r="2073" spans="7:7" x14ac:dyDescent="0.25">
      <c r="G2073"/>
    </row>
    <row r="2074" spans="7:7" x14ac:dyDescent="0.25">
      <c r="G2074"/>
    </row>
    <row r="2075" spans="7:7" x14ac:dyDescent="0.25">
      <c r="G2075"/>
    </row>
    <row r="2076" spans="7:7" x14ac:dyDescent="0.25">
      <c r="G2076"/>
    </row>
    <row r="2077" spans="7:7" x14ac:dyDescent="0.25">
      <c r="G2077"/>
    </row>
    <row r="2078" spans="7:7" x14ac:dyDescent="0.25">
      <c r="G2078"/>
    </row>
    <row r="2079" spans="7:7" x14ac:dyDescent="0.25">
      <c r="G2079"/>
    </row>
    <row r="2080" spans="7:7" x14ac:dyDescent="0.25">
      <c r="G2080"/>
    </row>
    <row r="2081" spans="7:7" x14ac:dyDescent="0.25">
      <c r="G2081"/>
    </row>
    <row r="2082" spans="7:7" x14ac:dyDescent="0.25">
      <c r="G2082"/>
    </row>
    <row r="2083" spans="7:7" x14ac:dyDescent="0.25">
      <c r="G2083"/>
    </row>
    <row r="2084" spans="7:7" x14ac:dyDescent="0.25">
      <c r="G2084"/>
    </row>
    <row r="2085" spans="7:7" x14ac:dyDescent="0.25">
      <c r="G2085"/>
    </row>
    <row r="2086" spans="7:7" x14ac:dyDescent="0.25">
      <c r="G2086"/>
    </row>
    <row r="2087" spans="7:7" x14ac:dyDescent="0.25">
      <c r="G2087"/>
    </row>
    <row r="2088" spans="7:7" x14ac:dyDescent="0.25">
      <c r="G2088"/>
    </row>
    <row r="2089" spans="7:7" x14ac:dyDescent="0.25">
      <c r="G2089"/>
    </row>
    <row r="2090" spans="7:7" x14ac:dyDescent="0.25">
      <c r="G2090"/>
    </row>
    <row r="2091" spans="7:7" x14ac:dyDescent="0.25">
      <c r="G2091"/>
    </row>
    <row r="2092" spans="7:7" x14ac:dyDescent="0.25">
      <c r="G2092"/>
    </row>
    <row r="2093" spans="7:7" x14ac:dyDescent="0.25">
      <c r="G2093"/>
    </row>
    <row r="2094" spans="7:7" x14ac:dyDescent="0.25">
      <c r="G2094"/>
    </row>
    <row r="2095" spans="7:7" x14ac:dyDescent="0.25">
      <c r="G2095"/>
    </row>
    <row r="2096" spans="7:7" x14ac:dyDescent="0.25">
      <c r="G2096"/>
    </row>
    <row r="2097" spans="7:7" x14ac:dyDescent="0.25">
      <c r="G2097"/>
    </row>
    <row r="2098" spans="7:7" x14ac:dyDescent="0.25">
      <c r="G2098"/>
    </row>
    <row r="2099" spans="7:7" x14ac:dyDescent="0.25">
      <c r="G2099"/>
    </row>
    <row r="2100" spans="7:7" x14ac:dyDescent="0.25">
      <c r="G2100"/>
    </row>
    <row r="2101" spans="7:7" x14ac:dyDescent="0.25">
      <c r="G2101"/>
    </row>
    <row r="2102" spans="7:7" x14ac:dyDescent="0.25">
      <c r="G2102"/>
    </row>
    <row r="2103" spans="7:7" x14ac:dyDescent="0.25">
      <c r="G2103"/>
    </row>
    <row r="2104" spans="7:7" x14ac:dyDescent="0.25">
      <c r="G2104"/>
    </row>
    <row r="2105" spans="7:7" x14ac:dyDescent="0.25">
      <c r="G2105"/>
    </row>
    <row r="2106" spans="7:7" x14ac:dyDescent="0.25">
      <c r="G2106"/>
    </row>
    <row r="2107" spans="7:7" x14ac:dyDescent="0.25">
      <c r="G2107"/>
    </row>
    <row r="2108" spans="7:7" x14ac:dyDescent="0.25">
      <c r="G2108"/>
    </row>
    <row r="2109" spans="7:7" x14ac:dyDescent="0.25">
      <c r="G2109"/>
    </row>
    <row r="2110" spans="7:7" x14ac:dyDescent="0.25">
      <c r="G2110"/>
    </row>
    <row r="2111" spans="7:7" x14ac:dyDescent="0.25">
      <c r="G2111"/>
    </row>
    <row r="2112" spans="7:7" x14ac:dyDescent="0.25">
      <c r="G2112"/>
    </row>
    <row r="2113" spans="7:7" x14ac:dyDescent="0.25">
      <c r="G2113"/>
    </row>
    <row r="2114" spans="7:7" x14ac:dyDescent="0.25">
      <c r="G2114"/>
    </row>
    <row r="2115" spans="7:7" x14ac:dyDescent="0.25">
      <c r="G2115"/>
    </row>
    <row r="2116" spans="7:7" x14ac:dyDescent="0.25">
      <c r="G2116"/>
    </row>
    <row r="2117" spans="7:7" x14ac:dyDescent="0.25">
      <c r="G2117"/>
    </row>
    <row r="2118" spans="7:7" x14ac:dyDescent="0.25">
      <c r="G2118"/>
    </row>
    <row r="2119" spans="7:7" x14ac:dyDescent="0.25">
      <c r="G2119"/>
    </row>
    <row r="2120" spans="7:7" x14ac:dyDescent="0.25">
      <c r="G2120"/>
    </row>
    <row r="2121" spans="7:7" x14ac:dyDescent="0.25">
      <c r="G2121"/>
    </row>
    <row r="2122" spans="7:7" x14ac:dyDescent="0.25">
      <c r="G2122"/>
    </row>
    <row r="2123" spans="7:7" x14ac:dyDescent="0.25">
      <c r="G2123"/>
    </row>
    <row r="2124" spans="7:7" x14ac:dyDescent="0.25">
      <c r="G2124"/>
    </row>
    <row r="2125" spans="7:7" x14ac:dyDescent="0.25">
      <c r="G2125"/>
    </row>
    <row r="2126" spans="7:7" x14ac:dyDescent="0.25">
      <c r="G2126"/>
    </row>
    <row r="2127" spans="7:7" x14ac:dyDescent="0.25">
      <c r="G2127"/>
    </row>
    <row r="2128" spans="7:7" x14ac:dyDescent="0.25">
      <c r="G2128"/>
    </row>
    <row r="2129" spans="7:7" x14ac:dyDescent="0.25">
      <c r="G2129"/>
    </row>
    <row r="2130" spans="7:7" x14ac:dyDescent="0.25">
      <c r="G2130"/>
    </row>
    <row r="2131" spans="7:7" x14ac:dyDescent="0.25">
      <c r="G2131"/>
    </row>
    <row r="2132" spans="7:7" x14ac:dyDescent="0.25">
      <c r="G2132"/>
    </row>
    <row r="2133" spans="7:7" x14ac:dyDescent="0.25">
      <c r="G2133"/>
    </row>
    <row r="2134" spans="7:7" x14ac:dyDescent="0.25">
      <c r="G2134"/>
    </row>
    <row r="2135" spans="7:7" x14ac:dyDescent="0.25">
      <c r="G2135"/>
    </row>
    <row r="2136" spans="7:7" x14ac:dyDescent="0.25">
      <c r="G2136"/>
    </row>
    <row r="2137" spans="7:7" x14ac:dyDescent="0.25">
      <c r="G2137"/>
    </row>
    <row r="2138" spans="7:7" x14ac:dyDescent="0.25">
      <c r="G2138"/>
    </row>
    <row r="2139" spans="7:7" x14ac:dyDescent="0.25">
      <c r="G2139"/>
    </row>
    <row r="2140" spans="7:7" x14ac:dyDescent="0.25">
      <c r="G2140"/>
    </row>
    <row r="2141" spans="7:7" x14ac:dyDescent="0.25">
      <c r="G2141"/>
    </row>
    <row r="2142" spans="7:7" x14ac:dyDescent="0.25">
      <c r="G2142"/>
    </row>
    <row r="2143" spans="7:7" x14ac:dyDescent="0.25">
      <c r="G2143"/>
    </row>
    <row r="2144" spans="7:7" x14ac:dyDescent="0.25">
      <c r="G2144"/>
    </row>
    <row r="2145" spans="7:7" x14ac:dyDescent="0.25">
      <c r="G2145"/>
    </row>
    <row r="2146" spans="7:7" x14ac:dyDescent="0.25">
      <c r="G2146"/>
    </row>
    <row r="2147" spans="7:7" x14ac:dyDescent="0.25">
      <c r="G2147"/>
    </row>
    <row r="2148" spans="7:7" x14ac:dyDescent="0.25">
      <c r="G2148"/>
    </row>
    <row r="2149" spans="7:7" x14ac:dyDescent="0.25">
      <c r="G2149"/>
    </row>
    <row r="2150" spans="7:7" x14ac:dyDescent="0.25">
      <c r="G2150"/>
    </row>
    <row r="2151" spans="7:7" x14ac:dyDescent="0.25">
      <c r="G2151"/>
    </row>
    <row r="2152" spans="7:7" x14ac:dyDescent="0.25">
      <c r="G2152"/>
    </row>
    <row r="2153" spans="7:7" x14ac:dyDescent="0.25">
      <c r="G2153"/>
    </row>
    <row r="2154" spans="7:7" x14ac:dyDescent="0.25">
      <c r="G2154"/>
    </row>
    <row r="2155" spans="7:7" x14ac:dyDescent="0.25">
      <c r="G2155"/>
    </row>
    <row r="2156" spans="7:7" x14ac:dyDescent="0.25">
      <c r="G2156"/>
    </row>
    <row r="2157" spans="7:7" x14ac:dyDescent="0.25">
      <c r="G2157"/>
    </row>
    <row r="2158" spans="7:7" x14ac:dyDescent="0.25">
      <c r="G2158"/>
    </row>
    <row r="2159" spans="7:7" x14ac:dyDescent="0.25">
      <c r="G2159"/>
    </row>
    <row r="2160" spans="7:7" x14ac:dyDescent="0.25">
      <c r="G2160"/>
    </row>
    <row r="2161" spans="7:7" x14ac:dyDescent="0.25">
      <c r="G2161"/>
    </row>
    <row r="2162" spans="7:7" x14ac:dyDescent="0.25">
      <c r="G2162"/>
    </row>
    <row r="2163" spans="7:7" x14ac:dyDescent="0.25">
      <c r="G2163"/>
    </row>
    <row r="2164" spans="7:7" x14ac:dyDescent="0.25">
      <c r="G2164"/>
    </row>
    <row r="2165" spans="7:7" x14ac:dyDescent="0.25">
      <c r="G2165"/>
    </row>
    <row r="2166" spans="7:7" x14ac:dyDescent="0.25">
      <c r="G2166"/>
    </row>
    <row r="2167" spans="7:7" x14ac:dyDescent="0.25">
      <c r="G2167"/>
    </row>
    <row r="2168" spans="7:7" x14ac:dyDescent="0.25">
      <c r="G2168"/>
    </row>
    <row r="2169" spans="7:7" x14ac:dyDescent="0.25">
      <c r="G2169"/>
    </row>
    <row r="2170" spans="7:7" x14ac:dyDescent="0.25">
      <c r="G2170"/>
    </row>
    <row r="2171" spans="7:7" x14ac:dyDescent="0.25">
      <c r="G2171"/>
    </row>
    <row r="2172" spans="7:7" x14ac:dyDescent="0.25">
      <c r="G2172"/>
    </row>
    <row r="2173" spans="7:7" x14ac:dyDescent="0.25">
      <c r="G2173"/>
    </row>
    <row r="2174" spans="7:7" x14ac:dyDescent="0.25">
      <c r="G2174"/>
    </row>
    <row r="2175" spans="7:7" x14ac:dyDescent="0.25">
      <c r="G2175"/>
    </row>
    <row r="2176" spans="7:7" x14ac:dyDescent="0.25">
      <c r="G2176"/>
    </row>
    <row r="2177" spans="7:7" x14ac:dyDescent="0.25">
      <c r="G2177"/>
    </row>
    <row r="2178" spans="7:7" x14ac:dyDescent="0.25">
      <c r="G2178"/>
    </row>
    <row r="2179" spans="7:7" x14ac:dyDescent="0.25">
      <c r="G2179"/>
    </row>
    <row r="2180" spans="7:7" x14ac:dyDescent="0.25">
      <c r="G2180"/>
    </row>
    <row r="2181" spans="7:7" x14ac:dyDescent="0.25">
      <c r="G2181"/>
    </row>
    <row r="2182" spans="7:7" x14ac:dyDescent="0.25">
      <c r="G2182"/>
    </row>
    <row r="2183" spans="7:7" x14ac:dyDescent="0.25">
      <c r="G2183"/>
    </row>
    <row r="2184" spans="7:7" x14ac:dyDescent="0.25">
      <c r="G2184"/>
    </row>
    <row r="2185" spans="7:7" x14ac:dyDescent="0.25">
      <c r="G2185"/>
    </row>
    <row r="2186" spans="7:7" x14ac:dyDescent="0.25">
      <c r="G2186"/>
    </row>
    <row r="2187" spans="7:7" x14ac:dyDescent="0.25">
      <c r="G2187"/>
    </row>
    <row r="2188" spans="7:7" x14ac:dyDescent="0.25">
      <c r="G2188"/>
    </row>
    <row r="2189" spans="7:7" x14ac:dyDescent="0.25">
      <c r="G2189"/>
    </row>
    <row r="2190" spans="7:7" x14ac:dyDescent="0.25">
      <c r="G2190"/>
    </row>
    <row r="2191" spans="7:7" x14ac:dyDescent="0.25">
      <c r="G2191"/>
    </row>
    <row r="2192" spans="7:7" x14ac:dyDescent="0.25">
      <c r="G2192"/>
    </row>
    <row r="2193" spans="7:7" x14ac:dyDescent="0.25">
      <c r="G2193"/>
    </row>
    <row r="2194" spans="7:7" x14ac:dyDescent="0.25">
      <c r="G2194"/>
    </row>
    <row r="2195" spans="7:7" x14ac:dyDescent="0.25">
      <c r="G2195"/>
    </row>
    <row r="2196" spans="7:7" x14ac:dyDescent="0.25">
      <c r="G2196"/>
    </row>
    <row r="2197" spans="7:7" x14ac:dyDescent="0.25">
      <c r="G2197"/>
    </row>
    <row r="2198" spans="7:7" x14ac:dyDescent="0.25">
      <c r="G2198"/>
    </row>
    <row r="2199" spans="7:7" x14ac:dyDescent="0.25">
      <c r="G2199"/>
    </row>
    <row r="2200" spans="7:7" x14ac:dyDescent="0.25">
      <c r="G2200"/>
    </row>
    <row r="2201" spans="7:7" x14ac:dyDescent="0.25">
      <c r="G2201"/>
    </row>
    <row r="2202" spans="7:7" x14ac:dyDescent="0.25">
      <c r="G2202"/>
    </row>
    <row r="2203" spans="7:7" x14ac:dyDescent="0.25">
      <c r="G2203"/>
    </row>
    <row r="2204" spans="7:7" x14ac:dyDescent="0.25">
      <c r="G2204"/>
    </row>
    <row r="2205" spans="7:7" x14ac:dyDescent="0.25">
      <c r="G2205"/>
    </row>
    <row r="2206" spans="7:7" x14ac:dyDescent="0.25">
      <c r="G2206"/>
    </row>
    <row r="2207" spans="7:7" x14ac:dyDescent="0.25">
      <c r="G2207"/>
    </row>
    <row r="2208" spans="7:7" x14ac:dyDescent="0.25">
      <c r="G2208"/>
    </row>
    <row r="2209" spans="7:7" x14ac:dyDescent="0.25">
      <c r="G2209"/>
    </row>
    <row r="2210" spans="7:7" x14ac:dyDescent="0.25">
      <c r="G2210"/>
    </row>
    <row r="2211" spans="7:7" x14ac:dyDescent="0.25">
      <c r="G2211"/>
    </row>
    <row r="2212" spans="7:7" x14ac:dyDescent="0.25">
      <c r="G2212"/>
    </row>
    <row r="2213" spans="7:7" x14ac:dyDescent="0.25">
      <c r="G2213"/>
    </row>
    <row r="2214" spans="7:7" x14ac:dyDescent="0.25">
      <c r="G2214"/>
    </row>
    <row r="2215" spans="7:7" x14ac:dyDescent="0.25">
      <c r="G2215"/>
    </row>
    <row r="2216" spans="7:7" x14ac:dyDescent="0.25">
      <c r="G2216"/>
    </row>
    <row r="2217" spans="7:7" x14ac:dyDescent="0.25">
      <c r="G2217"/>
    </row>
    <row r="2218" spans="7:7" x14ac:dyDescent="0.25">
      <c r="G2218"/>
    </row>
    <row r="2219" spans="7:7" x14ac:dyDescent="0.25">
      <c r="G2219"/>
    </row>
    <row r="2220" spans="7:7" x14ac:dyDescent="0.25">
      <c r="G2220"/>
    </row>
    <row r="2221" spans="7:7" x14ac:dyDescent="0.25">
      <c r="G2221"/>
    </row>
    <row r="2222" spans="7:7" x14ac:dyDescent="0.25">
      <c r="G2222"/>
    </row>
    <row r="2223" spans="7:7" x14ac:dyDescent="0.25">
      <c r="G2223"/>
    </row>
    <row r="2224" spans="7:7" x14ac:dyDescent="0.25">
      <c r="G2224"/>
    </row>
    <row r="2225" spans="7:7" x14ac:dyDescent="0.25">
      <c r="G2225"/>
    </row>
    <row r="2226" spans="7:7" x14ac:dyDescent="0.25">
      <c r="G2226"/>
    </row>
    <row r="2227" spans="7:7" x14ac:dyDescent="0.25">
      <c r="G2227"/>
    </row>
    <row r="2228" spans="7:7" x14ac:dyDescent="0.25">
      <c r="G2228"/>
    </row>
    <row r="2229" spans="7:7" x14ac:dyDescent="0.25">
      <c r="G2229"/>
    </row>
    <row r="2230" spans="7:7" x14ac:dyDescent="0.25">
      <c r="G2230"/>
    </row>
    <row r="2231" spans="7:7" x14ac:dyDescent="0.25">
      <c r="G2231"/>
    </row>
    <row r="2232" spans="7:7" x14ac:dyDescent="0.25">
      <c r="G2232"/>
    </row>
    <row r="2233" spans="7:7" x14ac:dyDescent="0.25">
      <c r="G2233"/>
    </row>
    <row r="2234" spans="7:7" x14ac:dyDescent="0.25">
      <c r="G2234"/>
    </row>
    <row r="2235" spans="7:7" x14ac:dyDescent="0.25">
      <c r="G2235"/>
    </row>
    <row r="2236" spans="7:7" x14ac:dyDescent="0.25">
      <c r="G2236"/>
    </row>
    <row r="2237" spans="7:7" x14ac:dyDescent="0.25">
      <c r="G2237"/>
    </row>
    <row r="2238" spans="7:7" x14ac:dyDescent="0.25">
      <c r="G2238"/>
    </row>
    <row r="2239" spans="7:7" x14ac:dyDescent="0.25">
      <c r="G2239"/>
    </row>
    <row r="2240" spans="7:7" x14ac:dyDescent="0.25">
      <c r="G2240"/>
    </row>
    <row r="2241" spans="7:7" x14ac:dyDescent="0.25">
      <c r="G2241"/>
    </row>
    <row r="2242" spans="7:7" x14ac:dyDescent="0.25">
      <c r="G2242"/>
    </row>
    <row r="2243" spans="7:7" x14ac:dyDescent="0.25">
      <c r="G2243"/>
    </row>
    <row r="2244" spans="7:7" x14ac:dyDescent="0.25">
      <c r="G2244"/>
    </row>
    <row r="2245" spans="7:7" x14ac:dyDescent="0.25">
      <c r="G2245"/>
    </row>
    <row r="2246" spans="7:7" x14ac:dyDescent="0.25">
      <c r="G2246"/>
    </row>
    <row r="2247" spans="7:7" x14ac:dyDescent="0.25">
      <c r="G2247"/>
    </row>
    <row r="2248" spans="7:7" x14ac:dyDescent="0.25">
      <c r="G2248"/>
    </row>
    <row r="2249" spans="7:7" x14ac:dyDescent="0.25">
      <c r="G2249"/>
    </row>
    <row r="2250" spans="7:7" x14ac:dyDescent="0.25">
      <c r="G2250"/>
    </row>
    <row r="2251" spans="7:7" x14ac:dyDescent="0.25">
      <c r="G2251"/>
    </row>
    <row r="2252" spans="7:7" x14ac:dyDescent="0.25">
      <c r="G2252"/>
    </row>
    <row r="2253" spans="7:7" x14ac:dyDescent="0.25">
      <c r="G2253"/>
    </row>
    <row r="2254" spans="7:7" x14ac:dyDescent="0.25">
      <c r="G2254"/>
    </row>
    <row r="2255" spans="7:7" x14ac:dyDescent="0.25">
      <c r="G2255"/>
    </row>
    <row r="2256" spans="7:7" x14ac:dyDescent="0.25">
      <c r="G2256"/>
    </row>
    <row r="2257" spans="7:7" x14ac:dyDescent="0.25">
      <c r="G2257"/>
    </row>
    <row r="2258" spans="7:7" x14ac:dyDescent="0.25">
      <c r="G2258"/>
    </row>
    <row r="2259" spans="7:7" x14ac:dyDescent="0.25">
      <c r="G2259"/>
    </row>
    <row r="2260" spans="7:7" x14ac:dyDescent="0.25">
      <c r="G2260"/>
    </row>
    <row r="2261" spans="7:7" x14ac:dyDescent="0.25">
      <c r="G2261"/>
    </row>
    <row r="2262" spans="7:7" x14ac:dyDescent="0.25">
      <c r="G2262"/>
    </row>
    <row r="2263" spans="7:7" x14ac:dyDescent="0.25">
      <c r="G2263"/>
    </row>
    <row r="2264" spans="7:7" x14ac:dyDescent="0.25">
      <c r="G2264"/>
    </row>
    <row r="2265" spans="7:7" x14ac:dyDescent="0.25">
      <c r="G2265"/>
    </row>
    <row r="2266" spans="7:7" x14ac:dyDescent="0.25">
      <c r="G2266"/>
    </row>
    <row r="2267" spans="7:7" x14ac:dyDescent="0.25">
      <c r="G2267"/>
    </row>
    <row r="2268" spans="7:7" x14ac:dyDescent="0.25">
      <c r="G2268"/>
    </row>
    <row r="2269" spans="7:7" x14ac:dyDescent="0.25">
      <c r="G2269"/>
    </row>
    <row r="2270" spans="7:7" x14ac:dyDescent="0.25">
      <c r="G2270"/>
    </row>
    <row r="2271" spans="7:7" x14ac:dyDescent="0.25">
      <c r="G2271"/>
    </row>
    <row r="2272" spans="7:7" x14ac:dyDescent="0.25">
      <c r="G2272"/>
    </row>
    <row r="2273" spans="7:7" x14ac:dyDescent="0.25">
      <c r="G2273"/>
    </row>
    <row r="2274" spans="7:7" x14ac:dyDescent="0.25">
      <c r="G2274"/>
    </row>
    <row r="2275" spans="7:7" x14ac:dyDescent="0.25">
      <c r="G2275"/>
    </row>
    <row r="2276" spans="7:7" x14ac:dyDescent="0.25">
      <c r="G2276"/>
    </row>
    <row r="2277" spans="7:7" x14ac:dyDescent="0.25">
      <c r="G2277"/>
    </row>
    <row r="2278" spans="7:7" x14ac:dyDescent="0.25">
      <c r="G2278"/>
    </row>
    <row r="2279" spans="7:7" x14ac:dyDescent="0.25">
      <c r="G2279"/>
    </row>
    <row r="2280" spans="7:7" x14ac:dyDescent="0.25">
      <c r="G2280"/>
    </row>
    <row r="2281" spans="7:7" x14ac:dyDescent="0.25">
      <c r="G2281"/>
    </row>
    <row r="2282" spans="7:7" x14ac:dyDescent="0.25">
      <c r="G2282"/>
    </row>
    <row r="2283" spans="7:7" x14ac:dyDescent="0.25">
      <c r="G2283"/>
    </row>
    <row r="2284" spans="7:7" x14ac:dyDescent="0.25">
      <c r="G2284"/>
    </row>
    <row r="2285" spans="7:7" x14ac:dyDescent="0.25">
      <c r="G2285"/>
    </row>
    <row r="2286" spans="7:7" x14ac:dyDescent="0.25">
      <c r="G2286"/>
    </row>
    <row r="2287" spans="7:7" x14ac:dyDescent="0.25">
      <c r="G2287"/>
    </row>
    <row r="2288" spans="7:7" x14ac:dyDescent="0.25">
      <c r="G2288"/>
    </row>
    <row r="2289" spans="7:7" x14ac:dyDescent="0.25">
      <c r="G2289"/>
    </row>
    <row r="2290" spans="7:7" x14ac:dyDescent="0.25">
      <c r="G2290"/>
    </row>
    <row r="2291" spans="7:7" x14ac:dyDescent="0.25">
      <c r="G2291"/>
    </row>
    <row r="2292" spans="7:7" x14ac:dyDescent="0.25">
      <c r="G2292"/>
    </row>
    <row r="2293" spans="7:7" x14ac:dyDescent="0.25">
      <c r="G2293"/>
    </row>
    <row r="2294" spans="7:7" x14ac:dyDescent="0.25">
      <c r="G2294"/>
    </row>
    <row r="2295" spans="7:7" x14ac:dyDescent="0.25">
      <c r="G2295"/>
    </row>
    <row r="2296" spans="7:7" x14ac:dyDescent="0.25">
      <c r="G2296"/>
    </row>
    <row r="2297" spans="7:7" x14ac:dyDescent="0.25">
      <c r="G2297"/>
    </row>
    <row r="2298" spans="7:7" x14ac:dyDescent="0.25">
      <c r="G2298"/>
    </row>
    <row r="2299" spans="7:7" x14ac:dyDescent="0.25">
      <c r="G2299"/>
    </row>
    <row r="2300" spans="7:7" x14ac:dyDescent="0.25">
      <c r="G2300"/>
    </row>
    <row r="2301" spans="7:7" x14ac:dyDescent="0.25">
      <c r="G2301"/>
    </row>
    <row r="2302" spans="7:7" x14ac:dyDescent="0.25">
      <c r="G2302"/>
    </row>
    <row r="2303" spans="7:7" x14ac:dyDescent="0.25">
      <c r="G2303"/>
    </row>
    <row r="2304" spans="7:7" x14ac:dyDescent="0.25">
      <c r="G2304"/>
    </row>
    <row r="2305" spans="7:7" x14ac:dyDescent="0.25">
      <c r="G2305"/>
    </row>
    <row r="2306" spans="7:7" x14ac:dyDescent="0.25">
      <c r="G2306"/>
    </row>
    <row r="2307" spans="7:7" x14ac:dyDescent="0.25">
      <c r="G2307"/>
    </row>
    <row r="2308" spans="7:7" x14ac:dyDescent="0.25">
      <c r="G2308"/>
    </row>
    <row r="2309" spans="7:7" x14ac:dyDescent="0.25">
      <c r="G2309"/>
    </row>
    <row r="2310" spans="7:7" x14ac:dyDescent="0.25">
      <c r="G2310"/>
    </row>
    <row r="2311" spans="7:7" x14ac:dyDescent="0.25">
      <c r="G2311"/>
    </row>
    <row r="2312" spans="7:7" x14ac:dyDescent="0.25">
      <c r="G2312"/>
    </row>
    <row r="2313" spans="7:7" x14ac:dyDescent="0.25">
      <c r="G2313"/>
    </row>
    <row r="2314" spans="7:7" x14ac:dyDescent="0.25">
      <c r="G2314"/>
    </row>
    <row r="2315" spans="7:7" x14ac:dyDescent="0.25">
      <c r="G2315"/>
    </row>
    <row r="2316" spans="7:7" x14ac:dyDescent="0.25">
      <c r="G2316"/>
    </row>
    <row r="2317" spans="7:7" x14ac:dyDescent="0.25">
      <c r="G2317"/>
    </row>
    <row r="2318" spans="7:7" x14ac:dyDescent="0.25">
      <c r="G2318"/>
    </row>
    <row r="2319" spans="7:7" x14ac:dyDescent="0.25">
      <c r="G2319"/>
    </row>
    <row r="2320" spans="7:7" x14ac:dyDescent="0.25">
      <c r="G2320"/>
    </row>
    <row r="2321" spans="7:7" x14ac:dyDescent="0.25">
      <c r="G2321"/>
    </row>
    <row r="2322" spans="7:7" x14ac:dyDescent="0.25">
      <c r="G2322"/>
    </row>
    <row r="2323" spans="7:7" x14ac:dyDescent="0.25">
      <c r="G2323"/>
    </row>
    <row r="2324" spans="7:7" x14ac:dyDescent="0.25">
      <c r="G2324"/>
    </row>
    <row r="2325" spans="7:7" x14ac:dyDescent="0.25">
      <c r="G2325"/>
    </row>
    <row r="2326" spans="7:7" x14ac:dyDescent="0.25">
      <c r="G2326"/>
    </row>
    <row r="2327" spans="7:7" x14ac:dyDescent="0.25">
      <c r="G2327"/>
    </row>
    <row r="2328" spans="7:7" x14ac:dyDescent="0.25">
      <c r="G2328"/>
    </row>
    <row r="2329" spans="7:7" x14ac:dyDescent="0.25">
      <c r="G2329"/>
    </row>
    <row r="2330" spans="7:7" x14ac:dyDescent="0.25">
      <c r="G2330"/>
    </row>
    <row r="2331" spans="7:7" x14ac:dyDescent="0.25">
      <c r="G2331"/>
    </row>
    <row r="2332" spans="7:7" x14ac:dyDescent="0.25">
      <c r="G2332"/>
    </row>
    <row r="2333" spans="7:7" x14ac:dyDescent="0.25">
      <c r="G2333"/>
    </row>
    <row r="2334" spans="7:7" x14ac:dyDescent="0.25">
      <c r="G2334"/>
    </row>
    <row r="2335" spans="7:7" x14ac:dyDescent="0.25">
      <c r="G2335"/>
    </row>
    <row r="2336" spans="7:7" x14ac:dyDescent="0.25">
      <c r="G2336"/>
    </row>
    <row r="2337" spans="7:7" x14ac:dyDescent="0.25">
      <c r="G2337"/>
    </row>
    <row r="2338" spans="7:7" x14ac:dyDescent="0.25">
      <c r="G2338"/>
    </row>
    <row r="2339" spans="7:7" x14ac:dyDescent="0.25">
      <c r="G2339"/>
    </row>
    <row r="2340" spans="7:7" x14ac:dyDescent="0.25">
      <c r="G2340"/>
    </row>
    <row r="2341" spans="7:7" x14ac:dyDescent="0.25">
      <c r="G2341"/>
    </row>
    <row r="2342" spans="7:7" x14ac:dyDescent="0.25">
      <c r="G2342"/>
    </row>
    <row r="2343" spans="7:7" x14ac:dyDescent="0.25">
      <c r="G2343"/>
    </row>
    <row r="2344" spans="7:7" x14ac:dyDescent="0.25">
      <c r="G2344"/>
    </row>
    <row r="2345" spans="7:7" x14ac:dyDescent="0.25">
      <c r="G2345"/>
    </row>
    <row r="2346" spans="7:7" x14ac:dyDescent="0.25">
      <c r="G2346"/>
    </row>
    <row r="2347" spans="7:7" x14ac:dyDescent="0.25">
      <c r="G2347"/>
    </row>
    <row r="2348" spans="7:7" x14ac:dyDescent="0.25">
      <c r="G2348"/>
    </row>
    <row r="2349" spans="7:7" x14ac:dyDescent="0.25">
      <c r="G2349"/>
    </row>
    <row r="2350" spans="7:7" x14ac:dyDescent="0.25">
      <c r="G2350"/>
    </row>
    <row r="2351" spans="7:7" x14ac:dyDescent="0.25">
      <c r="G2351"/>
    </row>
    <row r="2352" spans="7:7" x14ac:dyDescent="0.25">
      <c r="G2352"/>
    </row>
    <row r="2353" spans="7:7" x14ac:dyDescent="0.25">
      <c r="G2353"/>
    </row>
    <row r="2354" spans="7:7" x14ac:dyDescent="0.25">
      <c r="G2354"/>
    </row>
    <row r="2355" spans="7:7" x14ac:dyDescent="0.25">
      <c r="G2355"/>
    </row>
    <row r="2356" spans="7:7" x14ac:dyDescent="0.25">
      <c r="G2356"/>
    </row>
    <row r="2357" spans="7:7" x14ac:dyDescent="0.25">
      <c r="G2357"/>
    </row>
    <row r="2358" spans="7:7" x14ac:dyDescent="0.25">
      <c r="G2358"/>
    </row>
    <row r="2359" spans="7:7" x14ac:dyDescent="0.25">
      <c r="G2359"/>
    </row>
    <row r="2360" spans="7:7" x14ac:dyDescent="0.25">
      <c r="G2360"/>
    </row>
    <row r="2361" spans="7:7" x14ac:dyDescent="0.25">
      <c r="G2361"/>
    </row>
    <row r="2362" spans="7:7" x14ac:dyDescent="0.25">
      <c r="G2362"/>
    </row>
    <row r="2363" spans="7:7" x14ac:dyDescent="0.25">
      <c r="G2363"/>
    </row>
    <row r="2364" spans="7:7" x14ac:dyDescent="0.25">
      <c r="G2364"/>
    </row>
    <row r="2365" spans="7:7" x14ac:dyDescent="0.25">
      <c r="G2365"/>
    </row>
    <row r="2366" spans="7:7" x14ac:dyDescent="0.25">
      <c r="G2366"/>
    </row>
    <row r="2367" spans="7:7" x14ac:dyDescent="0.25">
      <c r="G2367"/>
    </row>
    <row r="2368" spans="7:7" x14ac:dyDescent="0.25">
      <c r="G2368"/>
    </row>
    <row r="2369" spans="7:7" x14ac:dyDescent="0.25">
      <c r="G2369"/>
    </row>
    <row r="2370" spans="7:7" x14ac:dyDescent="0.25">
      <c r="G2370"/>
    </row>
    <row r="2371" spans="7:7" x14ac:dyDescent="0.25">
      <c r="G2371"/>
    </row>
    <row r="2372" spans="7:7" x14ac:dyDescent="0.25">
      <c r="G2372"/>
    </row>
    <row r="2373" spans="7:7" x14ac:dyDescent="0.25">
      <c r="G2373"/>
    </row>
    <row r="2374" spans="7:7" x14ac:dyDescent="0.25">
      <c r="G2374"/>
    </row>
    <row r="2375" spans="7:7" x14ac:dyDescent="0.25">
      <c r="G2375"/>
    </row>
    <row r="2376" spans="7:7" x14ac:dyDescent="0.25">
      <c r="G2376"/>
    </row>
    <row r="2377" spans="7:7" x14ac:dyDescent="0.25">
      <c r="G2377"/>
    </row>
    <row r="2378" spans="7:7" x14ac:dyDescent="0.25">
      <c r="G2378"/>
    </row>
    <row r="2379" spans="7:7" x14ac:dyDescent="0.25">
      <c r="G2379"/>
    </row>
    <row r="2380" spans="7:7" x14ac:dyDescent="0.25">
      <c r="G2380"/>
    </row>
    <row r="2381" spans="7:7" x14ac:dyDescent="0.25">
      <c r="G2381"/>
    </row>
    <row r="2382" spans="7:7" x14ac:dyDescent="0.25">
      <c r="G2382"/>
    </row>
    <row r="2383" spans="7:7" x14ac:dyDescent="0.25">
      <c r="G2383"/>
    </row>
    <row r="2384" spans="7:7" x14ac:dyDescent="0.25">
      <c r="G2384"/>
    </row>
    <row r="2385" spans="7:7" x14ac:dyDescent="0.25">
      <c r="G2385"/>
    </row>
    <row r="2386" spans="7:7" x14ac:dyDescent="0.25">
      <c r="G2386"/>
    </row>
    <row r="2387" spans="7:7" x14ac:dyDescent="0.25">
      <c r="G2387"/>
    </row>
    <row r="2388" spans="7:7" x14ac:dyDescent="0.25">
      <c r="G2388"/>
    </row>
    <row r="2389" spans="7:7" x14ac:dyDescent="0.25">
      <c r="G2389"/>
    </row>
    <row r="2390" spans="7:7" x14ac:dyDescent="0.25">
      <c r="G2390"/>
    </row>
    <row r="2391" spans="7:7" x14ac:dyDescent="0.25">
      <c r="G2391"/>
    </row>
    <row r="2392" spans="7:7" x14ac:dyDescent="0.25">
      <c r="G2392"/>
    </row>
    <row r="2393" spans="7:7" x14ac:dyDescent="0.25">
      <c r="G2393"/>
    </row>
    <row r="2394" spans="7:7" x14ac:dyDescent="0.25">
      <c r="G2394"/>
    </row>
    <row r="2395" spans="7:7" x14ac:dyDescent="0.25">
      <c r="G2395"/>
    </row>
    <row r="2396" spans="7:7" x14ac:dyDescent="0.25">
      <c r="G2396"/>
    </row>
    <row r="2397" spans="7:7" x14ac:dyDescent="0.25">
      <c r="G2397"/>
    </row>
    <row r="2398" spans="7:7" x14ac:dyDescent="0.25">
      <c r="G2398"/>
    </row>
    <row r="2399" spans="7:7" x14ac:dyDescent="0.25">
      <c r="G2399"/>
    </row>
    <row r="2400" spans="7:7" x14ac:dyDescent="0.25">
      <c r="G2400"/>
    </row>
    <row r="2401" spans="7:7" x14ac:dyDescent="0.25">
      <c r="G2401"/>
    </row>
    <row r="2402" spans="7:7" x14ac:dyDescent="0.25">
      <c r="G2402"/>
    </row>
    <row r="2403" spans="7:7" x14ac:dyDescent="0.25">
      <c r="G2403"/>
    </row>
    <row r="2404" spans="7:7" x14ac:dyDescent="0.25">
      <c r="G2404"/>
    </row>
    <row r="2405" spans="7:7" x14ac:dyDescent="0.25">
      <c r="G2405"/>
    </row>
    <row r="2406" spans="7:7" x14ac:dyDescent="0.25">
      <c r="G2406"/>
    </row>
    <row r="2407" spans="7:7" x14ac:dyDescent="0.25">
      <c r="G2407"/>
    </row>
    <row r="2408" spans="7:7" x14ac:dyDescent="0.25">
      <c r="G2408"/>
    </row>
    <row r="2409" spans="7:7" x14ac:dyDescent="0.25">
      <c r="G2409"/>
    </row>
    <row r="2410" spans="7:7" x14ac:dyDescent="0.25">
      <c r="G2410"/>
    </row>
    <row r="2411" spans="7:7" x14ac:dyDescent="0.25">
      <c r="G2411"/>
    </row>
    <row r="2412" spans="7:7" x14ac:dyDescent="0.25">
      <c r="G2412"/>
    </row>
    <row r="2413" spans="7:7" x14ac:dyDescent="0.25">
      <c r="G2413"/>
    </row>
    <row r="2414" spans="7:7" x14ac:dyDescent="0.25">
      <c r="G2414"/>
    </row>
    <row r="2415" spans="7:7" x14ac:dyDescent="0.25">
      <c r="G2415"/>
    </row>
    <row r="2416" spans="7:7" x14ac:dyDescent="0.25">
      <c r="G2416"/>
    </row>
    <row r="2417" spans="7:7" x14ac:dyDescent="0.25">
      <c r="G2417"/>
    </row>
    <row r="2418" spans="7:7" x14ac:dyDescent="0.25">
      <c r="G2418"/>
    </row>
    <row r="2419" spans="7:7" x14ac:dyDescent="0.25">
      <c r="G2419"/>
    </row>
    <row r="2420" spans="7:7" x14ac:dyDescent="0.25">
      <c r="G2420"/>
    </row>
    <row r="2421" spans="7:7" x14ac:dyDescent="0.25">
      <c r="G2421"/>
    </row>
    <row r="2422" spans="7:7" x14ac:dyDescent="0.25">
      <c r="G2422"/>
    </row>
    <row r="2423" spans="7:7" x14ac:dyDescent="0.25">
      <c r="G2423"/>
    </row>
    <row r="2424" spans="7:7" x14ac:dyDescent="0.25">
      <c r="G2424"/>
    </row>
    <row r="2425" spans="7:7" x14ac:dyDescent="0.25">
      <c r="G2425"/>
    </row>
    <row r="2426" spans="7:7" x14ac:dyDescent="0.25">
      <c r="G2426"/>
    </row>
    <row r="2427" spans="7:7" x14ac:dyDescent="0.25">
      <c r="G2427"/>
    </row>
    <row r="2428" spans="7:7" x14ac:dyDescent="0.25">
      <c r="G2428"/>
    </row>
    <row r="2429" spans="7:7" x14ac:dyDescent="0.25">
      <c r="G2429"/>
    </row>
    <row r="2430" spans="7:7" x14ac:dyDescent="0.25">
      <c r="G2430"/>
    </row>
    <row r="2431" spans="7:7" x14ac:dyDescent="0.25">
      <c r="G2431"/>
    </row>
    <row r="2432" spans="7:7" x14ac:dyDescent="0.25">
      <c r="G2432"/>
    </row>
    <row r="2433" spans="7:7" x14ac:dyDescent="0.25">
      <c r="G2433"/>
    </row>
    <row r="2434" spans="7:7" x14ac:dyDescent="0.25">
      <c r="G2434"/>
    </row>
    <row r="2435" spans="7:7" x14ac:dyDescent="0.25">
      <c r="G2435"/>
    </row>
    <row r="2436" spans="7:7" x14ac:dyDescent="0.25">
      <c r="G2436"/>
    </row>
    <row r="2437" spans="7:7" x14ac:dyDescent="0.25">
      <c r="G2437"/>
    </row>
    <row r="2438" spans="7:7" x14ac:dyDescent="0.25">
      <c r="G2438"/>
    </row>
    <row r="2439" spans="7:7" x14ac:dyDescent="0.25">
      <c r="G2439"/>
    </row>
    <row r="2440" spans="7:7" x14ac:dyDescent="0.25">
      <c r="G2440"/>
    </row>
    <row r="2441" spans="7:7" x14ac:dyDescent="0.25">
      <c r="G2441"/>
    </row>
    <row r="2442" spans="7:7" x14ac:dyDescent="0.25">
      <c r="G2442"/>
    </row>
    <row r="2443" spans="7:7" x14ac:dyDescent="0.25">
      <c r="G2443"/>
    </row>
    <row r="2444" spans="7:7" x14ac:dyDescent="0.25">
      <c r="G2444"/>
    </row>
    <row r="2445" spans="7:7" x14ac:dyDescent="0.25">
      <c r="G2445"/>
    </row>
    <row r="2446" spans="7:7" x14ac:dyDescent="0.25">
      <c r="G2446"/>
    </row>
    <row r="2447" spans="7:7" x14ac:dyDescent="0.25">
      <c r="G2447"/>
    </row>
    <row r="2448" spans="7:7" x14ac:dyDescent="0.25">
      <c r="G2448"/>
    </row>
    <row r="2449" spans="7:7" x14ac:dyDescent="0.25">
      <c r="G2449"/>
    </row>
    <row r="2450" spans="7:7" x14ac:dyDescent="0.25">
      <c r="G2450"/>
    </row>
    <row r="2451" spans="7:7" x14ac:dyDescent="0.25">
      <c r="G2451"/>
    </row>
    <row r="2452" spans="7:7" x14ac:dyDescent="0.25">
      <c r="G2452"/>
    </row>
    <row r="2453" spans="7:7" x14ac:dyDescent="0.25">
      <c r="G2453"/>
    </row>
    <row r="2454" spans="7:7" x14ac:dyDescent="0.25">
      <c r="G2454"/>
    </row>
    <row r="2455" spans="7:7" x14ac:dyDescent="0.25">
      <c r="G2455"/>
    </row>
    <row r="2456" spans="7:7" x14ac:dyDescent="0.25">
      <c r="G2456"/>
    </row>
    <row r="2457" spans="7:7" x14ac:dyDescent="0.25">
      <c r="G2457"/>
    </row>
    <row r="2458" spans="7:7" x14ac:dyDescent="0.25">
      <c r="G2458"/>
    </row>
    <row r="2459" spans="7:7" x14ac:dyDescent="0.25">
      <c r="G2459"/>
    </row>
    <row r="2460" spans="7:7" x14ac:dyDescent="0.25">
      <c r="G2460"/>
    </row>
    <row r="2461" spans="7:7" x14ac:dyDescent="0.25">
      <c r="G2461"/>
    </row>
    <row r="2462" spans="7:7" x14ac:dyDescent="0.25">
      <c r="G2462"/>
    </row>
    <row r="2463" spans="7:7" x14ac:dyDescent="0.25">
      <c r="G2463"/>
    </row>
    <row r="2464" spans="7:7" x14ac:dyDescent="0.25">
      <c r="G2464"/>
    </row>
    <row r="2465" spans="7:7" x14ac:dyDescent="0.25">
      <c r="G2465"/>
    </row>
    <row r="2466" spans="7:7" x14ac:dyDescent="0.25">
      <c r="G2466"/>
    </row>
    <row r="2467" spans="7:7" x14ac:dyDescent="0.25">
      <c r="G2467"/>
    </row>
    <row r="2468" spans="7:7" x14ac:dyDescent="0.25">
      <c r="G2468"/>
    </row>
    <row r="2469" spans="7:7" x14ac:dyDescent="0.25">
      <c r="G2469"/>
    </row>
    <row r="2470" spans="7:7" x14ac:dyDescent="0.25">
      <c r="G2470"/>
    </row>
    <row r="2471" spans="7:7" x14ac:dyDescent="0.25">
      <c r="G2471"/>
    </row>
    <row r="2472" spans="7:7" x14ac:dyDescent="0.25">
      <c r="G2472"/>
    </row>
    <row r="2473" spans="7:7" x14ac:dyDescent="0.25">
      <c r="G2473"/>
    </row>
    <row r="2474" spans="7:7" x14ac:dyDescent="0.25">
      <c r="G2474"/>
    </row>
    <row r="2475" spans="7:7" x14ac:dyDescent="0.25">
      <c r="G2475"/>
    </row>
    <row r="2476" spans="7:7" x14ac:dyDescent="0.25">
      <c r="G2476"/>
    </row>
    <row r="2477" spans="7:7" x14ac:dyDescent="0.25">
      <c r="G2477"/>
    </row>
    <row r="2478" spans="7:7" x14ac:dyDescent="0.25">
      <c r="G2478"/>
    </row>
    <row r="2479" spans="7:7" x14ac:dyDescent="0.25">
      <c r="G2479"/>
    </row>
    <row r="2480" spans="7:7" x14ac:dyDescent="0.25">
      <c r="G2480"/>
    </row>
    <row r="2481" spans="7:7" x14ac:dyDescent="0.25">
      <c r="G2481"/>
    </row>
    <row r="2482" spans="7:7" x14ac:dyDescent="0.25">
      <c r="G2482"/>
    </row>
    <row r="2483" spans="7:7" x14ac:dyDescent="0.25">
      <c r="G2483"/>
    </row>
    <row r="2484" spans="7:7" x14ac:dyDescent="0.25">
      <c r="G2484"/>
    </row>
    <row r="2485" spans="7:7" x14ac:dyDescent="0.25">
      <c r="G2485"/>
    </row>
    <row r="2486" spans="7:7" x14ac:dyDescent="0.25">
      <c r="G2486"/>
    </row>
  </sheetData>
  <conditionalFormatting sqref="A2:A56">
    <cfRule type="containsText" dxfId="106" priority="5" operator="containsText" text="Partner Acct">
      <formula>NOT(ISERROR(SEARCH("Partner Acct",A2)))</formula>
    </cfRule>
  </conditionalFormatting>
  <conditionalFormatting pivot="1" sqref="D2:D75">
    <cfRule type="cellIs" dxfId="105" priority="4" operator="lessThan">
      <formula>0</formula>
    </cfRule>
  </conditionalFormatting>
  <conditionalFormatting pivot="1" sqref="H2:H75">
    <cfRule type="cellIs" dxfId="104" priority="3" operator="lessThan">
      <formula>0</formula>
    </cfRule>
  </conditionalFormatting>
  <conditionalFormatting pivot="1" sqref="E2:E75">
    <cfRule type="cellIs" dxfId="103" priority="2" operator="lessThan">
      <formula>0</formula>
    </cfRule>
  </conditionalFormatting>
  <conditionalFormatting pivot="1" sqref="I2:I75">
    <cfRule type="cellIs" dxfId="102" priority="1" operator="lessThan">
      <formula>0</formula>
    </cfRule>
  </conditionalFormatting>
  <pageMargins left="0.7" right="0.7" top="0.75" bottom="0.75" header="0.3" footer="0.3"/>
  <pageSetup scale="85" orientation="landscape" r:id="rId2"/>
  <customProperties>
    <customPr name="_pios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09ED-B224-4A39-B92D-6EB110B283FF}">
  <dimension ref="A1:I2486"/>
  <sheetViews>
    <sheetView zoomScaleNormal="100" workbookViewId="0"/>
  </sheetViews>
  <sheetFormatPr defaultRowHeight="12.5" x14ac:dyDescent="0.25"/>
  <cols>
    <col min="1" max="1" width="50.26953125" bestFit="1" customWidth="1"/>
    <col min="2" max="3" width="9.90625" bestFit="1" customWidth="1"/>
    <col min="4" max="4" width="10.26953125" bestFit="1" customWidth="1"/>
    <col min="5" max="5" width="9.7265625" bestFit="1" customWidth="1"/>
    <col min="6" max="6" width="9.90625" bestFit="1" customWidth="1"/>
    <col min="7" max="7" width="9.90625" style="1" bestFit="1" customWidth="1"/>
    <col min="8" max="8" width="9.54296875" bestFit="1" customWidth="1"/>
    <col min="9" max="9" width="7.90625" bestFit="1" customWidth="1"/>
    <col min="10" max="10" width="8.1796875" customWidth="1"/>
    <col min="11" max="11" width="6.81640625" customWidth="1"/>
    <col min="12" max="12" width="8.1796875" customWidth="1"/>
  </cols>
  <sheetData>
    <row r="1" spans="1:9" ht="39" x14ac:dyDescent="0.3">
      <c r="A1" s="59" t="s">
        <v>201</v>
      </c>
      <c r="B1" s="37" t="s">
        <v>913</v>
      </c>
      <c r="C1" s="38" t="s">
        <v>915</v>
      </c>
      <c r="D1" s="38" t="s">
        <v>916</v>
      </c>
      <c r="E1" s="39" t="s">
        <v>917</v>
      </c>
      <c r="F1" s="37" t="s">
        <v>914</v>
      </c>
      <c r="G1" s="38" t="s">
        <v>644</v>
      </c>
      <c r="H1" s="38" t="s">
        <v>918</v>
      </c>
      <c r="I1" s="39" t="s">
        <v>919</v>
      </c>
    </row>
    <row r="2" spans="1:9" x14ac:dyDescent="0.25">
      <c r="A2" s="21" t="s">
        <v>180</v>
      </c>
      <c r="B2" s="27">
        <v>737043.14</v>
      </c>
      <c r="C2" s="27">
        <v>664187.04</v>
      </c>
      <c r="D2" s="28">
        <v>72856.099999999977</v>
      </c>
      <c r="E2" s="30">
        <v>0.10969214334564549</v>
      </c>
      <c r="F2" s="40">
        <v>1601009.5330000001</v>
      </c>
      <c r="G2" s="29">
        <v>1498163.6410000001</v>
      </c>
      <c r="H2" s="29">
        <v>102845.89199999999</v>
      </c>
      <c r="I2" s="41">
        <v>6.8647969544469806E-2</v>
      </c>
    </row>
    <row r="3" spans="1:9" x14ac:dyDescent="0.25">
      <c r="A3" s="21" t="s">
        <v>179</v>
      </c>
      <c r="B3" s="27">
        <v>467602.51</v>
      </c>
      <c r="C3" s="27">
        <v>596340.40999999992</v>
      </c>
      <c r="D3" s="28">
        <v>-128737.89999999991</v>
      </c>
      <c r="E3" s="30">
        <v>-0.21587988645612649</v>
      </c>
      <c r="F3" s="40">
        <v>1005579.028</v>
      </c>
      <c r="G3" s="29">
        <v>1300734.933</v>
      </c>
      <c r="H3" s="29">
        <v>-295155.90499999991</v>
      </c>
      <c r="I3" s="41">
        <v>-0.22691472144847818</v>
      </c>
    </row>
    <row r="4" spans="1:9" x14ac:dyDescent="0.25">
      <c r="A4" s="21" t="s">
        <v>183</v>
      </c>
      <c r="B4" s="27">
        <v>266858.06</v>
      </c>
      <c r="C4" s="27">
        <v>156738.08000000002</v>
      </c>
      <c r="D4" s="28">
        <v>110119.97999999998</v>
      </c>
      <c r="E4" s="30">
        <v>0.70257323555322337</v>
      </c>
      <c r="F4" s="40">
        <v>579077.36100000003</v>
      </c>
      <c r="G4" s="29">
        <v>354322.527</v>
      </c>
      <c r="H4" s="29">
        <v>224754.83400000003</v>
      </c>
      <c r="I4" s="41">
        <v>0.63432273387460925</v>
      </c>
    </row>
    <row r="5" spans="1:9" x14ac:dyDescent="0.25">
      <c r="A5" s="21" t="s">
        <v>184</v>
      </c>
      <c r="B5" s="27">
        <v>224667.43</v>
      </c>
      <c r="C5" s="27">
        <v>273218.14</v>
      </c>
      <c r="D5" s="28">
        <v>-48550.710000000021</v>
      </c>
      <c r="E5" s="30">
        <v>-0.17769943825838219</v>
      </c>
      <c r="F5" s="40">
        <v>487346.12400000001</v>
      </c>
      <c r="G5" s="29">
        <v>617872.71100000001</v>
      </c>
      <c r="H5" s="29">
        <v>-130526.587</v>
      </c>
      <c r="I5" s="41">
        <v>-0.2112515809101658</v>
      </c>
    </row>
    <row r="6" spans="1:9" x14ac:dyDescent="0.25">
      <c r="A6" s="21" t="s">
        <v>430</v>
      </c>
      <c r="B6" s="27">
        <v>223367.79</v>
      </c>
      <c r="C6" s="27">
        <v>252405.31</v>
      </c>
      <c r="D6" s="28">
        <v>-29037.51999999999</v>
      </c>
      <c r="E6" s="30">
        <v>-0.11504322155504569</v>
      </c>
      <c r="F6" s="40">
        <v>484334.78300000005</v>
      </c>
      <c r="G6" s="29">
        <v>569161.46</v>
      </c>
      <c r="H6" s="29">
        <v>-84826.676999999909</v>
      </c>
      <c r="I6" s="41">
        <v>-0.14903798475743582</v>
      </c>
    </row>
    <row r="7" spans="1:9" x14ac:dyDescent="0.25">
      <c r="A7" s="21" t="s">
        <v>181</v>
      </c>
      <c r="B7" s="27">
        <v>223035.12</v>
      </c>
      <c r="C7" s="27">
        <v>358615.54</v>
      </c>
      <c r="D7" s="28">
        <v>-135580.41999999998</v>
      </c>
      <c r="E7" s="30">
        <v>-0.37806621542390489</v>
      </c>
      <c r="F7" s="40">
        <v>484334.78300000005</v>
      </c>
      <c r="G7" s="29">
        <v>810431.28</v>
      </c>
      <c r="H7" s="29">
        <v>-326096.49699999997</v>
      </c>
      <c r="I7" s="41">
        <v>-0.40237402608645606</v>
      </c>
    </row>
    <row r="8" spans="1:9" x14ac:dyDescent="0.25">
      <c r="A8" s="21" t="s">
        <v>182</v>
      </c>
      <c r="B8" s="27">
        <v>215001.83</v>
      </c>
      <c r="C8" s="27">
        <v>281727.56</v>
      </c>
      <c r="D8" s="28">
        <v>-66725.73000000001</v>
      </c>
      <c r="E8" s="30">
        <v>-0.23684487949989702</v>
      </c>
      <c r="F8" s="40">
        <v>466803.23800000001</v>
      </c>
      <c r="G8" s="29">
        <v>616665.99799999991</v>
      </c>
      <c r="H8" s="29">
        <v>-149862.75999999989</v>
      </c>
      <c r="I8" s="41">
        <v>-0.24302095540542501</v>
      </c>
    </row>
    <row r="9" spans="1:9" x14ac:dyDescent="0.25">
      <c r="A9" s="21" t="s">
        <v>1223</v>
      </c>
      <c r="B9" s="27">
        <v>161969.54</v>
      </c>
      <c r="C9" s="27"/>
      <c r="D9" s="28">
        <v>161969.54</v>
      </c>
      <c r="E9" s="30">
        <v>1</v>
      </c>
      <c r="F9" s="40">
        <v>351342.554</v>
      </c>
      <c r="G9" s="29"/>
      <c r="H9" s="29">
        <v>351342.554</v>
      </c>
      <c r="I9" s="41">
        <v>1</v>
      </c>
    </row>
    <row r="10" spans="1:9" x14ac:dyDescent="0.25">
      <c r="A10" s="21" t="s">
        <v>137</v>
      </c>
      <c r="B10" s="27">
        <v>147265.90999999997</v>
      </c>
      <c r="C10" s="27">
        <v>107600.27999999998</v>
      </c>
      <c r="D10" s="28">
        <v>39665.62999999999</v>
      </c>
      <c r="E10" s="30">
        <v>0.36863872473194303</v>
      </c>
      <c r="F10" s="40">
        <v>458071.04200000002</v>
      </c>
      <c r="G10" s="29">
        <v>305213.88399999996</v>
      </c>
      <c r="H10" s="29">
        <v>152857.15800000005</v>
      </c>
      <c r="I10" s="41">
        <v>0.50081980543191829</v>
      </c>
    </row>
    <row r="11" spans="1:9" x14ac:dyDescent="0.25">
      <c r="A11" s="21" t="s">
        <v>319</v>
      </c>
      <c r="B11" s="27">
        <v>95529.670000000013</v>
      </c>
      <c r="C11" s="27">
        <v>64788.770000000004</v>
      </c>
      <c r="D11" s="28">
        <v>30740.900000000009</v>
      </c>
      <c r="E11" s="30">
        <v>0.47447883329163382</v>
      </c>
      <c r="F11" s="40">
        <v>351876.07799999998</v>
      </c>
      <c r="G11" s="29">
        <v>255247.454</v>
      </c>
      <c r="H11" s="29">
        <v>96628.623999999982</v>
      </c>
      <c r="I11" s="41">
        <v>0.37856841463343249</v>
      </c>
    </row>
    <row r="12" spans="1:9" x14ac:dyDescent="0.25">
      <c r="A12" s="21" t="s">
        <v>525</v>
      </c>
      <c r="B12" s="27">
        <v>86935.930000000008</v>
      </c>
      <c r="C12" s="27">
        <v>81130.340000000011</v>
      </c>
      <c r="D12" s="28">
        <v>5805.5899999999965</v>
      </c>
      <c r="E12" s="30">
        <v>7.1558802785739534E-2</v>
      </c>
      <c r="F12" s="40">
        <v>90298.703000000009</v>
      </c>
      <c r="G12" s="29">
        <v>321091.68599999999</v>
      </c>
      <c r="H12" s="29">
        <v>-230792.98299999998</v>
      </c>
      <c r="I12" s="41">
        <v>-0.71877595423009488</v>
      </c>
    </row>
    <row r="13" spans="1:9" x14ac:dyDescent="0.25">
      <c r="A13" s="21" t="s">
        <v>401</v>
      </c>
      <c r="B13" s="27">
        <v>81733.919999999998</v>
      </c>
      <c r="C13" s="27">
        <v>49843.96</v>
      </c>
      <c r="D13" s="28">
        <v>31889.96</v>
      </c>
      <c r="E13" s="30">
        <v>0.63979587496659573</v>
      </c>
      <c r="F13" s="40">
        <v>328672.08</v>
      </c>
      <c r="G13" s="29">
        <v>221003.64</v>
      </c>
      <c r="H13" s="29">
        <v>107668.44</v>
      </c>
      <c r="I13" s="41">
        <v>0.48717948717948717</v>
      </c>
    </row>
    <row r="14" spans="1:9" x14ac:dyDescent="0.25">
      <c r="A14" s="21" t="s">
        <v>139</v>
      </c>
      <c r="B14" s="27">
        <v>57934.069999999992</v>
      </c>
      <c r="C14" s="27">
        <v>76553.579999999987</v>
      </c>
      <c r="D14" s="28">
        <v>-18619.509999999995</v>
      </c>
      <c r="E14" s="30">
        <v>-0.24322193684475629</v>
      </c>
      <c r="F14" s="40">
        <v>200890.22</v>
      </c>
      <c r="G14" s="29">
        <v>285794.58</v>
      </c>
      <c r="H14" s="29">
        <v>-84904.360000000015</v>
      </c>
      <c r="I14" s="41">
        <v>-0.29708177110986506</v>
      </c>
    </row>
    <row r="15" spans="1:9" x14ac:dyDescent="0.25">
      <c r="A15" s="21" t="s">
        <v>752</v>
      </c>
      <c r="B15" s="27">
        <v>52013.62</v>
      </c>
      <c r="C15" s="27">
        <v>47717.69</v>
      </c>
      <c r="D15" s="28">
        <v>4295.93</v>
      </c>
      <c r="E15" s="30">
        <v>9.0028037819936388E-2</v>
      </c>
      <c r="F15" s="40">
        <v>227764.71799999999</v>
      </c>
      <c r="G15" s="29">
        <v>217300.87999999998</v>
      </c>
      <c r="H15" s="29">
        <v>10463.838000000018</v>
      </c>
      <c r="I15" s="41">
        <v>4.8153684421342512E-2</v>
      </c>
    </row>
    <row r="16" spans="1:9" x14ac:dyDescent="0.25">
      <c r="A16" s="21" t="s">
        <v>431</v>
      </c>
      <c r="B16" s="27">
        <v>51831.02</v>
      </c>
      <c r="C16" s="27">
        <v>41409.56</v>
      </c>
      <c r="D16" s="28">
        <v>10421.459999999999</v>
      </c>
      <c r="E16" s="30">
        <v>0.25166797232329924</v>
      </c>
      <c r="F16" s="40">
        <v>202602</v>
      </c>
      <c r="G16" s="29">
        <v>185357.40000000002</v>
      </c>
      <c r="H16" s="29">
        <v>17244.599999999977</v>
      </c>
      <c r="I16" s="41">
        <v>9.3034321802096781E-2</v>
      </c>
    </row>
    <row r="17" spans="1:9" x14ac:dyDescent="0.25">
      <c r="A17" s="21" t="s">
        <v>143</v>
      </c>
      <c r="B17" s="27">
        <v>50132.65</v>
      </c>
      <c r="C17" s="27">
        <v>23607.94</v>
      </c>
      <c r="D17" s="28">
        <v>26524.710000000003</v>
      </c>
      <c r="E17" s="30">
        <v>1.1235503817783341</v>
      </c>
      <c r="F17" s="40">
        <v>179922.47999999998</v>
      </c>
      <c r="G17" s="29">
        <v>99187.199999999997</v>
      </c>
      <c r="H17" s="29">
        <v>80735.279999999984</v>
      </c>
      <c r="I17" s="41">
        <v>0.81396873790166457</v>
      </c>
    </row>
    <row r="18" spans="1:9" x14ac:dyDescent="0.25">
      <c r="A18" s="21" t="s">
        <v>520</v>
      </c>
      <c r="B18" s="27">
        <v>49901.71</v>
      </c>
      <c r="C18" s="27">
        <v>47061.89</v>
      </c>
      <c r="D18" s="28">
        <v>2839.8199999999997</v>
      </c>
      <c r="E18" s="30">
        <v>6.0342242948593854E-2</v>
      </c>
      <c r="F18" s="40">
        <v>193469.72200000004</v>
      </c>
      <c r="G18" s="29">
        <v>205374.96</v>
      </c>
      <c r="H18" s="29">
        <v>-11905.237999999954</v>
      </c>
      <c r="I18" s="41">
        <v>-5.7968303438744206E-2</v>
      </c>
    </row>
    <row r="19" spans="1:9" x14ac:dyDescent="0.25">
      <c r="A19" s="21" t="s">
        <v>753</v>
      </c>
      <c r="B19" s="27">
        <v>49660.07</v>
      </c>
      <c r="C19" s="27">
        <v>15531.2</v>
      </c>
      <c r="D19" s="28">
        <v>34128.869999999995</v>
      </c>
      <c r="E19" s="30">
        <v>2.1974393478932726</v>
      </c>
      <c r="F19" s="40">
        <v>168941.37599999999</v>
      </c>
      <c r="G19" s="29">
        <v>56313.792000000001</v>
      </c>
      <c r="H19" s="29">
        <v>112627.58399999999</v>
      </c>
      <c r="I19" s="41">
        <v>1.9999999999999998</v>
      </c>
    </row>
    <row r="20" spans="1:9" x14ac:dyDescent="0.25">
      <c r="A20" s="21" t="s">
        <v>425</v>
      </c>
      <c r="B20" s="27">
        <v>49046.14</v>
      </c>
      <c r="C20" s="27">
        <v>11797.56</v>
      </c>
      <c r="D20" s="28">
        <v>37248.58</v>
      </c>
      <c r="E20" s="30">
        <v>3.157312189978267</v>
      </c>
      <c r="F20" s="40">
        <v>189138.12200000003</v>
      </c>
      <c r="G20" s="29">
        <v>61612.487999999998</v>
      </c>
      <c r="H20" s="29">
        <v>127525.63400000003</v>
      </c>
      <c r="I20" s="41">
        <v>2.0698017259098518</v>
      </c>
    </row>
    <row r="21" spans="1:9" x14ac:dyDescent="0.25">
      <c r="A21" s="21" t="s">
        <v>1227</v>
      </c>
      <c r="B21" s="27">
        <v>48150.119999999995</v>
      </c>
      <c r="C21" s="27">
        <v>43797.27</v>
      </c>
      <c r="D21" s="28">
        <v>4352.8499999999985</v>
      </c>
      <c r="E21" s="30">
        <v>9.9386331613819739E-2</v>
      </c>
      <c r="F21" s="40">
        <v>201105.36</v>
      </c>
      <c r="G21" s="29">
        <v>191417.52000000002</v>
      </c>
      <c r="H21" s="29">
        <v>9687.8399999999674</v>
      </c>
      <c r="I21" s="41">
        <v>5.0611041246381036E-2</v>
      </c>
    </row>
    <row r="22" spans="1:9" x14ac:dyDescent="0.25">
      <c r="A22" s="21" t="s">
        <v>402</v>
      </c>
      <c r="B22" s="27">
        <v>44630.549999999996</v>
      </c>
      <c r="C22" s="27">
        <v>18223.45</v>
      </c>
      <c r="D22" s="28">
        <v>26407.099999999995</v>
      </c>
      <c r="E22" s="30">
        <v>1.4490724862745525</v>
      </c>
      <c r="F22" s="40">
        <v>171071.4</v>
      </c>
      <c r="G22" s="29">
        <v>68002.2</v>
      </c>
      <c r="H22" s="29">
        <v>103069.2</v>
      </c>
      <c r="I22" s="41">
        <v>1.5156744928840538</v>
      </c>
    </row>
    <row r="23" spans="1:9" x14ac:dyDescent="0.25">
      <c r="A23" s="21" t="s">
        <v>188</v>
      </c>
      <c r="B23" s="27">
        <v>43341.09</v>
      </c>
      <c r="C23" s="27">
        <v>44234.94</v>
      </c>
      <c r="D23" s="28">
        <v>-893.85000000000582</v>
      </c>
      <c r="E23" s="30">
        <v>-2.0206877188032938E-2</v>
      </c>
      <c r="F23" s="40">
        <v>204003.36</v>
      </c>
      <c r="G23" s="29">
        <v>221003.64</v>
      </c>
      <c r="H23" s="29">
        <v>-17000.280000000028</v>
      </c>
      <c r="I23" s="41">
        <v>-7.6923076923077038E-2</v>
      </c>
    </row>
    <row r="24" spans="1:9" x14ac:dyDescent="0.25">
      <c r="A24" s="21" t="s">
        <v>815</v>
      </c>
      <c r="B24" s="27">
        <v>42599.510000000009</v>
      </c>
      <c r="C24" s="27">
        <v>26732.86</v>
      </c>
      <c r="D24" s="28">
        <v>15866.650000000009</v>
      </c>
      <c r="E24" s="30">
        <v>0.59352609485105623</v>
      </c>
      <c r="F24" s="40">
        <v>126689.49</v>
      </c>
      <c r="G24" s="29">
        <v>118179.12</v>
      </c>
      <c r="H24" s="29">
        <v>8510.3700000000099</v>
      </c>
      <c r="I24" s="41">
        <v>7.2012467176943012E-2</v>
      </c>
    </row>
    <row r="25" spans="1:9" x14ac:dyDescent="0.25">
      <c r="A25" s="21" t="s">
        <v>190</v>
      </c>
      <c r="B25" s="27">
        <v>42368.82</v>
      </c>
      <c r="C25" s="27">
        <v>16251.84</v>
      </c>
      <c r="D25" s="28">
        <v>26116.98</v>
      </c>
      <c r="E25" s="30">
        <v>1.6070168054817178</v>
      </c>
      <c r="F25" s="40">
        <v>166224.95999999999</v>
      </c>
      <c r="G25" s="29">
        <v>70133.279999999999</v>
      </c>
      <c r="H25" s="29">
        <v>96091.68</v>
      </c>
      <c r="I25" s="41">
        <v>1.3701295590338851</v>
      </c>
    </row>
    <row r="26" spans="1:9" x14ac:dyDescent="0.25">
      <c r="A26" s="21" t="s">
        <v>1539</v>
      </c>
      <c r="B26" s="27">
        <v>42190.64</v>
      </c>
      <c r="C26" s="27"/>
      <c r="D26" s="28">
        <v>42190.64</v>
      </c>
      <c r="E26" s="30">
        <v>1</v>
      </c>
      <c r="F26" s="40">
        <v>91731.236000000004</v>
      </c>
      <c r="G26" s="29"/>
      <c r="H26" s="29">
        <v>91731.236000000004</v>
      </c>
      <c r="I26" s="41">
        <v>1</v>
      </c>
    </row>
    <row r="27" spans="1:9" x14ac:dyDescent="0.25">
      <c r="A27" s="21" t="s">
        <v>1224</v>
      </c>
      <c r="B27" s="27">
        <v>40181.96</v>
      </c>
      <c r="C27" s="27">
        <v>13978.72</v>
      </c>
      <c r="D27" s="28">
        <v>26203.239999999998</v>
      </c>
      <c r="E27" s="30">
        <v>1.8745092540661805</v>
      </c>
      <c r="F27" s="40">
        <v>152934.16</v>
      </c>
      <c r="G27" s="29">
        <v>55800.36</v>
      </c>
      <c r="H27" s="29">
        <v>97133.8</v>
      </c>
      <c r="I27" s="41">
        <v>1.7407378733757273</v>
      </c>
    </row>
    <row r="28" spans="1:9" x14ac:dyDescent="0.25">
      <c r="A28" s="21" t="s">
        <v>142</v>
      </c>
      <c r="B28" s="27">
        <v>39280.92</v>
      </c>
      <c r="C28" s="27">
        <v>143.75</v>
      </c>
      <c r="D28" s="28">
        <v>39137.17</v>
      </c>
      <c r="E28" s="30">
        <v>272.25857391304345</v>
      </c>
      <c r="F28" s="40">
        <v>142011.12000000002</v>
      </c>
      <c r="G28" s="29">
        <v>0</v>
      </c>
      <c r="H28" s="29">
        <v>142011.12000000002</v>
      </c>
      <c r="I28" s="41">
        <v>1</v>
      </c>
    </row>
    <row r="29" spans="1:9" x14ac:dyDescent="0.25">
      <c r="A29" s="21" t="s">
        <v>534</v>
      </c>
      <c r="B29" s="27">
        <v>39141.279999999999</v>
      </c>
      <c r="C29" s="27">
        <v>44371.8</v>
      </c>
      <c r="D29" s="28">
        <v>-5230.5200000000041</v>
      </c>
      <c r="E29" s="30">
        <v>-0.11787937383653591</v>
      </c>
      <c r="F29" s="40">
        <v>148800.95999999999</v>
      </c>
      <c r="G29" s="29">
        <v>186001.2</v>
      </c>
      <c r="H29" s="29">
        <v>-37200.24000000002</v>
      </c>
      <c r="I29" s="41">
        <v>-0.20000000000000009</v>
      </c>
    </row>
    <row r="30" spans="1:9" x14ac:dyDescent="0.25">
      <c r="A30" s="21" t="s">
        <v>197</v>
      </c>
      <c r="B30" s="27">
        <v>36472.560000000005</v>
      </c>
      <c r="C30" s="27">
        <v>5042.82</v>
      </c>
      <c r="D30" s="28">
        <v>31429.740000000005</v>
      </c>
      <c r="E30" s="30">
        <v>6.2325722512403789</v>
      </c>
      <c r="F30" s="40">
        <v>118373.47</v>
      </c>
      <c r="G30" s="29">
        <v>15717.6</v>
      </c>
      <c r="H30" s="29">
        <v>102655.87</v>
      </c>
      <c r="I30" s="41">
        <v>6.5312687687687685</v>
      </c>
    </row>
    <row r="31" spans="1:9" x14ac:dyDescent="0.25">
      <c r="A31" s="21" t="s">
        <v>138</v>
      </c>
      <c r="B31" s="27">
        <v>34605.85</v>
      </c>
      <c r="C31" s="27">
        <v>115445.39</v>
      </c>
      <c r="D31" s="28">
        <v>-80839.540000000008</v>
      </c>
      <c r="E31" s="30">
        <v>-0.70024052064790121</v>
      </c>
      <c r="F31" s="40">
        <v>110280.32000000001</v>
      </c>
      <c r="G31" s="29">
        <v>417968.39399999997</v>
      </c>
      <c r="H31" s="29">
        <v>-307688.07399999996</v>
      </c>
      <c r="I31" s="41">
        <v>-0.73615153302715985</v>
      </c>
    </row>
    <row r="32" spans="1:9" x14ac:dyDescent="0.25">
      <c r="A32" s="21" t="s">
        <v>814</v>
      </c>
      <c r="B32" s="27">
        <v>34154.420000000006</v>
      </c>
      <c r="C32" s="27">
        <v>44138.06</v>
      </c>
      <c r="D32" s="28">
        <v>-9983.6399999999921</v>
      </c>
      <c r="E32" s="30">
        <v>-0.22619118284763745</v>
      </c>
      <c r="F32" s="40">
        <v>108416.71199999998</v>
      </c>
      <c r="G32" s="29">
        <v>151289.98199999999</v>
      </c>
      <c r="H32" s="29">
        <v>-42873.270000000004</v>
      </c>
      <c r="I32" s="41">
        <v>-0.2833847253680023</v>
      </c>
    </row>
    <row r="33" spans="1:9" x14ac:dyDescent="0.25">
      <c r="A33" s="21" t="s">
        <v>194</v>
      </c>
      <c r="B33" s="27">
        <v>32118.77</v>
      </c>
      <c r="C33" s="27">
        <v>176950.85</v>
      </c>
      <c r="D33" s="28">
        <v>-144832.08000000002</v>
      </c>
      <c r="E33" s="30">
        <v>-0.81848761958476046</v>
      </c>
      <c r="F33" s="40">
        <v>102003.84</v>
      </c>
      <c r="G33" s="29">
        <v>602578.24</v>
      </c>
      <c r="H33" s="29">
        <v>-500574.4</v>
      </c>
      <c r="I33" s="41">
        <v>-0.83072100313479624</v>
      </c>
    </row>
    <row r="34" spans="1:9" x14ac:dyDescent="0.25">
      <c r="A34" s="21" t="s">
        <v>578</v>
      </c>
      <c r="B34" s="27">
        <v>31819.39</v>
      </c>
      <c r="C34" s="27">
        <v>15242.52</v>
      </c>
      <c r="D34" s="28">
        <v>16576.87</v>
      </c>
      <c r="E34" s="30">
        <v>1.0875412989453186</v>
      </c>
      <c r="F34" s="40">
        <v>136002.23999999999</v>
      </c>
      <c r="G34" s="29">
        <v>69890.039999999994</v>
      </c>
      <c r="H34" s="29">
        <v>66112.2</v>
      </c>
      <c r="I34" s="41">
        <v>0.94594594594594594</v>
      </c>
    </row>
    <row r="35" spans="1:9" x14ac:dyDescent="0.25">
      <c r="A35" s="21" t="s">
        <v>175</v>
      </c>
      <c r="B35" s="27">
        <v>31593.09</v>
      </c>
      <c r="C35" s="27">
        <v>17524.89</v>
      </c>
      <c r="D35" s="28">
        <v>14068.2</v>
      </c>
      <c r="E35" s="30">
        <v>0.80275539532630458</v>
      </c>
      <c r="F35" s="40">
        <v>110976.90000000001</v>
      </c>
      <c r="G35" s="29">
        <v>71307.679999999993</v>
      </c>
      <c r="H35" s="29">
        <v>39669.220000000016</v>
      </c>
      <c r="I35" s="41">
        <v>0.55631062460593328</v>
      </c>
    </row>
    <row r="36" spans="1:9" x14ac:dyDescent="0.25">
      <c r="A36" s="21" t="s">
        <v>1540</v>
      </c>
      <c r="B36" s="27">
        <v>29721.86</v>
      </c>
      <c r="C36" s="27">
        <v>8445.25</v>
      </c>
      <c r="D36" s="28">
        <v>21276.61</v>
      </c>
      <c r="E36" s="30">
        <v>2.5193582191172554</v>
      </c>
      <c r="F36" s="40">
        <v>122060.54399999999</v>
      </c>
      <c r="G36" s="29">
        <v>33909.659999999996</v>
      </c>
      <c r="H36" s="29">
        <v>88150.883999999991</v>
      </c>
      <c r="I36" s="41">
        <v>2.5995802965880519</v>
      </c>
    </row>
    <row r="37" spans="1:9" x14ac:dyDescent="0.25">
      <c r="A37" s="21" t="s">
        <v>625</v>
      </c>
      <c r="B37" s="27">
        <v>29489.96</v>
      </c>
      <c r="C37" s="27">
        <v>25114.799999999999</v>
      </c>
      <c r="D37" s="28">
        <v>4375.16</v>
      </c>
      <c r="E37" s="30">
        <v>0.17420644400911017</v>
      </c>
      <c r="F37" s="40">
        <v>118179.12000000001</v>
      </c>
      <c r="G37" s="29">
        <v>103067.76000000001</v>
      </c>
      <c r="H37" s="29">
        <v>15111.36</v>
      </c>
      <c r="I37" s="41">
        <v>0.14661577975498835</v>
      </c>
    </row>
    <row r="38" spans="1:9" x14ac:dyDescent="0.25">
      <c r="A38" s="21" t="s">
        <v>518</v>
      </c>
      <c r="B38" s="27">
        <v>26879.69</v>
      </c>
      <c r="C38" s="27">
        <v>23836.03</v>
      </c>
      <c r="D38" s="28">
        <v>3043.66</v>
      </c>
      <c r="E38" s="30">
        <v>0.12769156608713783</v>
      </c>
      <c r="F38" s="40">
        <v>102001.68</v>
      </c>
      <c r="G38" s="29">
        <v>98223.84</v>
      </c>
      <c r="H38" s="29">
        <v>3777.8399999999965</v>
      </c>
      <c r="I38" s="41">
        <v>3.8461538461538429E-2</v>
      </c>
    </row>
    <row r="39" spans="1:9" x14ac:dyDescent="0.25">
      <c r="A39" s="21" t="s">
        <v>200</v>
      </c>
      <c r="B39" s="27">
        <v>25968.720000000001</v>
      </c>
      <c r="C39" s="27">
        <v>19654.740000000002</v>
      </c>
      <c r="D39" s="28">
        <v>6313.98</v>
      </c>
      <c r="E39" s="30">
        <v>0.3212446463295876</v>
      </c>
      <c r="F39" s="40">
        <v>111602.88</v>
      </c>
      <c r="G39" s="29">
        <v>93002.4</v>
      </c>
      <c r="H39" s="29">
        <v>18600.48000000001</v>
      </c>
      <c r="I39" s="41">
        <v>0.20000000000000012</v>
      </c>
    </row>
    <row r="40" spans="1:9" x14ac:dyDescent="0.25">
      <c r="A40" s="21" t="s">
        <v>1229</v>
      </c>
      <c r="B40" s="27">
        <v>25476.42</v>
      </c>
      <c r="C40" s="27">
        <v>13018.58</v>
      </c>
      <c r="D40" s="28">
        <v>12457.839999999998</v>
      </c>
      <c r="E40" s="30">
        <v>0.95692771408248811</v>
      </c>
      <c r="F40" s="40">
        <v>104620.32</v>
      </c>
      <c r="G40" s="29">
        <v>55021.919999999998</v>
      </c>
      <c r="H40" s="29">
        <v>49598.400000000009</v>
      </c>
      <c r="I40" s="41">
        <v>0.90142983014769407</v>
      </c>
    </row>
    <row r="41" spans="1:9" x14ac:dyDescent="0.25">
      <c r="A41" s="21" t="s">
        <v>794</v>
      </c>
      <c r="B41" s="27">
        <v>24890.98</v>
      </c>
      <c r="C41" s="27">
        <v>6956.93</v>
      </c>
      <c r="D41" s="28">
        <v>17934.05</v>
      </c>
      <c r="E41" s="30">
        <v>2.5778683988483424</v>
      </c>
      <c r="F41" s="40">
        <v>68005.440000000002</v>
      </c>
      <c r="G41" s="29">
        <v>30222.720000000001</v>
      </c>
      <c r="H41" s="29">
        <v>37782.720000000001</v>
      </c>
      <c r="I41" s="41">
        <v>1.2501429388221841</v>
      </c>
    </row>
    <row r="42" spans="1:9" x14ac:dyDescent="0.25">
      <c r="A42" s="21" t="s">
        <v>554</v>
      </c>
      <c r="B42" s="27">
        <v>23804.69</v>
      </c>
      <c r="C42" s="27">
        <v>8787.0400000000009</v>
      </c>
      <c r="D42" s="28">
        <v>15017.649999999998</v>
      </c>
      <c r="E42" s="30">
        <v>1.7090681276061104</v>
      </c>
      <c r="F42" s="40">
        <v>58556.556000000004</v>
      </c>
      <c r="G42" s="29">
        <v>17944.739999999998</v>
      </c>
      <c r="H42" s="29">
        <v>40611.816000000006</v>
      </c>
      <c r="I42" s="41">
        <v>2.2631599008957504</v>
      </c>
    </row>
    <row r="43" spans="1:9" x14ac:dyDescent="0.25">
      <c r="A43" s="21" t="s">
        <v>135</v>
      </c>
      <c r="B43" s="27">
        <v>23327.02</v>
      </c>
      <c r="C43" s="27">
        <v>40672.410000000003</v>
      </c>
      <c r="D43" s="28">
        <v>-17345.390000000003</v>
      </c>
      <c r="E43" s="30">
        <v>-0.42646575405784909</v>
      </c>
      <c r="F43" s="40">
        <v>81807.199999999997</v>
      </c>
      <c r="G43" s="29">
        <v>147323.18800000002</v>
      </c>
      <c r="H43" s="29">
        <v>-65515.988000000027</v>
      </c>
      <c r="I43" s="41">
        <v>-0.44470927414359251</v>
      </c>
    </row>
    <row r="44" spans="1:9" x14ac:dyDescent="0.25">
      <c r="A44" s="21" t="s">
        <v>521</v>
      </c>
      <c r="B44" s="27">
        <v>20853.68</v>
      </c>
      <c r="C44" s="27">
        <v>18912.009999999998</v>
      </c>
      <c r="D44" s="28">
        <v>1941.6700000000019</v>
      </c>
      <c r="E44" s="30">
        <v>0.10266862168537358</v>
      </c>
      <c r="F44" s="40">
        <v>82149.983999999997</v>
      </c>
      <c r="G44" s="29">
        <v>82149.983999999997</v>
      </c>
      <c r="H44" s="29">
        <v>0</v>
      </c>
      <c r="I44" s="41">
        <v>0</v>
      </c>
    </row>
    <row r="45" spans="1:9" x14ac:dyDescent="0.25">
      <c r="A45" s="21" t="s">
        <v>406</v>
      </c>
      <c r="B45" s="27">
        <v>20688.300000000003</v>
      </c>
      <c r="C45" s="27">
        <v>15040.08</v>
      </c>
      <c r="D45" s="28">
        <v>5648.220000000003</v>
      </c>
      <c r="E45" s="30">
        <v>0.37554454497582479</v>
      </c>
      <c r="F45" s="40">
        <v>85244.64</v>
      </c>
      <c r="G45" s="29">
        <v>67421.52</v>
      </c>
      <c r="H45" s="29">
        <v>17823.119999999995</v>
      </c>
      <c r="I45" s="41">
        <v>0.2643535773147801</v>
      </c>
    </row>
    <row r="46" spans="1:9" x14ac:dyDescent="0.25">
      <c r="A46" s="21" t="s">
        <v>136</v>
      </c>
      <c r="B46" s="27">
        <v>20420.690000000002</v>
      </c>
      <c r="C46" s="27">
        <v>28129.26</v>
      </c>
      <c r="D46" s="28">
        <v>-7708.5699999999961</v>
      </c>
      <c r="E46" s="30">
        <v>-0.27404098081499467</v>
      </c>
      <c r="F46" s="40">
        <v>58427.930000000008</v>
      </c>
      <c r="G46" s="29">
        <v>83503.540000000008</v>
      </c>
      <c r="H46" s="29">
        <v>-25075.61</v>
      </c>
      <c r="I46" s="41">
        <v>-0.30029397556079657</v>
      </c>
    </row>
    <row r="47" spans="1:9" x14ac:dyDescent="0.25">
      <c r="A47" s="21" t="s">
        <v>369</v>
      </c>
      <c r="B47" s="27">
        <v>20313.38</v>
      </c>
      <c r="C47" s="27">
        <v>21900.06</v>
      </c>
      <c r="D47" s="28">
        <v>-1586.6800000000003</v>
      </c>
      <c r="E47" s="30">
        <v>-7.2450943056777017E-2</v>
      </c>
      <c r="F47" s="40">
        <v>68480</v>
      </c>
      <c r="G47" s="29">
        <v>81119.040000000008</v>
      </c>
      <c r="H47" s="29">
        <v>-12639.040000000008</v>
      </c>
      <c r="I47" s="41">
        <v>-0.15580855000256422</v>
      </c>
    </row>
    <row r="48" spans="1:9" x14ac:dyDescent="0.25">
      <c r="A48" s="21" t="s">
        <v>331</v>
      </c>
      <c r="B48" s="27">
        <v>19733.16</v>
      </c>
      <c r="C48" s="27">
        <v>18531.25</v>
      </c>
      <c r="D48" s="28">
        <v>1201.9099999999999</v>
      </c>
      <c r="E48" s="30">
        <v>6.4858549747048896E-2</v>
      </c>
      <c r="F48" s="40">
        <v>82149.983999999997</v>
      </c>
      <c r="G48" s="29">
        <v>81009.012000000002</v>
      </c>
      <c r="H48" s="29">
        <v>1140.9719999999943</v>
      </c>
      <c r="I48" s="41">
        <v>1.408450704225345E-2</v>
      </c>
    </row>
    <row r="49" spans="1:9" x14ac:dyDescent="0.25">
      <c r="A49" s="21" t="s">
        <v>558</v>
      </c>
      <c r="B49" s="27">
        <v>19125.84</v>
      </c>
      <c r="C49" s="27">
        <v>8947.07</v>
      </c>
      <c r="D49" s="28">
        <v>10178.77</v>
      </c>
      <c r="E49" s="30">
        <v>1.1376651797739372</v>
      </c>
      <c r="F49" s="40">
        <v>82149.983999999997</v>
      </c>
      <c r="G49" s="29">
        <v>41074.991999999998</v>
      </c>
      <c r="H49" s="29">
        <v>41074.991999999998</v>
      </c>
      <c r="I49" s="41">
        <v>1</v>
      </c>
    </row>
    <row r="50" spans="1:9" x14ac:dyDescent="0.25">
      <c r="A50" s="21" t="s">
        <v>1225</v>
      </c>
      <c r="B50" s="27">
        <v>19089.280000000002</v>
      </c>
      <c r="C50" s="27"/>
      <c r="D50" s="28">
        <v>19089.280000000002</v>
      </c>
      <c r="E50" s="30">
        <v>1</v>
      </c>
      <c r="F50" s="40">
        <v>34116.380000000005</v>
      </c>
      <c r="G50" s="29"/>
      <c r="H50" s="29">
        <v>34116.380000000005</v>
      </c>
      <c r="I50" s="41">
        <v>1</v>
      </c>
    </row>
    <row r="51" spans="1:9" x14ac:dyDescent="0.25">
      <c r="A51" s="21" t="s">
        <v>754</v>
      </c>
      <c r="B51" s="27">
        <v>17955.080000000002</v>
      </c>
      <c r="C51" s="27">
        <v>22709.8</v>
      </c>
      <c r="D51" s="28">
        <v>-4754.7199999999975</v>
      </c>
      <c r="E51" s="30">
        <v>-0.20936864261244034</v>
      </c>
      <c r="F51" s="40">
        <v>59055.827999999994</v>
      </c>
      <c r="G51" s="29">
        <v>82149.983999999997</v>
      </c>
      <c r="H51" s="29">
        <v>-23094.156000000003</v>
      </c>
      <c r="I51" s="41">
        <v>-0.28112185633535858</v>
      </c>
    </row>
    <row r="52" spans="1:9" x14ac:dyDescent="0.25">
      <c r="A52" s="21" t="s">
        <v>751</v>
      </c>
      <c r="B52" s="27">
        <v>17911.72</v>
      </c>
      <c r="C52" s="27">
        <v>51459.89</v>
      </c>
      <c r="D52" s="28">
        <v>-33548.17</v>
      </c>
      <c r="E52" s="30">
        <v>-0.65192852141736013</v>
      </c>
      <c r="F52" s="40">
        <v>33154.6</v>
      </c>
      <c r="G52" s="29">
        <v>148202.035</v>
      </c>
      <c r="H52" s="29">
        <v>-115047.435</v>
      </c>
      <c r="I52" s="41">
        <v>-0.77628782222862192</v>
      </c>
    </row>
    <row r="53" spans="1:9" x14ac:dyDescent="0.25">
      <c r="A53" s="21" t="s">
        <v>140</v>
      </c>
      <c r="B53" s="27">
        <v>17784.12</v>
      </c>
      <c r="C53" s="27">
        <v>4960.03</v>
      </c>
      <c r="D53" s="28">
        <v>12824.09</v>
      </c>
      <c r="E53" s="30">
        <v>2.5854863781065842</v>
      </c>
      <c r="F53" s="40">
        <v>37774.57</v>
      </c>
      <c r="G53" s="29">
        <v>17953.98</v>
      </c>
      <c r="H53" s="29">
        <v>19820.59</v>
      </c>
      <c r="I53" s="41">
        <v>1.1039663628900112</v>
      </c>
    </row>
    <row r="54" spans="1:9" x14ac:dyDescent="0.25">
      <c r="A54" s="21" t="s">
        <v>330</v>
      </c>
      <c r="B54" s="27">
        <v>17162.559999999998</v>
      </c>
      <c r="C54" s="27">
        <v>21790.530000000002</v>
      </c>
      <c r="D54" s="28">
        <v>-4627.9700000000048</v>
      </c>
      <c r="E54" s="30">
        <v>-0.21238446242473241</v>
      </c>
      <c r="F54" s="40">
        <v>52982.879999999997</v>
      </c>
      <c r="G54" s="29">
        <v>59368.36</v>
      </c>
      <c r="H54" s="29">
        <v>-6385.4800000000032</v>
      </c>
      <c r="I54" s="41">
        <v>-0.10755695457984696</v>
      </c>
    </row>
    <row r="55" spans="1:9" x14ac:dyDescent="0.25">
      <c r="A55" s="21" t="s">
        <v>768</v>
      </c>
      <c r="B55" s="27">
        <v>17124.310000000001</v>
      </c>
      <c r="C55" s="27"/>
      <c r="D55" s="28">
        <v>17124.310000000001</v>
      </c>
      <c r="E55" s="30">
        <v>1</v>
      </c>
      <c r="F55" s="40">
        <v>60445.440000000002</v>
      </c>
      <c r="G55" s="29"/>
      <c r="H55" s="29">
        <v>60445.440000000002</v>
      </c>
      <c r="I55" s="41">
        <v>1</v>
      </c>
    </row>
    <row r="56" spans="1:9" x14ac:dyDescent="0.25">
      <c r="A56" s="21" t="s">
        <v>178</v>
      </c>
      <c r="B56" s="27">
        <v>16901.919999999998</v>
      </c>
      <c r="C56" s="27">
        <v>15903.98</v>
      </c>
      <c r="D56" s="28">
        <v>997.93999999999869</v>
      </c>
      <c r="E56" s="30">
        <v>6.2747815326729461E-2</v>
      </c>
      <c r="F56" s="40">
        <v>60445.440000000002</v>
      </c>
      <c r="G56" s="29">
        <v>60445.440000000002</v>
      </c>
      <c r="H56" s="29">
        <v>0</v>
      </c>
      <c r="I56" s="41">
        <v>0</v>
      </c>
    </row>
    <row r="57" spans="1:9" x14ac:dyDescent="0.25">
      <c r="A57" s="21" t="s">
        <v>1233</v>
      </c>
      <c r="B57" s="27">
        <v>16859.379999999997</v>
      </c>
      <c r="C57" s="27">
        <v>6513.21</v>
      </c>
      <c r="D57" s="28">
        <v>10346.169999999998</v>
      </c>
      <c r="E57" s="30">
        <v>1.5884901607655824</v>
      </c>
      <c r="F57" s="40">
        <v>66886.66</v>
      </c>
      <c r="G57" s="29">
        <v>28524.3</v>
      </c>
      <c r="H57" s="29">
        <v>38362.36</v>
      </c>
      <c r="I57" s="41">
        <v>1.3449010142229609</v>
      </c>
    </row>
    <row r="58" spans="1:9" x14ac:dyDescent="0.25">
      <c r="A58" s="21" t="s">
        <v>209</v>
      </c>
      <c r="B58" s="27">
        <v>16700.919999999998</v>
      </c>
      <c r="C58" s="27">
        <v>15097.1</v>
      </c>
      <c r="D58" s="28">
        <v>1603.8199999999979</v>
      </c>
      <c r="E58" s="30">
        <v>0.10623364752170933</v>
      </c>
      <c r="F58" s="40">
        <v>82149.983999999997</v>
      </c>
      <c r="G58" s="29">
        <v>82149.983999999997</v>
      </c>
      <c r="H58" s="29">
        <v>0</v>
      </c>
      <c r="I58" s="41">
        <v>0</v>
      </c>
    </row>
    <row r="59" spans="1:9" x14ac:dyDescent="0.25">
      <c r="A59" s="21" t="s">
        <v>1234</v>
      </c>
      <c r="B59" s="27">
        <v>16565.46</v>
      </c>
      <c r="C59" s="27"/>
      <c r="D59" s="28">
        <v>16565.46</v>
      </c>
      <c r="E59" s="30">
        <v>1</v>
      </c>
      <c r="F59" s="40">
        <v>45334.080000000002</v>
      </c>
      <c r="G59" s="29"/>
      <c r="H59" s="29">
        <v>45334.080000000002</v>
      </c>
      <c r="I59" s="41">
        <v>1</v>
      </c>
    </row>
    <row r="60" spans="1:9" x14ac:dyDescent="0.25">
      <c r="A60" s="21" t="s">
        <v>407</v>
      </c>
      <c r="B60" s="27">
        <v>15911.24</v>
      </c>
      <c r="C60" s="27">
        <v>5149.2700000000004</v>
      </c>
      <c r="D60" s="28">
        <v>10761.97</v>
      </c>
      <c r="E60" s="30">
        <v>2.0899991649301741</v>
      </c>
      <c r="F60" s="40">
        <v>62309.957999999999</v>
      </c>
      <c r="G60" s="29">
        <v>20878.475999999999</v>
      </c>
      <c r="H60" s="29">
        <v>41431.482000000004</v>
      </c>
      <c r="I60" s="41">
        <v>1.9844112185199727</v>
      </c>
    </row>
    <row r="61" spans="1:9" x14ac:dyDescent="0.25">
      <c r="A61" s="21" t="s">
        <v>1776</v>
      </c>
      <c r="B61" s="27">
        <v>15588.94</v>
      </c>
      <c r="C61" s="27"/>
      <c r="D61" s="28">
        <v>15588.94</v>
      </c>
      <c r="E61" s="30">
        <v>1</v>
      </c>
      <c r="F61" s="40">
        <v>28335.599999999999</v>
      </c>
      <c r="G61" s="29"/>
      <c r="H61" s="29">
        <v>28335.599999999999</v>
      </c>
      <c r="I61" s="41">
        <v>1</v>
      </c>
    </row>
    <row r="62" spans="1:9" x14ac:dyDescent="0.25">
      <c r="A62" s="21" t="s">
        <v>1226</v>
      </c>
      <c r="B62" s="27">
        <v>15405.98</v>
      </c>
      <c r="C62" s="27">
        <v>12226.9</v>
      </c>
      <c r="D62" s="28">
        <v>3179.08</v>
      </c>
      <c r="E62" s="30">
        <v>0.26000703367165839</v>
      </c>
      <c r="F62" s="40">
        <v>15111.508</v>
      </c>
      <c r="G62" s="29">
        <v>12592.923000000001</v>
      </c>
      <c r="H62" s="29">
        <v>2518.5849999999991</v>
      </c>
      <c r="I62" s="41">
        <v>0.20000003176387238</v>
      </c>
    </row>
    <row r="63" spans="1:9" x14ac:dyDescent="0.25">
      <c r="A63" s="21" t="s">
        <v>1231</v>
      </c>
      <c r="B63" s="27">
        <v>15276.72</v>
      </c>
      <c r="C63" s="27">
        <v>7274.84</v>
      </c>
      <c r="D63" s="28">
        <v>8001.8799999999992</v>
      </c>
      <c r="E63" s="30">
        <v>1.0999389677298743</v>
      </c>
      <c r="F63" s="40">
        <v>22667.040000000001</v>
      </c>
      <c r="G63" s="29">
        <v>11333.52</v>
      </c>
      <c r="H63" s="29">
        <v>11333.52</v>
      </c>
      <c r="I63" s="41">
        <v>1</v>
      </c>
    </row>
    <row r="64" spans="1:9" x14ac:dyDescent="0.25">
      <c r="A64" s="21" t="s">
        <v>1777</v>
      </c>
      <c r="B64" s="27">
        <v>15271.03</v>
      </c>
      <c r="C64" s="27"/>
      <c r="D64" s="28">
        <v>15271.03</v>
      </c>
      <c r="E64" s="30">
        <v>1</v>
      </c>
      <c r="F64" s="40">
        <v>34002.720000000001</v>
      </c>
      <c r="G64" s="29"/>
      <c r="H64" s="29">
        <v>34002.720000000001</v>
      </c>
      <c r="I64" s="41">
        <v>1</v>
      </c>
    </row>
    <row r="65" spans="1:9" x14ac:dyDescent="0.25">
      <c r="A65" s="21" t="s">
        <v>836</v>
      </c>
      <c r="B65" s="27">
        <v>15134.160000000002</v>
      </c>
      <c r="C65" s="27"/>
      <c r="D65" s="28">
        <v>15134.160000000002</v>
      </c>
      <c r="E65" s="30">
        <v>1</v>
      </c>
      <c r="F65" s="40">
        <v>46016.903999999995</v>
      </c>
      <c r="G65" s="29"/>
      <c r="H65" s="29">
        <v>46016.903999999995</v>
      </c>
      <c r="I65" s="41">
        <v>1</v>
      </c>
    </row>
    <row r="66" spans="1:9" x14ac:dyDescent="0.25">
      <c r="A66" s="21" t="s">
        <v>187</v>
      </c>
      <c r="B66" s="27">
        <v>15069.3</v>
      </c>
      <c r="C66" s="27">
        <v>16360.89</v>
      </c>
      <c r="D66" s="28">
        <v>-1291.5900000000001</v>
      </c>
      <c r="E66" s="30">
        <v>-7.8943749392606399E-2</v>
      </c>
      <c r="F66" s="40">
        <v>61612.487999999998</v>
      </c>
      <c r="G66" s="29">
        <v>63317.387999999999</v>
      </c>
      <c r="H66" s="29">
        <v>-1704.9000000000015</v>
      </c>
      <c r="I66" s="41">
        <v>-2.692625286437908E-2</v>
      </c>
    </row>
    <row r="67" spans="1:9" x14ac:dyDescent="0.25">
      <c r="A67" s="21" t="s">
        <v>141</v>
      </c>
      <c r="B67" s="27">
        <v>13931.499999999998</v>
      </c>
      <c r="C67" s="27">
        <v>60444.119999999995</v>
      </c>
      <c r="D67" s="28">
        <v>-46512.619999999995</v>
      </c>
      <c r="E67" s="30">
        <v>-0.7695143878345817</v>
      </c>
      <c r="F67" s="40">
        <v>54079.71</v>
      </c>
      <c r="G67" s="29">
        <v>212880.80800000002</v>
      </c>
      <c r="H67" s="29">
        <v>-158801.09800000003</v>
      </c>
      <c r="I67" s="41">
        <v>-0.7459624918372163</v>
      </c>
    </row>
    <row r="68" spans="1:9" x14ac:dyDescent="0.25">
      <c r="A68" s="21" t="s">
        <v>1228</v>
      </c>
      <c r="B68" s="27">
        <v>13600.22</v>
      </c>
      <c r="C68" s="27">
        <v>12950.15</v>
      </c>
      <c r="D68" s="28">
        <v>650.06999999999971</v>
      </c>
      <c r="E68" s="30">
        <v>5.0197874155897784E-2</v>
      </c>
      <c r="F68" s="40">
        <v>54766.656000000003</v>
      </c>
      <c r="G68" s="29">
        <v>54766.656000000003</v>
      </c>
      <c r="H68" s="29">
        <v>0</v>
      </c>
      <c r="I68" s="41">
        <v>0</v>
      </c>
    </row>
    <row r="69" spans="1:9" x14ac:dyDescent="0.25">
      <c r="A69" s="21" t="s">
        <v>367</v>
      </c>
      <c r="B69" s="27">
        <v>13061.59</v>
      </c>
      <c r="C69" s="27">
        <v>24775.259999999995</v>
      </c>
      <c r="D69" s="28">
        <v>-11713.669999999995</v>
      </c>
      <c r="E69" s="30">
        <v>-0.47279705641837855</v>
      </c>
      <c r="F69" s="40">
        <v>63679.087999999996</v>
      </c>
      <c r="G69" s="29">
        <v>114747.444</v>
      </c>
      <c r="H69" s="29">
        <v>-51068.356000000007</v>
      </c>
      <c r="I69" s="41">
        <v>-0.44505005270531345</v>
      </c>
    </row>
    <row r="70" spans="1:9" x14ac:dyDescent="0.25">
      <c r="A70" s="21" t="s">
        <v>838</v>
      </c>
      <c r="B70" s="27">
        <v>12733.46</v>
      </c>
      <c r="C70" s="27"/>
      <c r="D70" s="28">
        <v>12733.46</v>
      </c>
      <c r="E70" s="30">
        <v>1</v>
      </c>
      <c r="F70" s="40">
        <v>45334.080000000002</v>
      </c>
      <c r="G70" s="29"/>
      <c r="H70" s="29">
        <v>45334.080000000002</v>
      </c>
      <c r="I70" s="41">
        <v>1</v>
      </c>
    </row>
    <row r="71" spans="1:9" x14ac:dyDescent="0.25">
      <c r="A71" s="21" t="s">
        <v>795</v>
      </c>
      <c r="B71" s="27">
        <v>12625.12</v>
      </c>
      <c r="C71" s="27">
        <v>6011.04</v>
      </c>
      <c r="D71" s="28">
        <v>6614.0800000000008</v>
      </c>
      <c r="E71" s="30">
        <v>1.100322074050414</v>
      </c>
      <c r="F71" s="40">
        <v>22667.040000000001</v>
      </c>
      <c r="G71" s="29">
        <v>11333.52</v>
      </c>
      <c r="H71" s="29">
        <v>11333.52</v>
      </c>
      <c r="I71" s="41">
        <v>1</v>
      </c>
    </row>
    <row r="72" spans="1:9" x14ac:dyDescent="0.25">
      <c r="A72" s="21" t="s">
        <v>793</v>
      </c>
      <c r="B72" s="27">
        <v>12524.62</v>
      </c>
      <c r="C72" s="27">
        <v>7364.64</v>
      </c>
      <c r="D72" s="28">
        <v>5159.9800000000005</v>
      </c>
      <c r="E72" s="30">
        <v>0.700642529709531</v>
      </c>
      <c r="F72" s="40">
        <v>61612.487999999998</v>
      </c>
      <c r="G72" s="29">
        <v>41074.991999999998</v>
      </c>
      <c r="H72" s="29">
        <v>20537.495999999999</v>
      </c>
      <c r="I72" s="41">
        <v>0.5</v>
      </c>
    </row>
    <row r="73" spans="1:9" x14ac:dyDescent="0.25">
      <c r="A73" s="21" t="s">
        <v>1323</v>
      </c>
      <c r="B73" s="27">
        <v>12294.37</v>
      </c>
      <c r="C73" s="27">
        <v>23414.06</v>
      </c>
      <c r="D73" s="28">
        <v>-11119.69</v>
      </c>
      <c r="E73" s="30">
        <v>-0.47491507239667108</v>
      </c>
      <c r="F73" s="40">
        <v>30222.720000000001</v>
      </c>
      <c r="G73" s="29">
        <v>60445.440000000002</v>
      </c>
      <c r="H73" s="29">
        <v>-30222.720000000001</v>
      </c>
      <c r="I73" s="41">
        <v>-0.5</v>
      </c>
    </row>
    <row r="74" spans="1:9" x14ac:dyDescent="0.25">
      <c r="A74" s="21" t="s">
        <v>618</v>
      </c>
      <c r="B74" s="27">
        <v>12287.25</v>
      </c>
      <c r="C74" s="27">
        <v>49149</v>
      </c>
      <c r="D74" s="28">
        <v>-36861.75</v>
      </c>
      <c r="E74" s="30">
        <v>-0.75</v>
      </c>
      <c r="F74" s="40">
        <v>51000.84</v>
      </c>
      <c r="G74" s="29">
        <v>204003.36</v>
      </c>
      <c r="H74" s="29">
        <v>-153002.51999999999</v>
      </c>
      <c r="I74" s="41">
        <v>-0.75</v>
      </c>
    </row>
    <row r="75" spans="1:9" x14ac:dyDescent="0.25">
      <c r="A75" s="21" t="s">
        <v>757</v>
      </c>
      <c r="B75" s="27">
        <v>11966.490000000002</v>
      </c>
      <c r="C75" s="27">
        <v>10914.4</v>
      </c>
      <c r="D75" s="28">
        <v>1052.090000000002</v>
      </c>
      <c r="E75" s="30">
        <v>9.6394671259986991E-2</v>
      </c>
      <c r="F75" s="40">
        <v>45485.64</v>
      </c>
      <c r="G75" s="29">
        <v>45334.080000000002</v>
      </c>
      <c r="H75" s="29">
        <v>151.55999999999767</v>
      </c>
      <c r="I75" s="41">
        <v>3.3431802299726315E-3</v>
      </c>
    </row>
    <row r="76" spans="1:9" x14ac:dyDescent="0.25">
      <c r="A76" s="21" t="s">
        <v>373</v>
      </c>
      <c r="B76" s="27">
        <v>11956.189999999999</v>
      </c>
      <c r="C76" s="27"/>
      <c r="D76" s="28">
        <v>11956.189999999999</v>
      </c>
      <c r="E76" s="30">
        <v>1</v>
      </c>
      <c r="F76" s="40">
        <v>41074.991999999998</v>
      </c>
      <c r="G76" s="29"/>
      <c r="H76" s="29">
        <v>41074.991999999998</v>
      </c>
      <c r="I76" s="41">
        <v>1</v>
      </c>
    </row>
    <row r="77" spans="1:9" x14ac:dyDescent="0.25">
      <c r="A77" s="21" t="s">
        <v>1543</v>
      </c>
      <c r="B77" s="27">
        <v>11648.11</v>
      </c>
      <c r="C77" s="27"/>
      <c r="D77" s="28">
        <v>11648.11</v>
      </c>
      <c r="E77" s="30">
        <v>1</v>
      </c>
      <c r="F77" s="40">
        <v>8069.86</v>
      </c>
      <c r="G77" s="29"/>
      <c r="H77" s="29">
        <v>8069.86</v>
      </c>
      <c r="I77" s="41">
        <v>1</v>
      </c>
    </row>
    <row r="78" spans="1:9" x14ac:dyDescent="0.25">
      <c r="A78" s="21" t="s">
        <v>1541</v>
      </c>
      <c r="B78" s="27">
        <v>11461.82</v>
      </c>
      <c r="C78" s="27">
        <v>10914.39</v>
      </c>
      <c r="D78" s="28">
        <v>547.43000000000029</v>
      </c>
      <c r="E78" s="30">
        <v>5.0156719706735818E-2</v>
      </c>
      <c r="F78" s="40">
        <v>30221.867999999999</v>
      </c>
      <c r="G78" s="29">
        <v>30221.867999999999</v>
      </c>
      <c r="H78" s="29">
        <v>0</v>
      </c>
      <c r="I78" s="41">
        <v>0</v>
      </c>
    </row>
    <row r="79" spans="1:9" x14ac:dyDescent="0.25">
      <c r="A79" s="21" t="s">
        <v>1297</v>
      </c>
      <c r="B79" s="27">
        <v>11423.69</v>
      </c>
      <c r="C79" s="27">
        <v>5431.54</v>
      </c>
      <c r="D79" s="28">
        <v>5992.1500000000005</v>
      </c>
      <c r="E79" s="30">
        <v>1.1032138214944565</v>
      </c>
      <c r="F79" s="40">
        <v>49805.06</v>
      </c>
      <c r="G79" s="29">
        <v>24799.200000000001</v>
      </c>
      <c r="H79" s="29">
        <v>25005.859999999997</v>
      </c>
      <c r="I79" s="41">
        <v>1.0083333333333331</v>
      </c>
    </row>
    <row r="80" spans="1:9" x14ac:dyDescent="0.25">
      <c r="A80" s="21" t="s">
        <v>185</v>
      </c>
      <c r="B80" s="27">
        <v>11081.66</v>
      </c>
      <c r="C80" s="27">
        <v>94679.25</v>
      </c>
      <c r="D80" s="28">
        <v>-83597.59</v>
      </c>
      <c r="E80" s="30">
        <v>-0.88295576908351092</v>
      </c>
      <c r="F80" s="40">
        <v>10240</v>
      </c>
      <c r="G80" s="29">
        <v>95763.42</v>
      </c>
      <c r="H80" s="29">
        <v>-85523.42</v>
      </c>
      <c r="I80" s="41">
        <v>-0.89306981726425394</v>
      </c>
    </row>
    <row r="81" spans="1:9" x14ac:dyDescent="0.25">
      <c r="A81" s="21" t="s">
        <v>762</v>
      </c>
      <c r="B81" s="27">
        <v>10418.279999999999</v>
      </c>
      <c r="C81" s="27">
        <v>14359.36</v>
      </c>
      <c r="D81" s="28">
        <v>-3941.0800000000017</v>
      </c>
      <c r="E81" s="30">
        <v>-0.27446070019833763</v>
      </c>
      <c r="F81" s="40">
        <v>42622.32</v>
      </c>
      <c r="G81" s="29">
        <v>56679</v>
      </c>
      <c r="H81" s="29">
        <v>-14056.68</v>
      </c>
      <c r="I81" s="41">
        <v>-0.24800508124702272</v>
      </c>
    </row>
    <row r="82" spans="1:9" x14ac:dyDescent="0.25">
      <c r="A82" s="21" t="s">
        <v>758</v>
      </c>
      <c r="B82" s="27">
        <v>10409.73</v>
      </c>
      <c r="C82" s="27">
        <v>4956.8100000000004</v>
      </c>
      <c r="D82" s="28">
        <v>5452.9199999999992</v>
      </c>
      <c r="E82" s="30">
        <v>1.1000865475981525</v>
      </c>
      <c r="F82" s="40">
        <v>41074.991999999998</v>
      </c>
      <c r="G82" s="29">
        <v>20537.495999999999</v>
      </c>
      <c r="H82" s="29">
        <v>20537.495999999999</v>
      </c>
      <c r="I82" s="41">
        <v>1</v>
      </c>
    </row>
    <row r="83" spans="1:9" x14ac:dyDescent="0.25">
      <c r="A83" s="21" t="s">
        <v>860</v>
      </c>
      <c r="B83" s="27">
        <v>10379.799999999999</v>
      </c>
      <c r="C83" s="27"/>
      <c r="D83" s="28">
        <v>10379.799999999999</v>
      </c>
      <c r="E83" s="30">
        <v>1</v>
      </c>
      <c r="F83" s="40">
        <v>41357.18</v>
      </c>
      <c r="G83" s="29"/>
      <c r="H83" s="29">
        <v>41357.18</v>
      </c>
      <c r="I83" s="41">
        <v>1</v>
      </c>
    </row>
    <row r="84" spans="1:9" x14ac:dyDescent="0.25">
      <c r="A84" s="21" t="s">
        <v>177</v>
      </c>
      <c r="B84" s="27">
        <v>10372.18</v>
      </c>
      <c r="C84" s="27">
        <v>14913.19</v>
      </c>
      <c r="D84" s="28">
        <v>-4541.01</v>
      </c>
      <c r="E84" s="30">
        <v>-0.30449622113042213</v>
      </c>
      <c r="F84" s="40">
        <v>52484.712</v>
      </c>
      <c r="G84" s="29">
        <v>82149.983999999997</v>
      </c>
      <c r="H84" s="29">
        <v>-29665.271999999997</v>
      </c>
      <c r="I84" s="41">
        <v>-0.3611111111111111</v>
      </c>
    </row>
    <row r="85" spans="1:9" x14ac:dyDescent="0.25">
      <c r="A85" s="21" t="s">
        <v>760</v>
      </c>
      <c r="B85" s="27">
        <v>10307.09</v>
      </c>
      <c r="C85" s="27">
        <v>3773.88</v>
      </c>
      <c r="D85" s="28">
        <v>6533.21</v>
      </c>
      <c r="E85" s="30">
        <v>1.731165272875661</v>
      </c>
      <c r="F85" s="40">
        <v>24801.119999999999</v>
      </c>
      <c r="G85" s="29">
        <v>12399.6</v>
      </c>
      <c r="H85" s="29">
        <v>12401.519999999999</v>
      </c>
      <c r="I85" s="41">
        <v>1.0001548437046355</v>
      </c>
    </row>
    <row r="86" spans="1:9" x14ac:dyDescent="0.25">
      <c r="A86" s="21" t="s">
        <v>1605</v>
      </c>
      <c r="B86" s="27">
        <v>10279.530000000001</v>
      </c>
      <c r="C86" s="27">
        <v>9975.4</v>
      </c>
      <c r="D86" s="28">
        <v>304.13000000000102</v>
      </c>
      <c r="E86" s="30">
        <v>3.0488000481183816E-2</v>
      </c>
      <c r="F86" s="40">
        <v>9699.84</v>
      </c>
      <c r="G86" s="29">
        <v>9699.84</v>
      </c>
      <c r="H86" s="29">
        <v>0</v>
      </c>
      <c r="I86" s="41">
        <v>0</v>
      </c>
    </row>
    <row r="87" spans="1:9" x14ac:dyDescent="0.25">
      <c r="A87" s="21" t="s">
        <v>769</v>
      </c>
      <c r="B87" s="27">
        <v>10070.44</v>
      </c>
      <c r="C87" s="27"/>
      <c r="D87" s="28">
        <v>10070.44</v>
      </c>
      <c r="E87" s="30">
        <v>1</v>
      </c>
      <c r="F87" s="40">
        <v>26444.880000000001</v>
      </c>
      <c r="G87" s="29"/>
      <c r="H87" s="29">
        <v>26444.880000000001</v>
      </c>
      <c r="I87" s="41">
        <v>1</v>
      </c>
    </row>
    <row r="88" spans="1:9" x14ac:dyDescent="0.25">
      <c r="A88" s="21" t="s">
        <v>375</v>
      </c>
      <c r="B88" s="27">
        <v>9883.68</v>
      </c>
      <c r="C88" s="27">
        <v>18377.41</v>
      </c>
      <c r="D88" s="28">
        <v>-8493.73</v>
      </c>
      <c r="E88" s="30">
        <v>-0.46218319121138396</v>
      </c>
      <c r="F88" s="40">
        <v>34000.559999999998</v>
      </c>
      <c r="G88" s="29">
        <v>68001.119999999995</v>
      </c>
      <c r="H88" s="29">
        <v>-34000.559999999998</v>
      </c>
      <c r="I88" s="41">
        <v>-0.5</v>
      </c>
    </row>
    <row r="89" spans="1:9" x14ac:dyDescent="0.25">
      <c r="A89" s="21" t="s">
        <v>523</v>
      </c>
      <c r="B89" s="27">
        <v>9785.32</v>
      </c>
      <c r="C89" s="27">
        <v>8244.24</v>
      </c>
      <c r="D89" s="28">
        <v>1541.08</v>
      </c>
      <c r="E89" s="30">
        <v>0.18692808554821305</v>
      </c>
      <c r="F89" s="40">
        <v>37200.239999999998</v>
      </c>
      <c r="G89" s="29">
        <v>34122.18</v>
      </c>
      <c r="H89" s="29">
        <v>3078.0599999999977</v>
      </c>
      <c r="I89" s="41">
        <v>9.0207014909363864E-2</v>
      </c>
    </row>
    <row r="90" spans="1:9" x14ac:dyDescent="0.25">
      <c r="A90" s="21" t="s">
        <v>1236</v>
      </c>
      <c r="B90" s="27">
        <v>9691.2800000000007</v>
      </c>
      <c r="C90" s="27"/>
      <c r="D90" s="28">
        <v>9691.2800000000007</v>
      </c>
      <c r="E90" s="30">
        <v>1</v>
      </c>
      <c r="F90" s="40">
        <v>30221.867999999999</v>
      </c>
      <c r="G90" s="29"/>
      <c r="H90" s="29">
        <v>30221.867999999999</v>
      </c>
      <c r="I90" s="41">
        <v>1</v>
      </c>
    </row>
    <row r="91" spans="1:9" x14ac:dyDescent="0.25">
      <c r="A91" s="21" t="s">
        <v>1230</v>
      </c>
      <c r="B91" s="27">
        <v>9686.9500000000007</v>
      </c>
      <c r="C91" s="27">
        <v>9225.06</v>
      </c>
      <c r="D91" s="28">
        <v>461.89000000000124</v>
      </c>
      <c r="E91" s="30">
        <v>5.0069051041402579E-2</v>
      </c>
      <c r="F91" s="40">
        <v>41074.991999999998</v>
      </c>
      <c r="G91" s="29">
        <v>41074.991999999998</v>
      </c>
      <c r="H91" s="29">
        <v>0</v>
      </c>
      <c r="I91" s="41">
        <v>0</v>
      </c>
    </row>
    <row r="92" spans="1:9" x14ac:dyDescent="0.25">
      <c r="A92" s="21" t="s">
        <v>755</v>
      </c>
      <c r="B92" s="27">
        <v>9657.02</v>
      </c>
      <c r="C92" s="27">
        <v>13854.939999999999</v>
      </c>
      <c r="D92" s="28">
        <v>-4197.9199999999983</v>
      </c>
      <c r="E92" s="30">
        <v>-0.30299084658612729</v>
      </c>
      <c r="F92" s="40">
        <v>22667.434000000001</v>
      </c>
      <c r="G92" s="29">
        <v>30933.84</v>
      </c>
      <c r="H92" s="29">
        <v>-8266.405999999999</v>
      </c>
      <c r="I92" s="41">
        <v>-0.26722857556643465</v>
      </c>
    </row>
    <row r="93" spans="1:9" x14ac:dyDescent="0.25">
      <c r="A93" s="21" t="s">
        <v>759</v>
      </c>
      <c r="B93" s="27">
        <v>9340.06</v>
      </c>
      <c r="C93" s="27">
        <v>8211.4599999999991</v>
      </c>
      <c r="D93" s="28">
        <v>1128.6000000000004</v>
      </c>
      <c r="E93" s="30">
        <v>0.13744206267825704</v>
      </c>
      <c r="F93" s="40">
        <v>25185.599999999999</v>
      </c>
      <c r="G93" s="29">
        <v>22667.040000000001</v>
      </c>
      <c r="H93" s="29">
        <v>2518.5599999999977</v>
      </c>
      <c r="I93" s="41">
        <v>0.11111111111111101</v>
      </c>
    </row>
    <row r="94" spans="1:9" x14ac:dyDescent="0.25">
      <c r="A94" s="21" t="s">
        <v>320</v>
      </c>
      <c r="B94" s="27">
        <v>8999.8700000000008</v>
      </c>
      <c r="C94" s="27">
        <v>4929.21</v>
      </c>
      <c r="D94" s="28">
        <v>4070.6600000000008</v>
      </c>
      <c r="E94" s="30">
        <v>0.82582401642453873</v>
      </c>
      <c r="F94" s="40">
        <v>10911.36</v>
      </c>
      <c r="G94" s="29">
        <v>7274.24</v>
      </c>
      <c r="H94" s="29">
        <v>3637.1200000000008</v>
      </c>
      <c r="I94" s="41">
        <v>0.50000000000000011</v>
      </c>
    </row>
    <row r="95" spans="1:9" x14ac:dyDescent="0.25">
      <c r="A95" s="21" t="s">
        <v>1237</v>
      </c>
      <c r="B95" s="27">
        <v>8767.44</v>
      </c>
      <c r="C95" s="27"/>
      <c r="D95" s="28">
        <v>8767.44</v>
      </c>
      <c r="E95" s="30">
        <v>1</v>
      </c>
      <c r="F95" s="40">
        <v>37198.800000000003</v>
      </c>
      <c r="G95" s="29"/>
      <c r="H95" s="29">
        <v>37198.800000000003</v>
      </c>
      <c r="I95" s="41">
        <v>1</v>
      </c>
    </row>
    <row r="96" spans="1:9" x14ac:dyDescent="0.25">
      <c r="A96" s="21" t="s">
        <v>1241</v>
      </c>
      <c r="B96" s="27">
        <v>8350.4599999999991</v>
      </c>
      <c r="C96" s="27">
        <v>3866.23</v>
      </c>
      <c r="D96" s="28">
        <v>4484.2299999999996</v>
      </c>
      <c r="E96" s="30">
        <v>1.1598456377401241</v>
      </c>
      <c r="F96" s="40">
        <v>41074.991999999998</v>
      </c>
      <c r="G96" s="29">
        <v>20537.495999999999</v>
      </c>
      <c r="H96" s="29">
        <v>20537.495999999999</v>
      </c>
      <c r="I96" s="41">
        <v>1</v>
      </c>
    </row>
    <row r="97" spans="1:9" x14ac:dyDescent="0.25">
      <c r="A97" s="21" t="s">
        <v>1242</v>
      </c>
      <c r="B97" s="27">
        <v>8074.6</v>
      </c>
      <c r="C97" s="27"/>
      <c r="D97" s="28">
        <v>8074.6</v>
      </c>
      <c r="E97" s="30">
        <v>1</v>
      </c>
      <c r="F97" s="40">
        <v>22668.48</v>
      </c>
      <c r="G97" s="29"/>
      <c r="H97" s="29">
        <v>22668.48</v>
      </c>
      <c r="I97" s="41">
        <v>1</v>
      </c>
    </row>
    <row r="98" spans="1:9" x14ac:dyDescent="0.25">
      <c r="A98" s="21" t="s">
        <v>1778</v>
      </c>
      <c r="B98" s="27">
        <v>8033.26</v>
      </c>
      <c r="C98" s="27"/>
      <c r="D98" s="28">
        <v>8033.26</v>
      </c>
      <c r="E98" s="30">
        <v>1</v>
      </c>
      <c r="F98" s="40">
        <v>17531.540999999997</v>
      </c>
      <c r="G98" s="29"/>
      <c r="H98" s="29">
        <v>17531.540999999997</v>
      </c>
      <c r="I98" s="41">
        <v>1</v>
      </c>
    </row>
    <row r="99" spans="1:9" x14ac:dyDescent="0.25">
      <c r="A99" s="21" t="s">
        <v>1239</v>
      </c>
      <c r="B99" s="27">
        <v>8017.5700000000006</v>
      </c>
      <c r="C99" s="27"/>
      <c r="D99" s="28">
        <v>8017.5700000000006</v>
      </c>
      <c r="E99" s="30">
        <v>1</v>
      </c>
      <c r="F99" s="40">
        <v>5951.92</v>
      </c>
      <c r="G99" s="29"/>
      <c r="H99" s="29">
        <v>5951.92</v>
      </c>
      <c r="I99" s="41">
        <v>1</v>
      </c>
    </row>
    <row r="100" spans="1:9" x14ac:dyDescent="0.25">
      <c r="A100" s="21" t="s">
        <v>756</v>
      </c>
      <c r="B100" s="27">
        <v>7985.03</v>
      </c>
      <c r="C100" s="27">
        <v>10692</v>
      </c>
      <c r="D100" s="28">
        <v>-2706.9700000000003</v>
      </c>
      <c r="E100" s="30">
        <v>-0.2531771417882529</v>
      </c>
      <c r="F100" s="40">
        <v>27486.312000000002</v>
      </c>
      <c r="G100" s="29">
        <v>30222.720000000001</v>
      </c>
      <c r="H100" s="29">
        <v>-2736.4079999999994</v>
      </c>
      <c r="I100" s="41">
        <v>-9.0541420494250666E-2</v>
      </c>
    </row>
    <row r="101" spans="1:9" x14ac:dyDescent="0.25">
      <c r="A101" s="21" t="s">
        <v>1542</v>
      </c>
      <c r="B101" s="27">
        <v>7983.36</v>
      </c>
      <c r="C101" s="27"/>
      <c r="D101" s="28">
        <v>7983.36</v>
      </c>
      <c r="E101" s="30">
        <v>1</v>
      </c>
      <c r="F101" s="40">
        <v>30223.295999999998</v>
      </c>
      <c r="G101" s="29"/>
      <c r="H101" s="29">
        <v>30223.295999999998</v>
      </c>
      <c r="I101" s="41">
        <v>1</v>
      </c>
    </row>
    <row r="102" spans="1:9" x14ac:dyDescent="0.25">
      <c r="A102" s="21" t="s">
        <v>186</v>
      </c>
      <c r="B102" s="27">
        <v>7801.6</v>
      </c>
      <c r="C102" s="27">
        <v>33458.47</v>
      </c>
      <c r="D102" s="28">
        <v>-25656.870000000003</v>
      </c>
      <c r="E102" s="30">
        <v>-0.76682735343247921</v>
      </c>
      <c r="F102" s="40">
        <v>31376.73</v>
      </c>
      <c r="G102" s="29">
        <v>138628.098</v>
      </c>
      <c r="H102" s="29">
        <v>-107251.368</v>
      </c>
      <c r="I102" s="41">
        <v>-0.77366255144032925</v>
      </c>
    </row>
    <row r="103" spans="1:9" x14ac:dyDescent="0.25">
      <c r="A103" s="21" t="s">
        <v>798</v>
      </c>
      <c r="B103" s="27">
        <v>7755.26</v>
      </c>
      <c r="C103" s="27">
        <v>3720.82</v>
      </c>
      <c r="D103" s="28">
        <v>4034.44</v>
      </c>
      <c r="E103" s="30">
        <v>1.0842878720282088</v>
      </c>
      <c r="F103" s="40">
        <v>30222.720000000001</v>
      </c>
      <c r="G103" s="29">
        <v>15111.36</v>
      </c>
      <c r="H103" s="29">
        <v>15111.36</v>
      </c>
      <c r="I103" s="41">
        <v>1</v>
      </c>
    </row>
    <row r="104" spans="1:9" x14ac:dyDescent="0.25">
      <c r="A104" s="21" t="s">
        <v>904</v>
      </c>
      <c r="B104" s="27">
        <v>7698.24</v>
      </c>
      <c r="C104" s="27"/>
      <c r="D104" s="28">
        <v>7698.24</v>
      </c>
      <c r="E104" s="30">
        <v>1</v>
      </c>
      <c r="F104" s="40">
        <v>49600.512000000002</v>
      </c>
      <c r="G104" s="29"/>
      <c r="H104" s="29">
        <v>49600.512000000002</v>
      </c>
      <c r="I104" s="41">
        <v>1</v>
      </c>
    </row>
    <row r="105" spans="1:9" x14ac:dyDescent="0.25">
      <c r="A105" s="21" t="s">
        <v>1243</v>
      </c>
      <c r="B105" s="27">
        <v>7629.82</v>
      </c>
      <c r="C105" s="27"/>
      <c r="D105" s="28">
        <v>7629.82</v>
      </c>
      <c r="E105" s="30">
        <v>1</v>
      </c>
      <c r="F105" s="40">
        <v>34000.559999999998</v>
      </c>
      <c r="G105" s="29"/>
      <c r="H105" s="29">
        <v>34000.559999999998</v>
      </c>
      <c r="I105" s="41">
        <v>1</v>
      </c>
    </row>
    <row r="106" spans="1:9" x14ac:dyDescent="0.25">
      <c r="A106" s="21" t="s">
        <v>824</v>
      </c>
      <c r="B106" s="27">
        <v>7549.98</v>
      </c>
      <c r="C106" s="27">
        <v>6491.4699999999993</v>
      </c>
      <c r="D106" s="28">
        <v>1058.5100000000002</v>
      </c>
      <c r="E106" s="30">
        <v>0.16306167940389471</v>
      </c>
      <c r="F106" s="40">
        <v>19840.32</v>
      </c>
      <c r="G106" s="29">
        <v>21125.4</v>
      </c>
      <c r="H106" s="29">
        <v>-1285.0800000000017</v>
      </c>
      <c r="I106" s="41">
        <v>-6.0831037518816293E-2</v>
      </c>
    </row>
    <row r="107" spans="1:9" x14ac:dyDescent="0.25">
      <c r="A107" s="21" t="s">
        <v>761</v>
      </c>
      <c r="B107" s="27">
        <v>7515.76</v>
      </c>
      <c r="C107" s="27">
        <v>7295.28</v>
      </c>
      <c r="D107" s="28">
        <v>220.48000000000047</v>
      </c>
      <c r="E107" s="30">
        <v>3.0222280707526028E-2</v>
      </c>
      <c r="F107" s="40">
        <v>30222.720000000001</v>
      </c>
      <c r="G107" s="29">
        <v>30222.720000000001</v>
      </c>
      <c r="H107" s="29">
        <v>0</v>
      </c>
      <c r="I107" s="41">
        <v>0</v>
      </c>
    </row>
    <row r="108" spans="1:9" x14ac:dyDescent="0.25">
      <c r="A108" s="21" t="s">
        <v>437</v>
      </c>
      <c r="B108" s="27">
        <v>7396.61</v>
      </c>
      <c r="C108" s="27">
        <v>3621.6099999999997</v>
      </c>
      <c r="D108" s="28">
        <v>3775</v>
      </c>
      <c r="E108" s="30">
        <v>1.0423540911362628</v>
      </c>
      <c r="F108" s="40">
        <v>17854.080000000002</v>
      </c>
      <c r="G108" s="29">
        <v>12398.4</v>
      </c>
      <c r="H108" s="29">
        <v>5455.6800000000021</v>
      </c>
      <c r="I108" s="41">
        <v>0.44003097173828898</v>
      </c>
    </row>
    <row r="109" spans="1:9" x14ac:dyDescent="0.25">
      <c r="A109" s="21" t="s">
        <v>1247</v>
      </c>
      <c r="B109" s="27">
        <v>7338.99</v>
      </c>
      <c r="C109" s="27">
        <v>3735.07</v>
      </c>
      <c r="D109" s="28">
        <v>3603.9199999999996</v>
      </c>
      <c r="E109" s="30">
        <v>0.96488686959012804</v>
      </c>
      <c r="F109" s="40">
        <v>30223.008000000002</v>
      </c>
      <c r="G109" s="29">
        <v>15111.36</v>
      </c>
      <c r="H109" s="29">
        <v>15111.648000000001</v>
      </c>
      <c r="I109" s="41">
        <v>1.0000190585096245</v>
      </c>
    </row>
    <row r="110" spans="1:9" x14ac:dyDescent="0.25">
      <c r="A110" s="21" t="s">
        <v>1232</v>
      </c>
      <c r="B110" s="27">
        <v>7304.77</v>
      </c>
      <c r="C110" s="27">
        <v>3737.92</v>
      </c>
      <c r="D110" s="28">
        <v>3566.8500000000004</v>
      </c>
      <c r="E110" s="30">
        <v>0.95423390548754394</v>
      </c>
      <c r="F110" s="40">
        <v>27510.959999999999</v>
      </c>
      <c r="G110" s="29">
        <v>15111.36</v>
      </c>
      <c r="H110" s="29">
        <v>12399.599999999999</v>
      </c>
      <c r="I110" s="41">
        <v>0.82054824979353269</v>
      </c>
    </row>
    <row r="111" spans="1:9" x14ac:dyDescent="0.25">
      <c r="A111" s="21" t="s">
        <v>683</v>
      </c>
      <c r="B111" s="27">
        <v>7149.98</v>
      </c>
      <c r="C111" s="27">
        <v>15187.27</v>
      </c>
      <c r="D111" s="28">
        <v>-8037.2900000000009</v>
      </c>
      <c r="E111" s="30">
        <v>-0.52921229424379768</v>
      </c>
      <c r="F111" s="40">
        <v>24796.799999999999</v>
      </c>
      <c r="G111" s="29">
        <v>42650.879999999997</v>
      </c>
      <c r="H111" s="29">
        <v>-17854.079999999998</v>
      </c>
      <c r="I111" s="41">
        <v>-0.4186098856576933</v>
      </c>
    </row>
    <row r="112" spans="1:9" x14ac:dyDescent="0.25">
      <c r="A112" s="21" t="s">
        <v>1245</v>
      </c>
      <c r="B112" s="27">
        <v>7042.46</v>
      </c>
      <c r="C112" s="27"/>
      <c r="D112" s="28">
        <v>7042.46</v>
      </c>
      <c r="E112" s="30">
        <v>1</v>
      </c>
      <c r="F112" s="40">
        <v>30222.720000000001</v>
      </c>
      <c r="G112" s="29"/>
      <c r="H112" s="29">
        <v>30222.720000000001</v>
      </c>
      <c r="I112" s="41">
        <v>1</v>
      </c>
    </row>
    <row r="113" spans="1:9" x14ac:dyDescent="0.25">
      <c r="A113" s="21" t="s">
        <v>528</v>
      </c>
      <c r="B113" s="27">
        <v>7015.37</v>
      </c>
      <c r="C113" s="27">
        <v>15692.050000000001</v>
      </c>
      <c r="D113" s="28">
        <v>-8676.68</v>
      </c>
      <c r="E113" s="30">
        <v>-0.55293476633072158</v>
      </c>
      <c r="F113" s="40">
        <v>23734.368000000002</v>
      </c>
      <c r="G113" s="29">
        <v>61998.528000000006</v>
      </c>
      <c r="H113" s="29">
        <v>-38264.160000000003</v>
      </c>
      <c r="I113" s="41">
        <v>-0.61717852398044026</v>
      </c>
    </row>
    <row r="114" spans="1:9" x14ac:dyDescent="0.25">
      <c r="A114" s="21" t="s">
        <v>635</v>
      </c>
      <c r="B114" s="27">
        <v>6939.1100000000006</v>
      </c>
      <c r="C114" s="27">
        <v>1663.2</v>
      </c>
      <c r="D114" s="28">
        <v>5275.9100000000008</v>
      </c>
      <c r="E114" s="30">
        <v>3.1721440596440602</v>
      </c>
      <c r="F114" s="40">
        <v>13398.480000000001</v>
      </c>
      <c r="G114" s="29">
        <v>3031.2</v>
      </c>
      <c r="H114" s="29">
        <v>10367.280000000002</v>
      </c>
      <c r="I114" s="41">
        <v>3.4201900237529701</v>
      </c>
    </row>
    <row r="115" spans="1:9" x14ac:dyDescent="0.25">
      <c r="A115" s="21" t="s">
        <v>1288</v>
      </c>
      <c r="B115" s="27">
        <v>6907.0300000000007</v>
      </c>
      <c r="C115" s="27">
        <v>2794.18</v>
      </c>
      <c r="D115" s="28">
        <v>4112.8500000000004</v>
      </c>
      <c r="E115" s="30">
        <v>1.4719345210401622</v>
      </c>
      <c r="F115" s="40">
        <v>30997.800000000003</v>
      </c>
      <c r="G115" s="29">
        <v>12399.6</v>
      </c>
      <c r="H115" s="29">
        <v>18598.200000000004</v>
      </c>
      <c r="I115" s="41">
        <v>1.499903222684603</v>
      </c>
    </row>
    <row r="116" spans="1:9" x14ac:dyDescent="0.25">
      <c r="A116" s="21" t="s">
        <v>837</v>
      </c>
      <c r="B116" s="27">
        <v>6652.8</v>
      </c>
      <c r="C116" s="27"/>
      <c r="D116" s="28">
        <v>6652.8</v>
      </c>
      <c r="E116" s="30">
        <v>1</v>
      </c>
      <c r="F116" s="40">
        <v>12592.8</v>
      </c>
      <c r="G116" s="29"/>
      <c r="H116" s="29">
        <v>12592.8</v>
      </c>
      <c r="I116" s="41">
        <v>1</v>
      </c>
    </row>
    <row r="117" spans="1:9" x14ac:dyDescent="0.25">
      <c r="A117" s="21" t="s">
        <v>876</v>
      </c>
      <c r="B117" s="27">
        <v>6527.41</v>
      </c>
      <c r="C117" s="27"/>
      <c r="D117" s="28">
        <v>6527.41</v>
      </c>
      <c r="E117" s="30">
        <v>1</v>
      </c>
      <c r="F117" s="40">
        <v>22457.726999999999</v>
      </c>
      <c r="G117" s="29"/>
      <c r="H117" s="29">
        <v>22457.726999999999</v>
      </c>
      <c r="I117" s="41">
        <v>1</v>
      </c>
    </row>
    <row r="118" spans="1:9" x14ac:dyDescent="0.25">
      <c r="A118" s="21" t="s">
        <v>1290</v>
      </c>
      <c r="B118" s="27">
        <v>6379.5599999999995</v>
      </c>
      <c r="C118" s="27">
        <v>14646.609999999999</v>
      </c>
      <c r="D118" s="28">
        <v>-8267.0499999999993</v>
      </c>
      <c r="E118" s="30">
        <v>-0.56443436399276015</v>
      </c>
      <c r="F118" s="40">
        <v>24799.200000000001</v>
      </c>
      <c r="G118" s="29">
        <v>60847.039999999994</v>
      </c>
      <c r="H118" s="29">
        <v>-36047.839999999997</v>
      </c>
      <c r="I118" s="41">
        <v>-0.59243374862606302</v>
      </c>
    </row>
    <row r="119" spans="1:9" x14ac:dyDescent="0.25">
      <c r="A119" s="21" t="s">
        <v>196</v>
      </c>
      <c r="B119" s="27">
        <v>6363.88</v>
      </c>
      <c r="C119" s="27">
        <v>8947.07</v>
      </c>
      <c r="D119" s="28">
        <v>-2583.1899999999996</v>
      </c>
      <c r="E119" s="30">
        <v>-0.28871910021940139</v>
      </c>
      <c r="F119" s="40">
        <v>30222.720000000001</v>
      </c>
      <c r="G119" s="29">
        <v>45334.080000000002</v>
      </c>
      <c r="H119" s="29">
        <v>-15111.36</v>
      </c>
      <c r="I119" s="41">
        <v>-0.33333333333333331</v>
      </c>
    </row>
    <row r="120" spans="1:9" x14ac:dyDescent="0.25">
      <c r="A120" s="21" t="s">
        <v>323</v>
      </c>
      <c r="B120" s="27">
        <v>6322.31</v>
      </c>
      <c r="C120" s="27">
        <v>11025.47</v>
      </c>
      <c r="D120" s="28">
        <v>-4703.1599999999989</v>
      </c>
      <c r="E120" s="30">
        <v>-0.42657229124926188</v>
      </c>
      <c r="F120" s="40">
        <v>31167.18</v>
      </c>
      <c r="G120" s="29">
        <v>13034.16</v>
      </c>
      <c r="H120" s="29">
        <v>18133.02</v>
      </c>
      <c r="I120" s="41">
        <v>1.3911920676131029</v>
      </c>
    </row>
    <row r="121" spans="1:9" x14ac:dyDescent="0.25">
      <c r="A121" s="21" t="s">
        <v>796</v>
      </c>
      <c r="B121" s="27">
        <v>6085.53</v>
      </c>
      <c r="C121" s="27">
        <v>5795.06</v>
      </c>
      <c r="D121" s="28">
        <v>290.46999999999935</v>
      </c>
      <c r="E121" s="30">
        <v>5.0123726070135481E-2</v>
      </c>
      <c r="F121" s="40">
        <v>17114.580000000002</v>
      </c>
      <c r="G121" s="29">
        <v>17114.580000000002</v>
      </c>
      <c r="H121" s="29">
        <v>0</v>
      </c>
      <c r="I121" s="41">
        <v>0</v>
      </c>
    </row>
    <row r="122" spans="1:9" x14ac:dyDescent="0.25">
      <c r="A122" s="21" t="s">
        <v>611</v>
      </c>
      <c r="B122" s="27">
        <v>5759.42</v>
      </c>
      <c r="C122" s="27">
        <v>5225.29</v>
      </c>
      <c r="D122" s="28">
        <v>534.13000000000011</v>
      </c>
      <c r="E122" s="30">
        <v>0.10222016385693428</v>
      </c>
      <c r="F122" s="40">
        <v>15111.36</v>
      </c>
      <c r="G122" s="29">
        <v>15111.36</v>
      </c>
      <c r="H122" s="29">
        <v>0</v>
      </c>
      <c r="I122" s="41">
        <v>0</v>
      </c>
    </row>
    <row r="123" spans="1:9" x14ac:dyDescent="0.25">
      <c r="A123" s="21" t="s">
        <v>871</v>
      </c>
      <c r="B123" s="27">
        <v>5759.42</v>
      </c>
      <c r="C123" s="27"/>
      <c r="D123" s="28">
        <v>5759.42</v>
      </c>
      <c r="E123" s="30">
        <v>1</v>
      </c>
      <c r="F123" s="40">
        <v>15111.36</v>
      </c>
      <c r="G123" s="29"/>
      <c r="H123" s="29">
        <v>15111.36</v>
      </c>
      <c r="I123" s="41">
        <v>1</v>
      </c>
    </row>
    <row r="124" spans="1:9" x14ac:dyDescent="0.25">
      <c r="A124" s="21" t="s">
        <v>907</v>
      </c>
      <c r="B124" s="27">
        <v>5730.92</v>
      </c>
      <c r="C124" s="27"/>
      <c r="D124" s="28">
        <v>5730.92</v>
      </c>
      <c r="E124" s="30">
        <v>1</v>
      </c>
      <c r="F124" s="40">
        <v>24799.200000000001</v>
      </c>
      <c r="G124" s="29"/>
      <c r="H124" s="29">
        <v>24799.200000000001</v>
      </c>
      <c r="I124" s="41">
        <v>1</v>
      </c>
    </row>
    <row r="125" spans="1:9" x14ac:dyDescent="0.25">
      <c r="A125" s="21" t="s">
        <v>533</v>
      </c>
      <c r="B125" s="27">
        <v>5730.91</v>
      </c>
      <c r="C125" s="27">
        <v>10634.97</v>
      </c>
      <c r="D125" s="28">
        <v>-4904.0599999999995</v>
      </c>
      <c r="E125" s="30">
        <v>-0.4611258894007223</v>
      </c>
      <c r="F125" s="40">
        <v>24799.200000000001</v>
      </c>
      <c r="G125" s="29">
        <v>49598.400000000001</v>
      </c>
      <c r="H125" s="29">
        <v>-24799.200000000001</v>
      </c>
      <c r="I125" s="41">
        <v>-0.5</v>
      </c>
    </row>
    <row r="126" spans="1:9" x14ac:dyDescent="0.25">
      <c r="A126" s="21" t="s">
        <v>839</v>
      </c>
      <c r="B126" s="27">
        <v>5698.4400000000005</v>
      </c>
      <c r="C126" s="27"/>
      <c r="D126" s="28">
        <v>5698.4400000000005</v>
      </c>
      <c r="E126" s="30">
        <v>1</v>
      </c>
      <c r="F126" s="40">
        <v>24799.200000000001</v>
      </c>
      <c r="G126" s="29"/>
      <c r="H126" s="29">
        <v>24799.200000000001</v>
      </c>
      <c r="I126" s="41">
        <v>1</v>
      </c>
    </row>
    <row r="127" spans="1:9" x14ac:dyDescent="0.25">
      <c r="A127" s="21" t="s">
        <v>1286</v>
      </c>
      <c r="B127" s="27">
        <v>5691</v>
      </c>
      <c r="C127" s="27">
        <v>13353.12</v>
      </c>
      <c r="D127" s="28">
        <v>-7662.1200000000008</v>
      </c>
      <c r="E127" s="30">
        <v>-0.57380746971494301</v>
      </c>
      <c r="F127" s="40">
        <v>22604.095999999998</v>
      </c>
      <c r="G127" s="29">
        <v>57048.6</v>
      </c>
      <c r="H127" s="29">
        <v>-34444.504000000001</v>
      </c>
      <c r="I127" s="41">
        <v>-0.60377474644425988</v>
      </c>
    </row>
    <row r="128" spans="1:9" x14ac:dyDescent="0.25">
      <c r="A128" s="21" t="s">
        <v>403</v>
      </c>
      <c r="B128" s="27">
        <v>5659.64</v>
      </c>
      <c r="C128" s="27">
        <v>10563.7</v>
      </c>
      <c r="D128" s="28">
        <v>-4904.0600000000004</v>
      </c>
      <c r="E128" s="30">
        <v>-0.46423696242793716</v>
      </c>
      <c r="F128" s="40">
        <v>6197.91</v>
      </c>
      <c r="G128" s="29">
        <v>17531.540999999997</v>
      </c>
      <c r="H128" s="29">
        <v>-11333.630999999998</v>
      </c>
      <c r="I128" s="41">
        <v>-0.6464708949430058</v>
      </c>
    </row>
    <row r="129" spans="1:9" x14ac:dyDescent="0.25">
      <c r="A129" s="21" t="s">
        <v>1299</v>
      </c>
      <c r="B129" s="27">
        <v>5641.1</v>
      </c>
      <c r="C129" s="27">
        <v>4901.21</v>
      </c>
      <c r="D129" s="28">
        <v>739.89000000000033</v>
      </c>
      <c r="E129" s="30">
        <v>0.15096068113792316</v>
      </c>
      <c r="F129" s="40">
        <v>22667.4</v>
      </c>
      <c r="G129" s="29">
        <v>18600.12</v>
      </c>
      <c r="H129" s="29">
        <v>4067.2800000000025</v>
      </c>
      <c r="I129" s="41">
        <v>0.21866955697060034</v>
      </c>
    </row>
    <row r="130" spans="1:9" x14ac:dyDescent="0.25">
      <c r="A130" s="21" t="s">
        <v>1553</v>
      </c>
      <c r="B130" s="27">
        <v>5440.09</v>
      </c>
      <c r="C130" s="27"/>
      <c r="D130" s="28">
        <v>5440.09</v>
      </c>
      <c r="E130" s="30">
        <v>1</v>
      </c>
      <c r="F130" s="40">
        <v>14445.66</v>
      </c>
      <c r="G130" s="29"/>
      <c r="H130" s="29">
        <v>14445.66</v>
      </c>
      <c r="I130" s="41">
        <v>1</v>
      </c>
    </row>
    <row r="131" spans="1:9" x14ac:dyDescent="0.25">
      <c r="A131" s="21" t="s">
        <v>524</v>
      </c>
      <c r="B131" s="27">
        <v>5388.77</v>
      </c>
      <c r="C131" s="27">
        <v>5901.98</v>
      </c>
      <c r="D131" s="28">
        <v>-513.20999999999913</v>
      </c>
      <c r="E131" s="30">
        <v>-8.6955564064940774E-2</v>
      </c>
      <c r="F131" s="40">
        <v>24800.256000000001</v>
      </c>
      <c r="G131" s="29">
        <v>24800.256000000001</v>
      </c>
      <c r="H131" s="29">
        <v>0</v>
      </c>
      <c r="I131" s="41">
        <v>0</v>
      </c>
    </row>
    <row r="132" spans="1:9" x14ac:dyDescent="0.25">
      <c r="A132" s="21" t="s">
        <v>1235</v>
      </c>
      <c r="B132" s="27">
        <v>5132.16</v>
      </c>
      <c r="C132" s="27">
        <v>9451.73</v>
      </c>
      <c r="D132" s="28">
        <v>-4319.57</v>
      </c>
      <c r="E132" s="30">
        <v>-0.45701368955736144</v>
      </c>
      <c r="F132" s="40">
        <v>24796.799999999999</v>
      </c>
      <c r="G132" s="29">
        <v>37200.383999999998</v>
      </c>
      <c r="H132" s="29">
        <v>-12403.583999999999</v>
      </c>
      <c r="I132" s="41">
        <v>-0.33342623560014861</v>
      </c>
    </row>
    <row r="133" spans="1:9" x14ac:dyDescent="0.25">
      <c r="A133" s="21" t="s">
        <v>1544</v>
      </c>
      <c r="B133" s="27">
        <v>5110.78</v>
      </c>
      <c r="C133" s="27">
        <v>7601.3</v>
      </c>
      <c r="D133" s="28">
        <v>-2490.5200000000004</v>
      </c>
      <c r="E133" s="30">
        <v>-0.32764395563916704</v>
      </c>
      <c r="F133" s="40">
        <v>7555.68</v>
      </c>
      <c r="G133" s="29">
        <v>15111.36</v>
      </c>
      <c r="H133" s="29">
        <v>-7555.68</v>
      </c>
      <c r="I133" s="41">
        <v>-0.5</v>
      </c>
    </row>
    <row r="134" spans="1:9" x14ac:dyDescent="0.25">
      <c r="A134" s="21" t="s">
        <v>370</v>
      </c>
      <c r="B134" s="27">
        <v>5089.3799999999992</v>
      </c>
      <c r="C134" s="27"/>
      <c r="D134" s="28">
        <v>5089.3799999999992</v>
      </c>
      <c r="E134" s="30">
        <v>1</v>
      </c>
      <c r="F134" s="40">
        <v>3011.808</v>
      </c>
      <c r="G134" s="29"/>
      <c r="H134" s="29">
        <v>3011.808</v>
      </c>
      <c r="I134" s="41">
        <v>1</v>
      </c>
    </row>
    <row r="135" spans="1:9" x14ac:dyDescent="0.25">
      <c r="A135" s="21" t="s">
        <v>1579</v>
      </c>
      <c r="B135" s="27">
        <v>5080.84</v>
      </c>
      <c r="C135" s="27">
        <v>4839.2</v>
      </c>
      <c r="D135" s="28">
        <v>241.64000000000033</v>
      </c>
      <c r="E135" s="30">
        <v>4.9933873367498827E-2</v>
      </c>
      <c r="F135" s="40">
        <v>20537.495999999999</v>
      </c>
      <c r="G135" s="29">
        <v>20537.495999999999</v>
      </c>
      <c r="H135" s="29">
        <v>0</v>
      </c>
      <c r="I135" s="41">
        <v>0</v>
      </c>
    </row>
    <row r="136" spans="1:9" x14ac:dyDescent="0.25">
      <c r="A136" s="21" t="s">
        <v>797</v>
      </c>
      <c r="B136" s="27">
        <v>5029.5200000000004</v>
      </c>
      <c r="C136" s="27">
        <v>4790.0200000000004</v>
      </c>
      <c r="D136" s="28">
        <v>239.5</v>
      </c>
      <c r="E136" s="30">
        <v>4.9999791232604451E-2</v>
      </c>
      <c r="F136" s="40">
        <v>15111.36</v>
      </c>
      <c r="G136" s="29">
        <v>15111.36</v>
      </c>
      <c r="H136" s="29">
        <v>0</v>
      </c>
      <c r="I136" s="41">
        <v>0</v>
      </c>
    </row>
    <row r="137" spans="1:9" x14ac:dyDescent="0.25">
      <c r="A137" s="21" t="s">
        <v>1545</v>
      </c>
      <c r="B137" s="27">
        <v>5003.8500000000004</v>
      </c>
      <c r="C137" s="27">
        <v>3122.06</v>
      </c>
      <c r="D137" s="28">
        <v>1881.7900000000004</v>
      </c>
      <c r="E137" s="30">
        <v>0.60273985765808491</v>
      </c>
      <c r="F137" s="40">
        <v>3409.8</v>
      </c>
      <c r="G137" s="29">
        <v>2273.1999999999998</v>
      </c>
      <c r="H137" s="29">
        <v>1136.6000000000004</v>
      </c>
      <c r="I137" s="41">
        <v>0.50000000000000022</v>
      </c>
    </row>
    <row r="138" spans="1:9" x14ac:dyDescent="0.25">
      <c r="A138" s="21" t="s">
        <v>903</v>
      </c>
      <c r="B138" s="27">
        <v>4952.53</v>
      </c>
      <c r="C138" s="27"/>
      <c r="D138" s="28">
        <v>4952.53</v>
      </c>
      <c r="E138" s="30">
        <v>1</v>
      </c>
      <c r="F138" s="40">
        <v>18599.975999999999</v>
      </c>
      <c r="G138" s="29"/>
      <c r="H138" s="29">
        <v>18599.975999999999</v>
      </c>
      <c r="I138" s="41">
        <v>1</v>
      </c>
    </row>
    <row r="139" spans="1:9" x14ac:dyDescent="0.25">
      <c r="A139" s="21" t="s">
        <v>803</v>
      </c>
      <c r="B139" s="27">
        <v>4906.92</v>
      </c>
      <c r="C139" s="27"/>
      <c r="D139" s="28">
        <v>4906.92</v>
      </c>
      <c r="E139" s="30">
        <v>1</v>
      </c>
      <c r="F139" s="40">
        <v>9920.16</v>
      </c>
      <c r="G139" s="29"/>
      <c r="H139" s="29">
        <v>9920.16</v>
      </c>
      <c r="I139" s="41">
        <v>1</v>
      </c>
    </row>
    <row r="140" spans="1:9" x14ac:dyDescent="0.25">
      <c r="A140" s="21" t="s">
        <v>144</v>
      </c>
      <c r="B140" s="27">
        <v>4860.82</v>
      </c>
      <c r="C140" s="27"/>
      <c r="D140" s="28">
        <v>4860.82</v>
      </c>
      <c r="E140" s="30">
        <v>1</v>
      </c>
      <c r="F140" s="40">
        <v>13127.859</v>
      </c>
      <c r="G140" s="29"/>
      <c r="H140" s="29">
        <v>13127.859</v>
      </c>
      <c r="I140" s="41">
        <v>1</v>
      </c>
    </row>
    <row r="141" spans="1:9" x14ac:dyDescent="0.25">
      <c r="A141" s="21" t="s">
        <v>766</v>
      </c>
      <c r="B141" s="27">
        <v>4843.28</v>
      </c>
      <c r="C141" s="27">
        <v>86.960000000000008</v>
      </c>
      <c r="D141" s="28">
        <v>4756.32</v>
      </c>
      <c r="E141" s="30">
        <v>54.695492180312776</v>
      </c>
      <c r="F141" s="40">
        <v>2852.04</v>
      </c>
      <c r="G141" s="29">
        <v>56.83</v>
      </c>
      <c r="H141" s="29">
        <v>2795.21</v>
      </c>
      <c r="I141" s="41">
        <v>49.185465423191978</v>
      </c>
    </row>
    <row r="142" spans="1:9" x14ac:dyDescent="0.25">
      <c r="A142" s="21" t="s">
        <v>634</v>
      </c>
      <c r="B142" s="27">
        <v>4837.54</v>
      </c>
      <c r="C142" s="27">
        <v>15796.84</v>
      </c>
      <c r="D142" s="28">
        <v>-10959.3</v>
      </c>
      <c r="E142" s="30">
        <v>-0.69376533534555007</v>
      </c>
      <c r="F142" s="40">
        <v>18889.2</v>
      </c>
      <c r="G142" s="29">
        <v>66112.2</v>
      </c>
      <c r="H142" s="29">
        <v>-47223</v>
      </c>
      <c r="I142" s="41">
        <v>-0.7142857142857143</v>
      </c>
    </row>
    <row r="143" spans="1:9" x14ac:dyDescent="0.25">
      <c r="A143" s="21" t="s">
        <v>580</v>
      </c>
      <c r="B143" s="27">
        <v>4828.51</v>
      </c>
      <c r="C143" s="27">
        <v>4379.4399999999996</v>
      </c>
      <c r="D143" s="28">
        <v>449.07000000000062</v>
      </c>
      <c r="E143" s="30">
        <v>0.10254050746214143</v>
      </c>
      <c r="F143" s="40">
        <v>11333.717000000001</v>
      </c>
      <c r="G143" s="29">
        <v>11333.52</v>
      </c>
      <c r="H143" s="29">
        <v>0.19700000000011642</v>
      </c>
      <c r="I143" s="41">
        <v>1.7382066648324298E-5</v>
      </c>
    </row>
    <row r="144" spans="1:9" x14ac:dyDescent="0.25">
      <c r="A144" s="21" t="s">
        <v>599</v>
      </c>
      <c r="B144" s="27">
        <v>4805.7</v>
      </c>
      <c r="C144" s="27">
        <v>4358.0600000000004</v>
      </c>
      <c r="D144" s="28">
        <v>447.63999999999942</v>
      </c>
      <c r="E144" s="30">
        <v>0.1027154284245741</v>
      </c>
      <c r="F144" s="40">
        <v>17000.28</v>
      </c>
      <c r="G144" s="29">
        <v>17000.28</v>
      </c>
      <c r="H144" s="29">
        <v>0</v>
      </c>
      <c r="I144" s="41">
        <v>0</v>
      </c>
    </row>
    <row r="145" spans="1:9" x14ac:dyDescent="0.25">
      <c r="A145" s="21" t="s">
        <v>1284</v>
      </c>
      <c r="B145" s="27">
        <v>4790.0200000000004</v>
      </c>
      <c r="C145" s="27">
        <v>10560.37</v>
      </c>
      <c r="D145" s="28">
        <v>-5770.35</v>
      </c>
      <c r="E145" s="30">
        <v>-0.54641551385036702</v>
      </c>
      <c r="F145" s="40">
        <v>4849.92</v>
      </c>
      <c r="G145" s="29">
        <v>10760.76</v>
      </c>
      <c r="H145" s="29">
        <v>-5910.84</v>
      </c>
      <c r="I145" s="41">
        <v>-0.54929577464788737</v>
      </c>
    </row>
    <row r="146" spans="1:9" x14ac:dyDescent="0.25">
      <c r="A146" s="21" t="s">
        <v>1300</v>
      </c>
      <c r="B146" s="27">
        <v>4768.63</v>
      </c>
      <c r="C146" s="27">
        <v>4541.96</v>
      </c>
      <c r="D146" s="28">
        <v>226.67000000000007</v>
      </c>
      <c r="E146" s="30">
        <v>4.9905767554095606E-2</v>
      </c>
      <c r="F146" s="40">
        <v>18600.12</v>
      </c>
      <c r="G146" s="29">
        <v>18600.12</v>
      </c>
      <c r="H146" s="29">
        <v>0</v>
      </c>
      <c r="I146" s="41">
        <v>0</v>
      </c>
    </row>
    <row r="147" spans="1:9" x14ac:dyDescent="0.25">
      <c r="A147" s="21" t="s">
        <v>1546</v>
      </c>
      <c r="B147" s="27">
        <v>4693.79</v>
      </c>
      <c r="C147" s="27"/>
      <c r="D147" s="28">
        <v>4693.79</v>
      </c>
      <c r="E147" s="30">
        <v>1</v>
      </c>
      <c r="F147" s="40">
        <v>17000.28</v>
      </c>
      <c r="G147" s="29"/>
      <c r="H147" s="29">
        <v>17000.28</v>
      </c>
      <c r="I147" s="41">
        <v>1</v>
      </c>
    </row>
    <row r="148" spans="1:9" x14ac:dyDescent="0.25">
      <c r="A148" s="21" t="s">
        <v>767</v>
      </c>
      <c r="B148" s="27">
        <v>4573.8</v>
      </c>
      <c r="C148" s="27"/>
      <c r="D148" s="28">
        <v>4573.8</v>
      </c>
      <c r="E148" s="30">
        <v>1</v>
      </c>
      <c r="F148" s="40">
        <v>15741</v>
      </c>
      <c r="G148" s="29"/>
      <c r="H148" s="29">
        <v>15741</v>
      </c>
      <c r="I148" s="41">
        <v>1</v>
      </c>
    </row>
    <row r="149" spans="1:9" x14ac:dyDescent="0.25">
      <c r="A149" s="21" t="s">
        <v>532</v>
      </c>
      <c r="B149" s="27">
        <v>4456.43</v>
      </c>
      <c r="C149" s="27">
        <v>4043</v>
      </c>
      <c r="D149" s="28">
        <v>413.43000000000029</v>
      </c>
      <c r="E149" s="30">
        <v>0.10225822409102159</v>
      </c>
      <c r="F149" s="40">
        <v>15111.36</v>
      </c>
      <c r="G149" s="29">
        <v>15111.36</v>
      </c>
      <c r="H149" s="29">
        <v>0</v>
      </c>
      <c r="I149" s="41">
        <v>0</v>
      </c>
    </row>
    <row r="150" spans="1:9" x14ac:dyDescent="0.25">
      <c r="A150" s="21" t="s">
        <v>1246</v>
      </c>
      <c r="B150" s="27">
        <v>4405.58</v>
      </c>
      <c r="C150" s="27">
        <v>6570.59</v>
      </c>
      <c r="D150" s="28">
        <v>-2165.0100000000002</v>
      </c>
      <c r="E150" s="30">
        <v>-0.32950009055503388</v>
      </c>
      <c r="F150" s="40">
        <v>13081.560000000001</v>
      </c>
      <c r="G150" s="29">
        <v>25005.86</v>
      </c>
      <c r="H150" s="29">
        <v>-11924.3</v>
      </c>
      <c r="I150" s="41">
        <v>-0.47686022396350292</v>
      </c>
    </row>
    <row r="151" spans="1:9" x14ac:dyDescent="0.25">
      <c r="A151" s="21" t="s">
        <v>1238</v>
      </c>
      <c r="B151" s="27">
        <v>4333.82</v>
      </c>
      <c r="C151" s="27"/>
      <c r="D151" s="28">
        <v>4333.82</v>
      </c>
      <c r="E151" s="30">
        <v>1</v>
      </c>
      <c r="F151" s="40">
        <v>15111.36</v>
      </c>
      <c r="G151" s="29"/>
      <c r="H151" s="29">
        <v>15111.36</v>
      </c>
      <c r="I151" s="41">
        <v>1</v>
      </c>
    </row>
    <row r="152" spans="1:9" x14ac:dyDescent="0.25">
      <c r="A152" s="21" t="s">
        <v>579</v>
      </c>
      <c r="B152" s="27">
        <v>4291.0600000000004</v>
      </c>
      <c r="C152" s="27">
        <v>9223.6299999999992</v>
      </c>
      <c r="D152" s="28">
        <v>-4932.5699999999988</v>
      </c>
      <c r="E152" s="30">
        <v>-0.53477535417183897</v>
      </c>
      <c r="F152" s="40">
        <v>17000.28</v>
      </c>
      <c r="G152" s="29">
        <v>34000.559999999998</v>
      </c>
      <c r="H152" s="29">
        <v>-17000.28</v>
      </c>
      <c r="I152" s="41">
        <v>-0.5</v>
      </c>
    </row>
    <row r="153" spans="1:9" x14ac:dyDescent="0.25">
      <c r="A153" s="21" t="s">
        <v>1547</v>
      </c>
      <c r="B153" s="27">
        <v>4217.24</v>
      </c>
      <c r="C153" s="27"/>
      <c r="D153" s="28">
        <v>4217.24</v>
      </c>
      <c r="E153" s="30">
        <v>1</v>
      </c>
      <c r="F153" s="40">
        <v>10074.24</v>
      </c>
      <c r="G153" s="29"/>
      <c r="H153" s="29">
        <v>10074.24</v>
      </c>
      <c r="I153" s="41">
        <v>1</v>
      </c>
    </row>
    <row r="154" spans="1:9" x14ac:dyDescent="0.25">
      <c r="A154" s="21" t="s">
        <v>1240</v>
      </c>
      <c r="B154" s="27">
        <v>4176.3</v>
      </c>
      <c r="C154" s="27"/>
      <c r="D154" s="28">
        <v>4176.3</v>
      </c>
      <c r="E154" s="30">
        <v>1</v>
      </c>
      <c r="F154" s="40">
        <v>20537.495999999999</v>
      </c>
      <c r="G154" s="29"/>
      <c r="H154" s="29">
        <v>20537.495999999999</v>
      </c>
      <c r="I154" s="41">
        <v>1</v>
      </c>
    </row>
    <row r="155" spans="1:9" x14ac:dyDescent="0.25">
      <c r="A155" s="21" t="s">
        <v>1548</v>
      </c>
      <c r="B155" s="27">
        <v>4172.25</v>
      </c>
      <c r="C155" s="27"/>
      <c r="D155" s="28">
        <v>4172.25</v>
      </c>
      <c r="E155" s="30">
        <v>1</v>
      </c>
      <c r="F155" s="40">
        <v>15111.36</v>
      </c>
      <c r="G155" s="29"/>
      <c r="H155" s="29">
        <v>15111.36</v>
      </c>
      <c r="I155" s="41">
        <v>1</v>
      </c>
    </row>
    <row r="156" spans="1:9" x14ac:dyDescent="0.25">
      <c r="A156" s="21" t="s">
        <v>1549</v>
      </c>
      <c r="B156" s="27">
        <v>4171.3100000000004</v>
      </c>
      <c r="C156" s="27"/>
      <c r="D156" s="28">
        <v>4171.3100000000004</v>
      </c>
      <c r="E156" s="30">
        <v>1</v>
      </c>
      <c r="F156" s="40">
        <v>15111.36</v>
      </c>
      <c r="G156" s="29"/>
      <c r="H156" s="29">
        <v>15111.36</v>
      </c>
      <c r="I156" s="41">
        <v>1</v>
      </c>
    </row>
    <row r="157" spans="1:9" x14ac:dyDescent="0.25">
      <c r="A157" s="21" t="s">
        <v>1550</v>
      </c>
      <c r="B157" s="27">
        <v>4095.04</v>
      </c>
      <c r="C157" s="27"/>
      <c r="D157" s="28">
        <v>4095.04</v>
      </c>
      <c r="E157" s="30">
        <v>1</v>
      </c>
      <c r="F157" s="40">
        <v>11333.52</v>
      </c>
      <c r="G157" s="29"/>
      <c r="H157" s="29">
        <v>11333.52</v>
      </c>
      <c r="I157" s="41">
        <v>1</v>
      </c>
    </row>
    <row r="158" spans="1:9" x14ac:dyDescent="0.25">
      <c r="A158" s="21" t="s">
        <v>1279</v>
      </c>
      <c r="B158" s="27">
        <v>4037.3</v>
      </c>
      <c r="C158" s="27">
        <v>12748.04</v>
      </c>
      <c r="D158" s="28">
        <v>-8710.7400000000016</v>
      </c>
      <c r="E158" s="30">
        <v>-0.68330033479656493</v>
      </c>
      <c r="F158" s="40">
        <v>11334.24</v>
      </c>
      <c r="G158" s="29">
        <v>37151.120000000003</v>
      </c>
      <c r="H158" s="29">
        <v>-25816.880000000005</v>
      </c>
      <c r="I158" s="41">
        <v>-0.69491525423728817</v>
      </c>
    </row>
    <row r="159" spans="1:9" x14ac:dyDescent="0.25">
      <c r="A159" s="21" t="s">
        <v>1319</v>
      </c>
      <c r="B159" s="27">
        <v>4037.3</v>
      </c>
      <c r="C159" s="27">
        <v>3784.97</v>
      </c>
      <c r="D159" s="28">
        <v>252.33000000000038</v>
      </c>
      <c r="E159" s="30">
        <v>6.6666314396151199E-2</v>
      </c>
      <c r="F159" s="40">
        <v>11334.24</v>
      </c>
      <c r="G159" s="29">
        <v>11334.24</v>
      </c>
      <c r="H159" s="29">
        <v>0</v>
      </c>
      <c r="I159" s="41">
        <v>0</v>
      </c>
    </row>
    <row r="160" spans="1:9" x14ac:dyDescent="0.25">
      <c r="A160" s="21" t="s">
        <v>1779</v>
      </c>
      <c r="B160" s="27">
        <v>3934.66</v>
      </c>
      <c r="C160" s="27"/>
      <c r="D160" s="28">
        <v>3934.66</v>
      </c>
      <c r="E160" s="30">
        <v>1</v>
      </c>
      <c r="F160" s="40">
        <v>19013.088</v>
      </c>
      <c r="G160" s="29"/>
      <c r="H160" s="29">
        <v>19013.088</v>
      </c>
      <c r="I160" s="41">
        <v>1</v>
      </c>
    </row>
    <row r="161" spans="1:9" x14ac:dyDescent="0.25">
      <c r="A161" s="21" t="s">
        <v>1276</v>
      </c>
      <c r="B161" s="27">
        <v>3914.7</v>
      </c>
      <c r="C161" s="27">
        <v>3735.07</v>
      </c>
      <c r="D161" s="28">
        <v>179.62999999999965</v>
      </c>
      <c r="E161" s="30">
        <v>4.8092806828252121E-2</v>
      </c>
      <c r="F161" s="40">
        <v>15111.36</v>
      </c>
      <c r="G161" s="29">
        <v>15111.36</v>
      </c>
      <c r="H161" s="29">
        <v>0</v>
      </c>
      <c r="I161" s="41">
        <v>0</v>
      </c>
    </row>
    <row r="162" spans="1:9" x14ac:dyDescent="0.25">
      <c r="A162" s="21" t="s">
        <v>1780</v>
      </c>
      <c r="B162" s="27">
        <v>3736.26</v>
      </c>
      <c r="C162" s="27"/>
      <c r="D162" s="28">
        <v>3736.26</v>
      </c>
      <c r="E162" s="30">
        <v>1</v>
      </c>
      <c r="F162" s="40">
        <v>4590</v>
      </c>
      <c r="G162" s="29"/>
      <c r="H162" s="29">
        <v>4590</v>
      </c>
      <c r="I162" s="41">
        <v>1</v>
      </c>
    </row>
    <row r="163" spans="1:9" x14ac:dyDescent="0.25">
      <c r="A163" s="21" t="s">
        <v>1781</v>
      </c>
      <c r="B163" s="27">
        <v>3726.52</v>
      </c>
      <c r="C163" s="27"/>
      <c r="D163" s="28">
        <v>3726.52</v>
      </c>
      <c r="E163" s="30">
        <v>1</v>
      </c>
      <c r="F163" s="40">
        <v>15111.36</v>
      </c>
      <c r="G163" s="29"/>
      <c r="H163" s="29">
        <v>15111.36</v>
      </c>
      <c r="I163" s="41">
        <v>1</v>
      </c>
    </row>
    <row r="164" spans="1:9" x14ac:dyDescent="0.25">
      <c r="A164" s="21" t="s">
        <v>1318</v>
      </c>
      <c r="B164" s="27">
        <v>3726.52</v>
      </c>
      <c r="C164" s="27">
        <v>3735.07</v>
      </c>
      <c r="D164" s="28">
        <v>-8.5500000000001819</v>
      </c>
      <c r="E164" s="30">
        <v>-2.2891137247762912E-3</v>
      </c>
      <c r="F164" s="40">
        <v>15111.36</v>
      </c>
      <c r="G164" s="29">
        <v>15111.36</v>
      </c>
      <c r="H164" s="29">
        <v>0</v>
      </c>
      <c r="I164" s="41">
        <v>0</v>
      </c>
    </row>
    <row r="165" spans="1:9" x14ac:dyDescent="0.25">
      <c r="A165" s="21" t="s">
        <v>1551</v>
      </c>
      <c r="B165" s="27">
        <v>3725.57</v>
      </c>
      <c r="C165" s="27"/>
      <c r="D165" s="28">
        <v>3725.57</v>
      </c>
      <c r="E165" s="30">
        <v>1</v>
      </c>
      <c r="F165" s="40">
        <v>15111.36</v>
      </c>
      <c r="G165" s="29"/>
      <c r="H165" s="29">
        <v>15111.36</v>
      </c>
      <c r="I165" s="41">
        <v>1</v>
      </c>
    </row>
    <row r="166" spans="1:9" x14ac:dyDescent="0.25">
      <c r="A166" s="21" t="s">
        <v>1244</v>
      </c>
      <c r="B166" s="27">
        <v>3638.13</v>
      </c>
      <c r="C166" s="27">
        <v>3464.21</v>
      </c>
      <c r="D166" s="28">
        <v>173.92000000000007</v>
      </c>
      <c r="E166" s="30">
        <v>5.0204808599940552E-2</v>
      </c>
      <c r="F166" s="40">
        <v>15111.36</v>
      </c>
      <c r="G166" s="29">
        <v>15111.36</v>
      </c>
      <c r="H166" s="29">
        <v>0</v>
      </c>
      <c r="I166" s="41">
        <v>0</v>
      </c>
    </row>
    <row r="167" spans="1:9" x14ac:dyDescent="0.25">
      <c r="A167" s="21" t="s">
        <v>905</v>
      </c>
      <c r="B167" s="27">
        <v>3560.44</v>
      </c>
      <c r="C167" s="27"/>
      <c r="D167" s="28">
        <v>3560.44</v>
      </c>
      <c r="E167" s="30">
        <v>1</v>
      </c>
      <c r="F167" s="40">
        <v>9444.7800000000007</v>
      </c>
      <c r="G167" s="29"/>
      <c r="H167" s="29">
        <v>9444.7800000000007</v>
      </c>
      <c r="I167" s="41">
        <v>1</v>
      </c>
    </row>
    <row r="168" spans="1:9" x14ac:dyDescent="0.25">
      <c r="A168" s="21" t="s">
        <v>1782</v>
      </c>
      <c r="B168" s="27">
        <v>3476.09</v>
      </c>
      <c r="C168" s="27"/>
      <c r="D168" s="28">
        <v>3476.09</v>
      </c>
      <c r="E168" s="30">
        <v>1</v>
      </c>
      <c r="F168" s="40">
        <v>12592.8</v>
      </c>
      <c r="G168" s="29"/>
      <c r="H168" s="29">
        <v>12592.8</v>
      </c>
      <c r="I168" s="41">
        <v>1</v>
      </c>
    </row>
    <row r="169" spans="1:9" x14ac:dyDescent="0.25">
      <c r="A169" s="21" t="s">
        <v>207</v>
      </c>
      <c r="B169" s="27">
        <v>3355.5</v>
      </c>
      <c r="C169" s="27">
        <v>5276.51</v>
      </c>
      <c r="D169" s="28">
        <v>-1921.0100000000002</v>
      </c>
      <c r="E169" s="30">
        <v>-0.36406829514205413</v>
      </c>
      <c r="F169" s="40">
        <v>5666.76</v>
      </c>
      <c r="G169" s="29">
        <v>12592.8</v>
      </c>
      <c r="H169" s="29">
        <v>-6926.0399999999991</v>
      </c>
      <c r="I169" s="41">
        <v>-0.54999999999999993</v>
      </c>
    </row>
    <row r="170" spans="1:9" x14ac:dyDescent="0.25">
      <c r="A170" s="21" t="s">
        <v>405</v>
      </c>
      <c r="B170" s="27">
        <v>3308.82</v>
      </c>
      <c r="C170" s="27">
        <v>3854.47</v>
      </c>
      <c r="D170" s="28">
        <v>-545.64999999999964</v>
      </c>
      <c r="E170" s="30">
        <v>-0.14156291267022436</v>
      </c>
      <c r="F170" s="40">
        <v>13222.44</v>
      </c>
      <c r="G170" s="29">
        <v>10268.748</v>
      </c>
      <c r="H170" s="29">
        <v>2953.6920000000009</v>
      </c>
      <c r="I170" s="41">
        <v>0.28763896046528759</v>
      </c>
    </row>
    <row r="171" spans="1:9" x14ac:dyDescent="0.25">
      <c r="A171" s="21" t="s">
        <v>1783</v>
      </c>
      <c r="B171" s="27">
        <v>3207.6</v>
      </c>
      <c r="C171" s="27"/>
      <c r="D171" s="28">
        <v>3207.6</v>
      </c>
      <c r="E171" s="30">
        <v>1</v>
      </c>
      <c r="F171" s="40">
        <v>12399.6</v>
      </c>
      <c r="G171" s="29"/>
      <c r="H171" s="29">
        <v>12399.6</v>
      </c>
      <c r="I171" s="41">
        <v>1</v>
      </c>
    </row>
    <row r="172" spans="1:9" x14ac:dyDescent="0.25">
      <c r="A172" s="21" t="s">
        <v>1552</v>
      </c>
      <c r="B172" s="27">
        <v>3207.6</v>
      </c>
      <c r="C172" s="27"/>
      <c r="D172" s="28">
        <v>3207.6</v>
      </c>
      <c r="E172" s="30">
        <v>1</v>
      </c>
      <c r="F172" s="40">
        <v>12399.6</v>
      </c>
      <c r="G172" s="29"/>
      <c r="H172" s="29">
        <v>12399.6</v>
      </c>
      <c r="I172" s="41">
        <v>1</v>
      </c>
    </row>
    <row r="173" spans="1:9" x14ac:dyDescent="0.25">
      <c r="A173" s="21" t="s">
        <v>1316</v>
      </c>
      <c r="B173" s="27">
        <v>3207.6</v>
      </c>
      <c r="C173" s="27">
        <v>3057.91</v>
      </c>
      <c r="D173" s="28">
        <v>149.69000000000005</v>
      </c>
      <c r="E173" s="30">
        <v>4.8951735008551614E-2</v>
      </c>
      <c r="F173" s="40">
        <v>12399.6</v>
      </c>
      <c r="G173" s="29">
        <v>12399.6</v>
      </c>
      <c r="H173" s="29">
        <v>0</v>
      </c>
      <c r="I173" s="41">
        <v>0</v>
      </c>
    </row>
    <row r="174" spans="1:9" x14ac:dyDescent="0.25">
      <c r="A174" s="21" t="s">
        <v>906</v>
      </c>
      <c r="B174" s="27">
        <v>3143.45</v>
      </c>
      <c r="C174" s="27"/>
      <c r="D174" s="28">
        <v>3143.45</v>
      </c>
      <c r="E174" s="30">
        <v>1</v>
      </c>
      <c r="F174" s="40">
        <v>12399.6</v>
      </c>
      <c r="G174" s="29"/>
      <c r="H174" s="29">
        <v>12399.6</v>
      </c>
      <c r="I174" s="41">
        <v>1</v>
      </c>
    </row>
    <row r="175" spans="1:9" x14ac:dyDescent="0.25">
      <c r="A175" s="21" t="s">
        <v>1248</v>
      </c>
      <c r="B175" s="27">
        <v>3122.06</v>
      </c>
      <c r="C175" s="27">
        <v>19634.79</v>
      </c>
      <c r="D175" s="28">
        <v>-16512.73</v>
      </c>
      <c r="E175" s="30">
        <v>-0.84099346109634987</v>
      </c>
      <c r="F175" s="40">
        <v>12399.6</v>
      </c>
      <c r="G175" s="29">
        <v>74741.328000000009</v>
      </c>
      <c r="H175" s="29">
        <v>-62341.72800000001</v>
      </c>
      <c r="I175" s="41">
        <v>-0.83409981690451107</v>
      </c>
    </row>
    <row r="176" spans="1:9" x14ac:dyDescent="0.25">
      <c r="A176" s="21" t="s">
        <v>557</v>
      </c>
      <c r="B176" s="27">
        <v>3110.18</v>
      </c>
      <c r="C176" s="27">
        <v>10267.65</v>
      </c>
      <c r="D176" s="28">
        <v>-7157.4699999999993</v>
      </c>
      <c r="E176" s="30">
        <v>-0.69708940215141724</v>
      </c>
      <c r="F176" s="40">
        <v>10703.88</v>
      </c>
      <c r="G176" s="29">
        <v>42622.32</v>
      </c>
      <c r="H176" s="29">
        <v>-31918.440000000002</v>
      </c>
      <c r="I176" s="41">
        <v>-0.74886679092081343</v>
      </c>
    </row>
    <row r="177" spans="1:9" x14ac:dyDescent="0.25">
      <c r="A177" s="21" t="s">
        <v>801</v>
      </c>
      <c r="B177" s="27">
        <v>3100.68</v>
      </c>
      <c r="C177" s="27"/>
      <c r="D177" s="28">
        <v>3100.68</v>
      </c>
      <c r="E177" s="30">
        <v>1</v>
      </c>
      <c r="F177" s="40">
        <v>12399.6</v>
      </c>
      <c r="G177" s="29"/>
      <c r="H177" s="29">
        <v>12399.6</v>
      </c>
      <c r="I177" s="41">
        <v>1</v>
      </c>
    </row>
    <row r="178" spans="1:9" x14ac:dyDescent="0.25">
      <c r="A178" s="21" t="s">
        <v>877</v>
      </c>
      <c r="B178" s="27">
        <v>3079.3</v>
      </c>
      <c r="C178" s="27"/>
      <c r="D178" s="28">
        <v>3079.3</v>
      </c>
      <c r="E178" s="30">
        <v>1</v>
      </c>
      <c r="F178" s="40">
        <v>12399.6</v>
      </c>
      <c r="G178" s="29"/>
      <c r="H178" s="29">
        <v>12399.6</v>
      </c>
      <c r="I178" s="41">
        <v>1</v>
      </c>
    </row>
    <row r="179" spans="1:9" x14ac:dyDescent="0.25">
      <c r="A179" s="21" t="s">
        <v>1554</v>
      </c>
      <c r="B179" s="27">
        <v>3065.04</v>
      </c>
      <c r="C179" s="27"/>
      <c r="D179" s="28">
        <v>3065.04</v>
      </c>
      <c r="E179" s="30">
        <v>1</v>
      </c>
      <c r="F179" s="40">
        <v>12400.128000000001</v>
      </c>
      <c r="G179" s="29"/>
      <c r="H179" s="29">
        <v>12400.128000000001</v>
      </c>
      <c r="I179" s="41">
        <v>1</v>
      </c>
    </row>
    <row r="180" spans="1:9" x14ac:dyDescent="0.25">
      <c r="A180" s="21" t="s">
        <v>414</v>
      </c>
      <c r="B180" s="27">
        <v>2993.76</v>
      </c>
      <c r="C180" s="27"/>
      <c r="D180" s="28">
        <v>2993.76</v>
      </c>
      <c r="E180" s="30">
        <v>1</v>
      </c>
      <c r="F180" s="40">
        <v>12399.6</v>
      </c>
      <c r="G180" s="29"/>
      <c r="H180" s="29">
        <v>12399.6</v>
      </c>
      <c r="I180" s="41">
        <v>1</v>
      </c>
    </row>
    <row r="181" spans="1:9" x14ac:dyDescent="0.25">
      <c r="A181" s="21" t="s">
        <v>1315</v>
      </c>
      <c r="B181" s="27">
        <v>2970.2400000000002</v>
      </c>
      <c r="C181" s="27">
        <v>2448.4699999999998</v>
      </c>
      <c r="D181" s="28">
        <v>521.77000000000044</v>
      </c>
      <c r="E181" s="30">
        <v>0.21310042598030626</v>
      </c>
      <c r="F181" s="40">
        <v>6611.2199999999993</v>
      </c>
      <c r="G181" s="29">
        <v>5558.5999999999995</v>
      </c>
      <c r="H181" s="29">
        <v>1052.6199999999999</v>
      </c>
      <c r="I181" s="41">
        <v>0.18936782643111574</v>
      </c>
    </row>
    <row r="182" spans="1:9" x14ac:dyDescent="0.25">
      <c r="A182" s="21" t="s">
        <v>1249</v>
      </c>
      <c r="B182" s="27">
        <v>2956.63</v>
      </c>
      <c r="C182" s="27">
        <v>0</v>
      </c>
      <c r="D182" s="28">
        <v>2956.63</v>
      </c>
      <c r="E182" s="30">
        <v>1</v>
      </c>
      <c r="F182" s="40">
        <v>0</v>
      </c>
      <c r="G182" s="29">
        <v>1E-3</v>
      </c>
      <c r="H182" s="29">
        <v>-1E-3</v>
      </c>
      <c r="I182" s="41">
        <v>-1</v>
      </c>
    </row>
    <row r="183" spans="1:9" x14ac:dyDescent="0.25">
      <c r="A183" s="21" t="s">
        <v>1250</v>
      </c>
      <c r="B183" s="27">
        <v>2950.99</v>
      </c>
      <c r="C183" s="27">
        <v>2808.43</v>
      </c>
      <c r="D183" s="28">
        <v>142.55999999999995</v>
      </c>
      <c r="E183" s="30">
        <v>5.0761457469119739E-2</v>
      </c>
      <c r="F183" s="40">
        <v>12399.6</v>
      </c>
      <c r="G183" s="29">
        <v>12399.6</v>
      </c>
      <c r="H183" s="29">
        <v>0</v>
      </c>
      <c r="I183" s="41">
        <v>0</v>
      </c>
    </row>
    <row r="184" spans="1:9" x14ac:dyDescent="0.25">
      <c r="A184" s="21" t="s">
        <v>1585</v>
      </c>
      <c r="B184" s="27">
        <v>2922.48</v>
      </c>
      <c r="C184" s="27">
        <v>2936.74</v>
      </c>
      <c r="D184" s="28">
        <v>-14.259999999999764</v>
      </c>
      <c r="E184" s="30">
        <v>-4.8557243746466371E-3</v>
      </c>
      <c r="F184" s="40">
        <v>12399.6</v>
      </c>
      <c r="G184" s="29">
        <v>12399.6</v>
      </c>
      <c r="H184" s="29">
        <v>0</v>
      </c>
      <c r="I184" s="41">
        <v>0</v>
      </c>
    </row>
    <row r="185" spans="1:9" x14ac:dyDescent="0.25">
      <c r="A185" s="21" t="s">
        <v>1784</v>
      </c>
      <c r="B185" s="27">
        <v>2922.48</v>
      </c>
      <c r="C185" s="27"/>
      <c r="D185" s="28">
        <v>2922.48</v>
      </c>
      <c r="E185" s="30">
        <v>1</v>
      </c>
      <c r="F185" s="40">
        <v>12399.6</v>
      </c>
      <c r="G185" s="29"/>
      <c r="H185" s="29">
        <v>12399.6</v>
      </c>
      <c r="I185" s="41">
        <v>1</v>
      </c>
    </row>
    <row r="186" spans="1:9" x14ac:dyDescent="0.25">
      <c r="A186" s="21" t="s">
        <v>851</v>
      </c>
      <c r="B186" s="27">
        <v>2916.54</v>
      </c>
      <c r="C186" s="27"/>
      <c r="D186" s="28">
        <v>2916.54</v>
      </c>
      <c r="E186" s="30">
        <v>1</v>
      </c>
      <c r="F186" s="40">
        <v>9444.6</v>
      </c>
      <c r="G186" s="29"/>
      <c r="H186" s="29">
        <v>9444.6</v>
      </c>
      <c r="I186" s="41">
        <v>1</v>
      </c>
    </row>
    <row r="187" spans="1:9" x14ac:dyDescent="0.25">
      <c r="A187" s="21" t="s">
        <v>1555</v>
      </c>
      <c r="B187" s="27">
        <v>2801.3</v>
      </c>
      <c r="C187" s="27"/>
      <c r="D187" s="28">
        <v>2801.3</v>
      </c>
      <c r="E187" s="30">
        <v>1</v>
      </c>
      <c r="F187" s="40">
        <v>12398.4</v>
      </c>
      <c r="G187" s="29"/>
      <c r="H187" s="29">
        <v>12398.4</v>
      </c>
      <c r="I187" s="41">
        <v>1</v>
      </c>
    </row>
    <row r="188" spans="1:9" x14ac:dyDescent="0.25">
      <c r="A188" s="21" t="s">
        <v>1785</v>
      </c>
      <c r="B188" s="27">
        <v>2801.3</v>
      </c>
      <c r="C188" s="27">
        <v>2972.38</v>
      </c>
      <c r="D188" s="28">
        <v>-171.07999999999993</v>
      </c>
      <c r="E188" s="30">
        <v>-5.7556570828763455E-2</v>
      </c>
      <c r="F188" s="40">
        <v>12398.4</v>
      </c>
      <c r="G188" s="29">
        <v>12398.4</v>
      </c>
      <c r="H188" s="29">
        <v>0</v>
      </c>
      <c r="I188" s="41">
        <v>0</v>
      </c>
    </row>
    <row r="189" spans="1:9" x14ac:dyDescent="0.25">
      <c r="A189" s="21" t="s">
        <v>191</v>
      </c>
      <c r="B189" s="27">
        <v>2782.77</v>
      </c>
      <c r="C189" s="27">
        <v>4008.78</v>
      </c>
      <c r="D189" s="28">
        <v>-1226.0100000000002</v>
      </c>
      <c r="E189" s="30">
        <v>-0.30583120051486989</v>
      </c>
      <c r="F189" s="40">
        <v>9919.68</v>
      </c>
      <c r="G189" s="29">
        <v>14879.52</v>
      </c>
      <c r="H189" s="29">
        <v>-4959.84</v>
      </c>
      <c r="I189" s="41">
        <v>-0.33333333333333331</v>
      </c>
    </row>
    <row r="190" spans="1:9" x14ac:dyDescent="0.25">
      <c r="A190" s="21" t="s">
        <v>1786</v>
      </c>
      <c r="B190" s="27">
        <v>2754.26</v>
      </c>
      <c r="C190" s="27"/>
      <c r="D190" s="28">
        <v>2754.26</v>
      </c>
      <c r="E190" s="30">
        <v>1</v>
      </c>
      <c r="F190" s="40">
        <v>11333.52</v>
      </c>
      <c r="G190" s="29"/>
      <c r="H190" s="29">
        <v>11333.52</v>
      </c>
      <c r="I190" s="41">
        <v>1</v>
      </c>
    </row>
    <row r="191" spans="1:9" x14ac:dyDescent="0.25">
      <c r="A191" s="21" t="s">
        <v>763</v>
      </c>
      <c r="B191" s="27">
        <v>2737.15</v>
      </c>
      <c r="C191" s="27">
        <v>3773.08</v>
      </c>
      <c r="D191" s="28">
        <v>-1035.9299999999998</v>
      </c>
      <c r="E191" s="30">
        <v>-0.27455818588527142</v>
      </c>
      <c r="F191" s="40">
        <v>2273.4</v>
      </c>
      <c r="G191" s="29">
        <v>3409.8</v>
      </c>
      <c r="H191" s="29">
        <v>-1136.4000000000001</v>
      </c>
      <c r="I191" s="41">
        <v>-0.33327467886679574</v>
      </c>
    </row>
    <row r="192" spans="1:9" x14ac:dyDescent="0.25">
      <c r="A192" s="21" t="s">
        <v>1787</v>
      </c>
      <c r="B192" s="27">
        <v>2682.7000000000003</v>
      </c>
      <c r="C192" s="27"/>
      <c r="D192" s="28">
        <v>2682.7000000000003</v>
      </c>
      <c r="E192" s="30">
        <v>1</v>
      </c>
      <c r="F192" s="40">
        <v>9937.1</v>
      </c>
      <c r="G192" s="29"/>
      <c r="H192" s="29">
        <v>9937.1</v>
      </c>
      <c r="I192" s="41">
        <v>1</v>
      </c>
    </row>
    <row r="193" spans="1:9" x14ac:dyDescent="0.25">
      <c r="A193" s="21" t="s">
        <v>764</v>
      </c>
      <c r="B193" s="27">
        <v>2621.1999999999998</v>
      </c>
      <c r="C193" s="27">
        <v>4166.55</v>
      </c>
      <c r="D193" s="28">
        <v>-1545.3500000000004</v>
      </c>
      <c r="E193" s="30">
        <v>-0.37089438504278127</v>
      </c>
      <c r="F193" s="40">
        <v>10389.83</v>
      </c>
      <c r="G193" s="29">
        <v>16532.8</v>
      </c>
      <c r="H193" s="29">
        <v>-6142.9699999999993</v>
      </c>
      <c r="I193" s="41">
        <v>-0.37156259072873316</v>
      </c>
    </row>
    <row r="194" spans="1:9" x14ac:dyDescent="0.25">
      <c r="A194" s="21" t="s">
        <v>1556</v>
      </c>
      <c r="B194" s="27">
        <v>2566.08</v>
      </c>
      <c r="C194" s="27"/>
      <c r="D194" s="28">
        <v>2566.08</v>
      </c>
      <c r="E194" s="30">
        <v>1</v>
      </c>
      <c r="F194" s="40">
        <v>12399.84</v>
      </c>
      <c r="G194" s="29"/>
      <c r="H194" s="29">
        <v>12399.84</v>
      </c>
      <c r="I194" s="41">
        <v>1</v>
      </c>
    </row>
    <row r="195" spans="1:9" x14ac:dyDescent="0.25">
      <c r="A195" s="21" t="s">
        <v>522</v>
      </c>
      <c r="B195" s="27">
        <v>2553.91</v>
      </c>
      <c r="C195" s="27">
        <v>1667.06</v>
      </c>
      <c r="D195" s="28">
        <v>886.84999999999991</v>
      </c>
      <c r="E195" s="30">
        <v>0.531984451669406</v>
      </c>
      <c r="F195" s="40">
        <v>8185.32</v>
      </c>
      <c r="G195" s="29">
        <v>7083.45</v>
      </c>
      <c r="H195" s="29">
        <v>1101.8699999999999</v>
      </c>
      <c r="I195" s="41">
        <v>0.15555555555555556</v>
      </c>
    </row>
    <row r="196" spans="1:9" x14ac:dyDescent="0.25">
      <c r="A196" s="21" t="s">
        <v>873</v>
      </c>
      <c r="B196" s="27">
        <v>2514.7600000000002</v>
      </c>
      <c r="C196" s="27"/>
      <c r="D196" s="28">
        <v>2514.7600000000002</v>
      </c>
      <c r="E196" s="30">
        <v>1</v>
      </c>
      <c r="F196" s="40">
        <v>9919.68</v>
      </c>
      <c r="G196" s="29"/>
      <c r="H196" s="29">
        <v>9919.68</v>
      </c>
      <c r="I196" s="41">
        <v>1</v>
      </c>
    </row>
    <row r="197" spans="1:9" x14ac:dyDescent="0.25">
      <c r="A197" s="21" t="s">
        <v>1251</v>
      </c>
      <c r="B197" s="27">
        <v>2493.9699999999998</v>
      </c>
      <c r="C197" s="27"/>
      <c r="D197" s="28">
        <v>2493.9699999999998</v>
      </c>
      <c r="E197" s="30">
        <v>1</v>
      </c>
      <c r="F197" s="40">
        <v>6611.3040000000001</v>
      </c>
      <c r="G197" s="29"/>
      <c r="H197" s="29">
        <v>6611.3040000000001</v>
      </c>
      <c r="I197" s="41">
        <v>1</v>
      </c>
    </row>
    <row r="198" spans="1:9" x14ac:dyDescent="0.25">
      <c r="A198" s="21" t="s">
        <v>1252</v>
      </c>
      <c r="B198" s="27">
        <v>2401.0300000000002</v>
      </c>
      <c r="C198" s="27"/>
      <c r="D198" s="28">
        <v>2401.0300000000002</v>
      </c>
      <c r="E198" s="30">
        <v>1</v>
      </c>
      <c r="F198" s="40">
        <v>8185.32</v>
      </c>
      <c r="G198" s="29"/>
      <c r="H198" s="29">
        <v>8185.32</v>
      </c>
      <c r="I198" s="41">
        <v>1</v>
      </c>
    </row>
    <row r="199" spans="1:9" x14ac:dyDescent="0.25">
      <c r="A199" s="21" t="s">
        <v>1788</v>
      </c>
      <c r="B199" s="27">
        <v>2252.4499999999998</v>
      </c>
      <c r="C199" s="27">
        <v>2252.4499999999998</v>
      </c>
      <c r="D199" s="28">
        <v>0</v>
      </c>
      <c r="E199" s="30">
        <v>0</v>
      </c>
      <c r="F199" s="40">
        <v>8266.4</v>
      </c>
      <c r="G199" s="29">
        <v>8266.4</v>
      </c>
      <c r="H199" s="29">
        <v>0</v>
      </c>
      <c r="I199" s="41">
        <v>0</v>
      </c>
    </row>
    <row r="200" spans="1:9" x14ac:dyDescent="0.25">
      <c r="A200" s="21" t="s">
        <v>872</v>
      </c>
      <c r="B200" s="27">
        <v>2187.8200000000002</v>
      </c>
      <c r="C200" s="27"/>
      <c r="D200" s="28">
        <v>2187.8200000000002</v>
      </c>
      <c r="E200" s="30">
        <v>1</v>
      </c>
      <c r="F200" s="40">
        <v>7862.7400000000007</v>
      </c>
      <c r="G200" s="29"/>
      <c r="H200" s="29">
        <v>7862.7400000000007</v>
      </c>
      <c r="I200" s="41">
        <v>1</v>
      </c>
    </row>
    <row r="201" spans="1:9" x14ac:dyDescent="0.25">
      <c r="A201" s="21" t="s">
        <v>910</v>
      </c>
      <c r="B201" s="27">
        <v>2170.48</v>
      </c>
      <c r="C201" s="27"/>
      <c r="D201" s="28">
        <v>2170.48</v>
      </c>
      <c r="E201" s="30">
        <v>1</v>
      </c>
      <c r="F201" s="40">
        <v>8679.7199999999993</v>
      </c>
      <c r="G201" s="29"/>
      <c r="H201" s="29">
        <v>8679.7199999999993</v>
      </c>
      <c r="I201" s="41">
        <v>1</v>
      </c>
    </row>
    <row r="202" spans="1:9" x14ac:dyDescent="0.25">
      <c r="A202" s="21" t="s">
        <v>681</v>
      </c>
      <c r="B202" s="27">
        <v>2157.4</v>
      </c>
      <c r="C202" s="27">
        <v>5527.05</v>
      </c>
      <c r="D202" s="28">
        <v>-3369.65</v>
      </c>
      <c r="E202" s="30">
        <v>-0.6096651921006685</v>
      </c>
      <c r="F202" s="40">
        <v>2065.9699999999998</v>
      </c>
      <c r="G202" s="29">
        <v>11333.630999999999</v>
      </c>
      <c r="H202" s="29">
        <v>-9267.6610000000001</v>
      </c>
      <c r="I202" s="41">
        <v>-0.81771331711787687</v>
      </c>
    </row>
    <row r="203" spans="1:9" x14ac:dyDescent="0.25">
      <c r="A203" s="21" t="s">
        <v>1557</v>
      </c>
      <c r="B203" s="27">
        <v>1971.09</v>
      </c>
      <c r="C203" s="27"/>
      <c r="D203" s="28">
        <v>1971.09</v>
      </c>
      <c r="E203" s="30">
        <v>1</v>
      </c>
      <c r="F203" s="40">
        <v>0</v>
      </c>
      <c r="G203" s="29"/>
      <c r="H203" s="29">
        <v>0</v>
      </c>
      <c r="I203" s="41">
        <v>0</v>
      </c>
    </row>
    <row r="204" spans="1:9" x14ac:dyDescent="0.25">
      <c r="A204" s="21" t="s">
        <v>1292</v>
      </c>
      <c r="B204" s="27">
        <v>1839.02</v>
      </c>
      <c r="C204" s="27">
        <v>3581.8199999999997</v>
      </c>
      <c r="D204" s="28">
        <v>-1742.7999999999997</v>
      </c>
      <c r="E204" s="30">
        <v>-0.48656828092980658</v>
      </c>
      <c r="F204" s="40">
        <v>7439.76</v>
      </c>
      <c r="G204" s="29">
        <v>13736.16</v>
      </c>
      <c r="H204" s="29">
        <v>-6296.4</v>
      </c>
      <c r="I204" s="41">
        <v>-0.45838138169619452</v>
      </c>
    </row>
    <row r="205" spans="1:9" x14ac:dyDescent="0.25">
      <c r="A205" s="21" t="s">
        <v>1558</v>
      </c>
      <c r="B205" s="27">
        <v>1691.81</v>
      </c>
      <c r="C205" s="27"/>
      <c r="D205" s="28">
        <v>1691.81</v>
      </c>
      <c r="E205" s="30">
        <v>1</v>
      </c>
      <c r="F205" s="40">
        <v>6788.7000000000007</v>
      </c>
      <c r="G205" s="29"/>
      <c r="H205" s="29">
        <v>6788.7000000000007</v>
      </c>
      <c r="I205" s="41">
        <v>1</v>
      </c>
    </row>
    <row r="206" spans="1:9" x14ac:dyDescent="0.25">
      <c r="A206" s="21" t="s">
        <v>636</v>
      </c>
      <c r="B206" s="27">
        <v>1607.6100000000001</v>
      </c>
      <c r="C206" s="27">
        <v>1290.3999999999999</v>
      </c>
      <c r="D206" s="28">
        <v>317.21000000000026</v>
      </c>
      <c r="E206" s="30">
        <v>0.24582300061996304</v>
      </c>
      <c r="F206" s="40">
        <v>2197.56</v>
      </c>
      <c r="G206" s="29">
        <v>2266.36</v>
      </c>
      <c r="H206" s="29">
        <v>-68.800000000000182</v>
      </c>
      <c r="I206" s="41">
        <v>-3.0357048306535669E-2</v>
      </c>
    </row>
    <row r="207" spans="1:9" x14ac:dyDescent="0.25">
      <c r="A207" s="21" t="s">
        <v>1256</v>
      </c>
      <c r="B207" s="27">
        <v>1545.39</v>
      </c>
      <c r="C207" s="27">
        <v>615.98</v>
      </c>
      <c r="D207" s="28">
        <v>929.41000000000008</v>
      </c>
      <c r="E207" s="30">
        <v>1.5088314555667393</v>
      </c>
      <c r="F207" s="40">
        <v>1756.44</v>
      </c>
      <c r="G207" s="29">
        <v>752.76</v>
      </c>
      <c r="H207" s="29">
        <v>1003.6800000000001</v>
      </c>
      <c r="I207" s="41">
        <v>1.3333333333333335</v>
      </c>
    </row>
    <row r="208" spans="1:9" x14ac:dyDescent="0.25">
      <c r="A208" s="21" t="s">
        <v>817</v>
      </c>
      <c r="B208" s="27">
        <v>1539.65</v>
      </c>
      <c r="C208" s="27">
        <v>1047.82</v>
      </c>
      <c r="D208" s="28">
        <v>491.83000000000015</v>
      </c>
      <c r="E208" s="30">
        <v>0.46938405451317994</v>
      </c>
      <c r="F208" s="40">
        <v>4959.84</v>
      </c>
      <c r="G208" s="29">
        <v>4133.2</v>
      </c>
      <c r="H208" s="29">
        <v>826.64000000000033</v>
      </c>
      <c r="I208" s="41">
        <v>0.20000000000000009</v>
      </c>
    </row>
    <row r="209" spans="1:9" x14ac:dyDescent="0.25">
      <c r="A209" s="21" t="s">
        <v>1253</v>
      </c>
      <c r="B209" s="27">
        <v>1525.39</v>
      </c>
      <c r="C209" s="27"/>
      <c r="D209" s="28">
        <v>1525.39</v>
      </c>
      <c r="E209" s="30">
        <v>1</v>
      </c>
      <c r="F209" s="40">
        <v>6200.0640000000003</v>
      </c>
      <c r="G209" s="29"/>
      <c r="H209" s="29">
        <v>6200.0640000000003</v>
      </c>
      <c r="I209" s="41">
        <v>1</v>
      </c>
    </row>
    <row r="210" spans="1:9" x14ac:dyDescent="0.25">
      <c r="A210" s="21" t="s">
        <v>1611</v>
      </c>
      <c r="B210" s="27">
        <v>1486.19</v>
      </c>
      <c r="C210" s="27">
        <v>2972.38</v>
      </c>
      <c r="D210" s="28">
        <v>-1486.19</v>
      </c>
      <c r="E210" s="30">
        <v>-0.5</v>
      </c>
      <c r="F210" s="40">
        <v>6199.2</v>
      </c>
      <c r="G210" s="29">
        <v>12398.4</v>
      </c>
      <c r="H210" s="29">
        <v>-6199.2</v>
      </c>
      <c r="I210" s="41">
        <v>-0.5</v>
      </c>
    </row>
    <row r="211" spans="1:9" x14ac:dyDescent="0.25">
      <c r="A211" s="21" t="s">
        <v>176</v>
      </c>
      <c r="B211" s="27">
        <v>1463.62</v>
      </c>
      <c r="C211" s="27">
        <v>1327.39</v>
      </c>
      <c r="D211" s="28">
        <v>136.22999999999979</v>
      </c>
      <c r="E211" s="30">
        <v>0.10262997310511589</v>
      </c>
      <c r="F211" s="40">
        <v>3148.2</v>
      </c>
      <c r="G211" s="29">
        <v>3148.2</v>
      </c>
      <c r="H211" s="29">
        <v>0</v>
      </c>
      <c r="I211" s="41">
        <v>0</v>
      </c>
    </row>
    <row r="212" spans="1:9" x14ac:dyDescent="0.25">
      <c r="A212" s="21" t="s">
        <v>908</v>
      </c>
      <c r="B212" s="27">
        <v>1461.83</v>
      </c>
      <c r="C212" s="27"/>
      <c r="D212" s="28">
        <v>1461.83</v>
      </c>
      <c r="E212" s="30">
        <v>1</v>
      </c>
      <c r="F212" s="40">
        <v>3148.2</v>
      </c>
      <c r="G212" s="29"/>
      <c r="H212" s="29">
        <v>3148.2</v>
      </c>
      <c r="I212" s="41">
        <v>1</v>
      </c>
    </row>
    <row r="213" spans="1:9" x14ac:dyDescent="0.25">
      <c r="A213" s="21" t="s">
        <v>1789</v>
      </c>
      <c r="B213" s="27">
        <v>1432.13</v>
      </c>
      <c r="C213" s="27"/>
      <c r="D213" s="28">
        <v>1432.13</v>
      </c>
      <c r="E213" s="30">
        <v>1</v>
      </c>
      <c r="F213" s="40">
        <v>5214.7999999999993</v>
      </c>
      <c r="G213" s="29"/>
      <c r="H213" s="29">
        <v>5214.7999999999993</v>
      </c>
      <c r="I213" s="41">
        <v>1</v>
      </c>
    </row>
    <row r="214" spans="1:9" x14ac:dyDescent="0.25">
      <c r="A214" s="21" t="s">
        <v>1309</v>
      </c>
      <c r="B214" s="27">
        <v>1416.4499999999998</v>
      </c>
      <c r="C214" s="27">
        <v>219.54</v>
      </c>
      <c r="D214" s="28">
        <v>1196.9099999999999</v>
      </c>
      <c r="E214" s="30">
        <v>5.4518994260726972</v>
      </c>
      <c r="F214" s="40">
        <v>5135.62</v>
      </c>
      <c r="G214" s="29">
        <v>826.64</v>
      </c>
      <c r="H214" s="29">
        <v>4308.9799999999996</v>
      </c>
      <c r="I214" s="41">
        <v>5.2126439562566533</v>
      </c>
    </row>
    <row r="215" spans="1:9" x14ac:dyDescent="0.25">
      <c r="A215" s="21" t="s">
        <v>193</v>
      </c>
      <c r="B215" s="27">
        <v>1296.1099999999999</v>
      </c>
      <c r="C215" s="27">
        <v>2118.21</v>
      </c>
      <c r="D215" s="28">
        <v>-822.10000000000014</v>
      </c>
      <c r="E215" s="30">
        <v>-0.38811071612351944</v>
      </c>
      <c r="F215" s="40">
        <v>1549.972</v>
      </c>
      <c r="G215" s="29">
        <v>2583.25</v>
      </c>
      <c r="H215" s="29">
        <v>-1033.278</v>
      </c>
      <c r="I215" s="41">
        <v>-0.39999148359624503</v>
      </c>
    </row>
    <row r="216" spans="1:9" x14ac:dyDescent="0.25">
      <c r="A216" s="21" t="s">
        <v>556</v>
      </c>
      <c r="B216" s="27">
        <v>1257.1500000000001</v>
      </c>
      <c r="C216" s="27">
        <v>401.07</v>
      </c>
      <c r="D216" s="28">
        <v>856.08000000000015</v>
      </c>
      <c r="E216" s="30">
        <v>2.1344902386117139</v>
      </c>
      <c r="F216" s="40">
        <v>2845.06</v>
      </c>
      <c r="G216" s="29">
        <v>606.24</v>
      </c>
      <c r="H216" s="29">
        <v>2238.8199999999997</v>
      </c>
      <c r="I216" s="41">
        <v>3.6929598838743725</v>
      </c>
    </row>
    <row r="217" spans="1:9" x14ac:dyDescent="0.25">
      <c r="A217" s="21" t="s">
        <v>1790</v>
      </c>
      <c r="B217" s="27">
        <v>1214.22</v>
      </c>
      <c r="C217" s="27"/>
      <c r="D217" s="28">
        <v>1214.22</v>
      </c>
      <c r="E217" s="30">
        <v>1</v>
      </c>
      <c r="F217" s="40">
        <v>3729.52</v>
      </c>
      <c r="G217" s="29"/>
      <c r="H217" s="29">
        <v>3729.52</v>
      </c>
      <c r="I217" s="41">
        <v>1</v>
      </c>
    </row>
    <row r="218" spans="1:9" x14ac:dyDescent="0.25">
      <c r="A218" s="21" t="s">
        <v>1254</v>
      </c>
      <c r="B218" s="27">
        <v>1188</v>
      </c>
      <c r="C218" s="27">
        <v>1130.98</v>
      </c>
      <c r="D218" s="28">
        <v>57.019999999999982</v>
      </c>
      <c r="E218" s="30">
        <v>5.0416452987674387E-2</v>
      </c>
      <c r="F218" s="40">
        <v>4133.2</v>
      </c>
      <c r="G218" s="29">
        <v>4133.2</v>
      </c>
      <c r="H218" s="29">
        <v>0</v>
      </c>
      <c r="I218" s="41">
        <v>0</v>
      </c>
    </row>
    <row r="219" spans="1:9" x14ac:dyDescent="0.25">
      <c r="A219" s="21" t="s">
        <v>372</v>
      </c>
      <c r="B219" s="27">
        <v>1155.44</v>
      </c>
      <c r="C219" s="27">
        <v>898.84</v>
      </c>
      <c r="D219" s="28">
        <v>256.60000000000002</v>
      </c>
      <c r="E219" s="30">
        <v>0.28547906190200706</v>
      </c>
      <c r="F219" s="40">
        <v>1102.19</v>
      </c>
      <c r="G219" s="29">
        <v>929.97</v>
      </c>
      <c r="H219" s="29">
        <v>172.22000000000003</v>
      </c>
      <c r="I219" s="41">
        <v>0.18518876953019991</v>
      </c>
    </row>
    <row r="220" spans="1:9" x14ac:dyDescent="0.25">
      <c r="A220" s="21" t="s">
        <v>1255</v>
      </c>
      <c r="B220" s="27">
        <v>1150.58</v>
      </c>
      <c r="C220" s="27"/>
      <c r="D220" s="28">
        <v>1150.58</v>
      </c>
      <c r="E220" s="30">
        <v>1</v>
      </c>
      <c r="F220" s="40">
        <v>4181.5</v>
      </c>
      <c r="G220" s="29"/>
      <c r="H220" s="29">
        <v>4181.5</v>
      </c>
      <c r="I220" s="41">
        <v>1</v>
      </c>
    </row>
    <row r="221" spans="1:9" x14ac:dyDescent="0.25">
      <c r="A221" s="21" t="s">
        <v>799</v>
      </c>
      <c r="B221" s="27">
        <v>1119.26</v>
      </c>
      <c r="C221" s="27">
        <v>644.49</v>
      </c>
      <c r="D221" s="28">
        <v>474.77</v>
      </c>
      <c r="E221" s="30">
        <v>0.73665999472451082</v>
      </c>
      <c r="F221" s="40">
        <v>4407.4799999999996</v>
      </c>
      <c r="G221" s="29">
        <v>2607.3999999999996</v>
      </c>
      <c r="H221" s="29">
        <v>1800.08</v>
      </c>
      <c r="I221" s="41">
        <v>0.69037355219759156</v>
      </c>
    </row>
    <row r="222" spans="1:9" x14ac:dyDescent="0.25">
      <c r="A222" s="21" t="s">
        <v>1791</v>
      </c>
      <c r="B222" s="27">
        <v>1094.8599999999999</v>
      </c>
      <c r="C222" s="27"/>
      <c r="D222" s="28">
        <v>1094.8599999999999</v>
      </c>
      <c r="E222" s="30">
        <v>1</v>
      </c>
      <c r="F222" s="40">
        <v>909.36</v>
      </c>
      <c r="G222" s="29"/>
      <c r="H222" s="29">
        <v>909.36</v>
      </c>
      <c r="I222" s="41">
        <v>1</v>
      </c>
    </row>
    <row r="223" spans="1:9" x14ac:dyDescent="0.25">
      <c r="A223" s="21" t="s">
        <v>802</v>
      </c>
      <c r="B223" s="27">
        <v>1094.48</v>
      </c>
      <c r="C223" s="27">
        <v>0</v>
      </c>
      <c r="D223" s="28">
        <v>1094.48</v>
      </c>
      <c r="E223" s="30">
        <v>1</v>
      </c>
      <c r="F223" s="40">
        <v>2E-3</v>
      </c>
      <c r="G223" s="29">
        <v>1E-3</v>
      </c>
      <c r="H223" s="29">
        <v>1E-3</v>
      </c>
      <c r="I223" s="41">
        <v>1</v>
      </c>
    </row>
    <row r="224" spans="1:9" x14ac:dyDescent="0.25">
      <c r="A224" s="21" t="s">
        <v>195</v>
      </c>
      <c r="B224" s="27">
        <v>1073.95</v>
      </c>
      <c r="C224" s="27">
        <v>1372.1399999999999</v>
      </c>
      <c r="D224" s="28">
        <v>-298.18999999999983</v>
      </c>
      <c r="E224" s="30">
        <v>-0.21731747489323236</v>
      </c>
      <c r="F224" s="40">
        <v>3719.6640000000002</v>
      </c>
      <c r="G224" s="29">
        <v>5579.4529999999995</v>
      </c>
      <c r="H224" s="29">
        <v>-1859.7889999999993</v>
      </c>
      <c r="I224" s="41">
        <v>-0.33332819543421183</v>
      </c>
    </row>
    <row r="225" spans="1:9" x14ac:dyDescent="0.25">
      <c r="A225" s="21" t="s">
        <v>1257</v>
      </c>
      <c r="B225" s="27">
        <v>1066.3499999999999</v>
      </c>
      <c r="C225" s="27"/>
      <c r="D225" s="28">
        <v>1066.3499999999999</v>
      </c>
      <c r="E225" s="30">
        <v>1</v>
      </c>
      <c r="F225" s="40">
        <v>144</v>
      </c>
      <c r="G225" s="29"/>
      <c r="H225" s="29">
        <v>144</v>
      </c>
      <c r="I225" s="41">
        <v>1</v>
      </c>
    </row>
    <row r="226" spans="1:9" x14ac:dyDescent="0.25">
      <c r="A226" s="21" t="s">
        <v>420</v>
      </c>
      <c r="B226" s="27">
        <v>1040.6999999999998</v>
      </c>
      <c r="C226" s="27">
        <v>364.96</v>
      </c>
      <c r="D226" s="28">
        <v>675.73999999999978</v>
      </c>
      <c r="E226" s="30">
        <v>1.8515453748355979</v>
      </c>
      <c r="F226" s="40">
        <v>568.32000000000005</v>
      </c>
      <c r="G226" s="29">
        <v>227.328</v>
      </c>
      <c r="H226" s="29">
        <v>340.99200000000008</v>
      </c>
      <c r="I226" s="41">
        <v>1.5000000000000002</v>
      </c>
    </row>
    <row r="227" spans="1:9" x14ac:dyDescent="0.25">
      <c r="A227" s="21" t="s">
        <v>844</v>
      </c>
      <c r="B227" s="27">
        <v>1033.56</v>
      </c>
      <c r="C227" s="27"/>
      <c r="D227" s="28">
        <v>1033.56</v>
      </c>
      <c r="E227" s="30">
        <v>1</v>
      </c>
      <c r="F227" s="40">
        <v>4132.8</v>
      </c>
      <c r="G227" s="29"/>
      <c r="H227" s="29">
        <v>4132.8</v>
      </c>
      <c r="I227" s="41">
        <v>1</v>
      </c>
    </row>
    <row r="228" spans="1:9" x14ac:dyDescent="0.25">
      <c r="A228" s="21" t="s">
        <v>845</v>
      </c>
      <c r="B228" s="27">
        <v>981.32</v>
      </c>
      <c r="C228" s="27"/>
      <c r="D228" s="28">
        <v>981.32</v>
      </c>
      <c r="E228" s="30">
        <v>1</v>
      </c>
      <c r="F228" s="40">
        <v>0</v>
      </c>
      <c r="G228" s="29"/>
      <c r="H228" s="29">
        <v>0</v>
      </c>
      <c r="I228" s="41">
        <v>0</v>
      </c>
    </row>
    <row r="229" spans="1:9" x14ac:dyDescent="0.25">
      <c r="A229" s="21" t="s">
        <v>1559</v>
      </c>
      <c r="B229" s="27">
        <v>933.77</v>
      </c>
      <c r="C229" s="27">
        <v>983.66</v>
      </c>
      <c r="D229" s="28">
        <v>-49.889999999999986</v>
      </c>
      <c r="E229" s="30">
        <v>-5.0718744281560688E-2</v>
      </c>
      <c r="F229" s="40">
        <v>4132.8</v>
      </c>
      <c r="G229" s="29">
        <v>4132.8</v>
      </c>
      <c r="H229" s="29">
        <v>0</v>
      </c>
      <c r="I229" s="41">
        <v>0</v>
      </c>
    </row>
    <row r="230" spans="1:9" x14ac:dyDescent="0.25">
      <c r="A230" s="21" t="s">
        <v>1258</v>
      </c>
      <c r="B230" s="27">
        <v>926.64</v>
      </c>
      <c r="C230" s="27">
        <v>1763</v>
      </c>
      <c r="D230" s="28">
        <v>-836.36</v>
      </c>
      <c r="E230" s="30">
        <v>-0.47439591605218379</v>
      </c>
      <c r="F230" s="40">
        <v>2064</v>
      </c>
      <c r="G230" s="29">
        <v>4128</v>
      </c>
      <c r="H230" s="29">
        <v>-2064</v>
      </c>
      <c r="I230" s="41">
        <v>-0.5</v>
      </c>
    </row>
    <row r="231" spans="1:9" x14ac:dyDescent="0.25">
      <c r="A231" s="21" t="s">
        <v>1560</v>
      </c>
      <c r="B231" s="27">
        <v>892.43</v>
      </c>
      <c r="C231" s="27">
        <v>1090.5899999999999</v>
      </c>
      <c r="D231" s="28">
        <v>-198.15999999999997</v>
      </c>
      <c r="E231" s="30">
        <v>-0.18169981386222134</v>
      </c>
      <c r="F231" s="40">
        <v>137.77600000000001</v>
      </c>
      <c r="G231" s="29">
        <v>592.45600000000002</v>
      </c>
      <c r="H231" s="29">
        <v>-454.68</v>
      </c>
      <c r="I231" s="41">
        <v>-0.76744939708602833</v>
      </c>
    </row>
    <row r="232" spans="1:9" x14ac:dyDescent="0.25">
      <c r="A232" s="21" t="s">
        <v>1792</v>
      </c>
      <c r="B232" s="27">
        <v>874.37</v>
      </c>
      <c r="C232" s="27"/>
      <c r="D232" s="28">
        <v>874.37</v>
      </c>
      <c r="E232" s="30">
        <v>1</v>
      </c>
      <c r="F232" s="40">
        <v>4133.3760000000002</v>
      </c>
      <c r="G232" s="29"/>
      <c r="H232" s="29">
        <v>4133.3760000000002</v>
      </c>
      <c r="I232" s="41">
        <v>1</v>
      </c>
    </row>
    <row r="233" spans="1:9" x14ac:dyDescent="0.25">
      <c r="A233" s="21" t="s">
        <v>371</v>
      </c>
      <c r="B233" s="27">
        <v>869.02</v>
      </c>
      <c r="C233" s="27">
        <v>2626.96</v>
      </c>
      <c r="D233" s="28">
        <v>-1757.94</v>
      </c>
      <c r="E233" s="30">
        <v>-0.66919176538660663</v>
      </c>
      <c r="F233" s="40">
        <v>3148.2</v>
      </c>
      <c r="G233" s="29">
        <v>9564.32</v>
      </c>
      <c r="H233" s="29">
        <v>-6416.12</v>
      </c>
      <c r="I233" s="41">
        <v>-0.67083911872459312</v>
      </c>
    </row>
    <row r="234" spans="1:9" x14ac:dyDescent="0.25">
      <c r="A234" s="21" t="s">
        <v>1296</v>
      </c>
      <c r="B234" s="27">
        <v>830.77</v>
      </c>
      <c r="C234" s="27">
        <v>2548.2600000000002</v>
      </c>
      <c r="D234" s="28">
        <v>-1717.4900000000002</v>
      </c>
      <c r="E234" s="30">
        <v>-0.67398538610659831</v>
      </c>
      <c r="F234" s="40">
        <v>511.47</v>
      </c>
      <c r="G234" s="29">
        <v>2954.25</v>
      </c>
      <c r="H234" s="29">
        <v>-2442.7799999999997</v>
      </c>
      <c r="I234" s="41">
        <v>-0.82686976389946676</v>
      </c>
    </row>
    <row r="235" spans="1:9" x14ac:dyDescent="0.25">
      <c r="A235" s="21" t="s">
        <v>1259</v>
      </c>
      <c r="B235" s="27">
        <v>813.78</v>
      </c>
      <c r="C235" s="27">
        <v>738.34</v>
      </c>
      <c r="D235" s="28">
        <v>75.439999999999941</v>
      </c>
      <c r="E235" s="30">
        <v>0.10217514966004813</v>
      </c>
      <c r="F235" s="40">
        <v>3148.2</v>
      </c>
      <c r="G235" s="29">
        <v>3148.2</v>
      </c>
      <c r="H235" s="29">
        <v>0</v>
      </c>
      <c r="I235" s="41">
        <v>0</v>
      </c>
    </row>
    <row r="236" spans="1:9" x14ac:dyDescent="0.25">
      <c r="A236" s="21" t="s">
        <v>686</v>
      </c>
      <c r="B236" s="27">
        <v>808.94</v>
      </c>
      <c r="C236" s="27">
        <v>3831.31</v>
      </c>
      <c r="D236" s="28">
        <v>-3022.37</v>
      </c>
      <c r="E236" s="30">
        <v>-0.7888607290978803</v>
      </c>
      <c r="F236" s="40">
        <v>1141.5049999999999</v>
      </c>
      <c r="G236" s="29">
        <v>5834.91</v>
      </c>
      <c r="H236" s="29">
        <v>-4693.4049999999997</v>
      </c>
      <c r="I236" s="41">
        <v>-0.80436630556426747</v>
      </c>
    </row>
    <row r="237" spans="1:9" x14ac:dyDescent="0.25">
      <c r="A237" s="21" t="s">
        <v>582</v>
      </c>
      <c r="B237" s="27">
        <v>791.21</v>
      </c>
      <c r="C237" s="27">
        <v>727.06</v>
      </c>
      <c r="D237" s="28">
        <v>64.150000000000091</v>
      </c>
      <c r="E237" s="30">
        <v>8.8232057876929129E-2</v>
      </c>
      <c r="F237" s="40">
        <v>568.29999999999995</v>
      </c>
      <c r="G237" s="29">
        <v>568.29999999999995</v>
      </c>
      <c r="H237" s="29">
        <v>0</v>
      </c>
      <c r="I237" s="41">
        <v>0</v>
      </c>
    </row>
    <row r="238" spans="1:9" x14ac:dyDescent="0.25">
      <c r="A238" s="21" t="s">
        <v>1561</v>
      </c>
      <c r="B238" s="27">
        <v>768.99</v>
      </c>
      <c r="C238" s="27">
        <v>2405.35</v>
      </c>
      <c r="D238" s="28">
        <v>-1636.36</v>
      </c>
      <c r="E238" s="30">
        <v>-0.68030016421726569</v>
      </c>
      <c r="F238" s="40">
        <v>1730.77</v>
      </c>
      <c r="G238" s="29">
        <v>2393.9499999999998</v>
      </c>
      <c r="H238" s="29">
        <v>-663.17999999999984</v>
      </c>
      <c r="I238" s="41">
        <v>-0.2770233296434762</v>
      </c>
    </row>
    <row r="239" spans="1:9" x14ac:dyDescent="0.25">
      <c r="A239" s="21" t="s">
        <v>1562</v>
      </c>
      <c r="B239" s="27">
        <v>764.48</v>
      </c>
      <c r="C239" s="27"/>
      <c r="D239" s="28">
        <v>764.48</v>
      </c>
      <c r="E239" s="30">
        <v>1</v>
      </c>
      <c r="F239" s="40">
        <v>3099.9</v>
      </c>
      <c r="G239" s="29"/>
      <c r="H239" s="29">
        <v>3099.9</v>
      </c>
      <c r="I239" s="41">
        <v>1</v>
      </c>
    </row>
    <row r="240" spans="1:9" x14ac:dyDescent="0.25">
      <c r="A240" s="21" t="s">
        <v>1793</v>
      </c>
      <c r="B240" s="27">
        <v>754.38</v>
      </c>
      <c r="C240" s="27"/>
      <c r="D240" s="28">
        <v>754.38</v>
      </c>
      <c r="E240" s="30">
        <v>1</v>
      </c>
      <c r="F240" s="40">
        <v>3148.26</v>
      </c>
      <c r="G240" s="29"/>
      <c r="H240" s="29">
        <v>3148.26</v>
      </c>
      <c r="I240" s="41">
        <v>1</v>
      </c>
    </row>
    <row r="241" spans="1:9" x14ac:dyDescent="0.25">
      <c r="A241" s="21" t="s">
        <v>765</v>
      </c>
      <c r="B241" s="27">
        <v>733.71</v>
      </c>
      <c r="C241" s="27">
        <v>300.33</v>
      </c>
      <c r="D241" s="28">
        <v>433.38000000000005</v>
      </c>
      <c r="E241" s="30">
        <v>1.4430126860453503</v>
      </c>
      <c r="F241" s="40">
        <v>682.02</v>
      </c>
      <c r="G241" s="29">
        <v>454.72</v>
      </c>
      <c r="H241" s="29">
        <v>227.29999999999995</v>
      </c>
      <c r="I241" s="41">
        <v>0.49986805066854317</v>
      </c>
    </row>
    <row r="242" spans="1:9" x14ac:dyDescent="0.25">
      <c r="A242" s="21" t="s">
        <v>1260</v>
      </c>
      <c r="B242" s="27">
        <v>697.12</v>
      </c>
      <c r="C242" s="27"/>
      <c r="D242" s="28">
        <v>697.12</v>
      </c>
      <c r="E242" s="30">
        <v>1</v>
      </c>
      <c r="F242" s="40">
        <v>1259.3599999999999</v>
      </c>
      <c r="G242" s="29"/>
      <c r="H242" s="29">
        <v>1259.3599999999999</v>
      </c>
      <c r="I242" s="41">
        <v>1</v>
      </c>
    </row>
    <row r="243" spans="1:9" x14ac:dyDescent="0.25">
      <c r="A243" s="21" t="s">
        <v>1317</v>
      </c>
      <c r="B243" s="27">
        <v>688.09</v>
      </c>
      <c r="C243" s="27">
        <v>1363.82</v>
      </c>
      <c r="D243" s="28">
        <v>-675.7299999999999</v>
      </c>
      <c r="E243" s="30">
        <v>-0.49546861022715605</v>
      </c>
      <c r="F243" s="40">
        <v>826.67499999999995</v>
      </c>
      <c r="G243" s="29">
        <v>1653.28</v>
      </c>
      <c r="H243" s="29">
        <v>-826.60500000000002</v>
      </c>
      <c r="I243" s="41">
        <v>-0.49997882996225684</v>
      </c>
    </row>
    <row r="244" spans="1:9" x14ac:dyDescent="0.25">
      <c r="A244" s="21" t="s">
        <v>861</v>
      </c>
      <c r="B244" s="27">
        <v>684.29</v>
      </c>
      <c r="C244" s="27"/>
      <c r="D244" s="28">
        <v>684.29</v>
      </c>
      <c r="E244" s="30">
        <v>1</v>
      </c>
      <c r="F244" s="40">
        <v>757.68</v>
      </c>
      <c r="G244" s="29"/>
      <c r="H244" s="29">
        <v>757.68</v>
      </c>
      <c r="I244" s="41">
        <v>1</v>
      </c>
    </row>
    <row r="245" spans="1:9" x14ac:dyDescent="0.25">
      <c r="A245" s="21" t="s">
        <v>1616</v>
      </c>
      <c r="B245" s="27">
        <v>665.28</v>
      </c>
      <c r="C245" s="27">
        <v>0</v>
      </c>
      <c r="D245" s="28">
        <v>665.28</v>
      </c>
      <c r="E245" s="30">
        <v>1</v>
      </c>
      <c r="F245" s="40">
        <v>1E-3</v>
      </c>
      <c r="G245" s="29">
        <v>1E-3</v>
      </c>
      <c r="H245" s="29">
        <v>0</v>
      </c>
      <c r="I245" s="41">
        <v>0</v>
      </c>
    </row>
    <row r="246" spans="1:9" x14ac:dyDescent="0.25">
      <c r="A246" s="21" t="s">
        <v>909</v>
      </c>
      <c r="B246" s="27">
        <v>651.02</v>
      </c>
      <c r="C246" s="27">
        <v>3603.3199999999997</v>
      </c>
      <c r="D246" s="28">
        <v>-2952.2999999999997</v>
      </c>
      <c r="E246" s="30">
        <v>-0.81932773109243695</v>
      </c>
      <c r="F246" s="40">
        <v>2518.56</v>
      </c>
      <c r="G246" s="29">
        <v>14837.079999999998</v>
      </c>
      <c r="H246" s="29">
        <v>-12318.519999999999</v>
      </c>
      <c r="I246" s="41">
        <v>-0.83025231379759357</v>
      </c>
    </row>
    <row r="247" spans="1:9" x14ac:dyDescent="0.25">
      <c r="A247" s="21" t="s">
        <v>1273</v>
      </c>
      <c r="B247" s="27">
        <v>630.44000000000005</v>
      </c>
      <c r="C247" s="27"/>
      <c r="D247" s="28">
        <v>630.44000000000005</v>
      </c>
      <c r="E247" s="30">
        <v>1</v>
      </c>
      <c r="F247" s="40">
        <v>378.88</v>
      </c>
      <c r="G247" s="29"/>
      <c r="H247" s="29">
        <v>378.88</v>
      </c>
      <c r="I247" s="41">
        <v>1</v>
      </c>
    </row>
    <row r="248" spans="1:9" x14ac:dyDescent="0.25">
      <c r="A248" s="21" t="s">
        <v>1271</v>
      </c>
      <c r="B248" s="27">
        <v>615.29999999999995</v>
      </c>
      <c r="C248" s="27"/>
      <c r="D248" s="28">
        <v>615.29999999999995</v>
      </c>
      <c r="E248" s="30">
        <v>1</v>
      </c>
      <c r="F248" s="40">
        <v>1259.3009999999999</v>
      </c>
      <c r="G248" s="29"/>
      <c r="H248" s="29">
        <v>1259.3009999999999</v>
      </c>
      <c r="I248" s="41">
        <v>1</v>
      </c>
    </row>
    <row r="249" spans="1:9" x14ac:dyDescent="0.25">
      <c r="A249" s="21" t="s">
        <v>374</v>
      </c>
      <c r="B249" s="27">
        <v>591.62</v>
      </c>
      <c r="C249" s="27">
        <v>337.87</v>
      </c>
      <c r="D249" s="28">
        <v>253.75</v>
      </c>
      <c r="E249" s="30">
        <v>0.75102850208660132</v>
      </c>
      <c r="F249" s="40">
        <v>2066.6</v>
      </c>
      <c r="G249" s="29">
        <v>1239.96</v>
      </c>
      <c r="H249" s="29">
        <v>826.63999999999987</v>
      </c>
      <c r="I249" s="41">
        <v>0.66666666666666652</v>
      </c>
    </row>
    <row r="250" spans="1:9" x14ac:dyDescent="0.25">
      <c r="A250" s="21" t="s">
        <v>911</v>
      </c>
      <c r="B250" s="27">
        <v>547.42999999999995</v>
      </c>
      <c r="C250" s="27"/>
      <c r="D250" s="28">
        <v>547.42999999999995</v>
      </c>
      <c r="E250" s="30">
        <v>1</v>
      </c>
      <c r="F250" s="40">
        <v>378.88</v>
      </c>
      <c r="G250" s="29"/>
      <c r="H250" s="29">
        <v>378.88</v>
      </c>
      <c r="I250" s="41">
        <v>1</v>
      </c>
    </row>
    <row r="251" spans="1:9" x14ac:dyDescent="0.25">
      <c r="A251" s="21" t="s">
        <v>1261</v>
      </c>
      <c r="B251" s="27">
        <v>536.98</v>
      </c>
      <c r="C251" s="27">
        <v>260.88</v>
      </c>
      <c r="D251" s="28">
        <v>276.10000000000002</v>
      </c>
      <c r="E251" s="30">
        <v>1.0583409996933457</v>
      </c>
      <c r="F251" s="40">
        <v>206.66900000000001</v>
      </c>
      <c r="G251" s="29">
        <v>103.334</v>
      </c>
      <c r="H251" s="29">
        <v>103.33500000000001</v>
      </c>
      <c r="I251" s="41">
        <v>1.0000096773569203</v>
      </c>
    </row>
    <row r="252" spans="1:9" x14ac:dyDescent="0.25">
      <c r="A252" s="21" t="s">
        <v>1563</v>
      </c>
      <c r="B252" s="27">
        <v>521.59</v>
      </c>
      <c r="C252" s="27"/>
      <c r="D252" s="28">
        <v>521.59</v>
      </c>
      <c r="E252" s="30">
        <v>1</v>
      </c>
      <c r="F252" s="40">
        <v>1888.95</v>
      </c>
      <c r="G252" s="29"/>
      <c r="H252" s="29">
        <v>1888.95</v>
      </c>
      <c r="I252" s="41">
        <v>1</v>
      </c>
    </row>
    <row r="253" spans="1:9" x14ac:dyDescent="0.25">
      <c r="A253" s="21" t="s">
        <v>1564</v>
      </c>
      <c r="B253" s="27">
        <v>521.53</v>
      </c>
      <c r="C253" s="27"/>
      <c r="D253" s="28">
        <v>521.53</v>
      </c>
      <c r="E253" s="30">
        <v>1</v>
      </c>
      <c r="F253" s="40">
        <v>1888.92</v>
      </c>
      <c r="G253" s="29"/>
      <c r="H253" s="29">
        <v>1888.92</v>
      </c>
      <c r="I253" s="41">
        <v>1</v>
      </c>
    </row>
    <row r="254" spans="1:9" x14ac:dyDescent="0.25">
      <c r="A254" s="21" t="s">
        <v>1565</v>
      </c>
      <c r="B254" s="27">
        <v>520.35</v>
      </c>
      <c r="C254" s="27"/>
      <c r="D254" s="28">
        <v>520.35</v>
      </c>
      <c r="E254" s="30">
        <v>1</v>
      </c>
      <c r="F254" s="40">
        <v>378.84</v>
      </c>
      <c r="G254" s="29"/>
      <c r="H254" s="29">
        <v>378.84</v>
      </c>
      <c r="I254" s="41">
        <v>1</v>
      </c>
    </row>
    <row r="255" spans="1:9" x14ac:dyDescent="0.25">
      <c r="A255" s="21" t="s">
        <v>688</v>
      </c>
      <c r="B255" s="27">
        <v>513.57000000000005</v>
      </c>
      <c r="C255" s="27">
        <v>997.21</v>
      </c>
      <c r="D255" s="28">
        <v>-483.64</v>
      </c>
      <c r="E255" s="30">
        <v>-0.48499313083502971</v>
      </c>
      <c r="F255" s="40">
        <v>2273.04</v>
      </c>
      <c r="G255" s="29">
        <v>4339.4399999999996</v>
      </c>
      <c r="H255" s="29">
        <v>-2066.3999999999996</v>
      </c>
      <c r="I255" s="41">
        <v>-0.47619047619047616</v>
      </c>
    </row>
    <row r="256" spans="1:9" x14ac:dyDescent="0.25">
      <c r="A256" s="21" t="s">
        <v>1262</v>
      </c>
      <c r="B256" s="27">
        <v>501.81</v>
      </c>
      <c r="C256" s="27"/>
      <c r="D256" s="28">
        <v>501.81</v>
      </c>
      <c r="E256" s="30">
        <v>1</v>
      </c>
      <c r="F256" s="40">
        <v>550.16</v>
      </c>
      <c r="G256" s="29"/>
      <c r="H256" s="29">
        <v>550.16</v>
      </c>
      <c r="I256" s="41">
        <v>1</v>
      </c>
    </row>
    <row r="257" spans="1:9" x14ac:dyDescent="0.25">
      <c r="A257" s="21" t="s">
        <v>527</v>
      </c>
      <c r="B257" s="27">
        <v>495.4</v>
      </c>
      <c r="C257" s="27">
        <v>1659.64</v>
      </c>
      <c r="D257" s="28">
        <v>-1164.2400000000002</v>
      </c>
      <c r="E257" s="30">
        <v>-0.70150153045238739</v>
      </c>
      <c r="F257" s="40">
        <v>2066.4</v>
      </c>
      <c r="G257" s="29">
        <v>6296.4</v>
      </c>
      <c r="H257" s="29">
        <v>-4230</v>
      </c>
      <c r="I257" s="41">
        <v>-0.67181246426529451</v>
      </c>
    </row>
    <row r="258" spans="1:9" x14ac:dyDescent="0.25">
      <c r="A258" s="21" t="s">
        <v>825</v>
      </c>
      <c r="B258" s="27">
        <v>470.21</v>
      </c>
      <c r="C258" s="27"/>
      <c r="D258" s="28">
        <v>470.21</v>
      </c>
      <c r="E258" s="30">
        <v>1</v>
      </c>
      <c r="F258" s="40">
        <v>1859.94</v>
      </c>
      <c r="G258" s="29"/>
      <c r="H258" s="29">
        <v>1859.94</v>
      </c>
      <c r="I258" s="41">
        <v>1</v>
      </c>
    </row>
    <row r="259" spans="1:9" x14ac:dyDescent="0.25">
      <c r="A259" s="21" t="s">
        <v>1263</v>
      </c>
      <c r="B259" s="27">
        <v>461.89</v>
      </c>
      <c r="C259" s="27"/>
      <c r="D259" s="28">
        <v>461.89</v>
      </c>
      <c r="E259" s="30">
        <v>1</v>
      </c>
      <c r="F259" s="40">
        <v>303.072</v>
      </c>
      <c r="G259" s="29"/>
      <c r="H259" s="29">
        <v>303.072</v>
      </c>
      <c r="I259" s="41">
        <v>1</v>
      </c>
    </row>
    <row r="260" spans="1:9" x14ac:dyDescent="0.25">
      <c r="A260" s="21" t="s">
        <v>1264</v>
      </c>
      <c r="B260" s="27">
        <v>394.18</v>
      </c>
      <c r="C260" s="27"/>
      <c r="D260" s="28">
        <v>394.18</v>
      </c>
      <c r="E260" s="30">
        <v>1</v>
      </c>
      <c r="F260" s="40">
        <v>227.34</v>
      </c>
      <c r="G260" s="29"/>
      <c r="H260" s="29">
        <v>227.34</v>
      </c>
      <c r="I260" s="41">
        <v>1</v>
      </c>
    </row>
    <row r="261" spans="1:9" x14ac:dyDescent="0.25">
      <c r="A261" s="21" t="s">
        <v>1265</v>
      </c>
      <c r="B261" s="27">
        <v>388.83000000000004</v>
      </c>
      <c r="C261" s="27">
        <v>389.9</v>
      </c>
      <c r="D261" s="28">
        <v>-1.0699999999999363</v>
      </c>
      <c r="E261" s="30">
        <v>-2.7442934085661359E-3</v>
      </c>
      <c r="F261" s="40">
        <v>309.99</v>
      </c>
      <c r="G261" s="29">
        <v>309.99</v>
      </c>
      <c r="H261" s="29">
        <v>0</v>
      </c>
      <c r="I261" s="41">
        <v>0</v>
      </c>
    </row>
    <row r="262" spans="1:9" x14ac:dyDescent="0.25">
      <c r="A262" s="21" t="s">
        <v>1266</v>
      </c>
      <c r="B262" s="27">
        <v>378.5</v>
      </c>
      <c r="C262" s="27"/>
      <c r="D262" s="28">
        <v>378.5</v>
      </c>
      <c r="E262" s="30">
        <v>1</v>
      </c>
      <c r="F262" s="40">
        <v>830.09999999999991</v>
      </c>
      <c r="G262" s="29"/>
      <c r="H262" s="29">
        <v>830.09999999999991</v>
      </c>
      <c r="I262" s="41">
        <v>1</v>
      </c>
    </row>
    <row r="263" spans="1:9" x14ac:dyDescent="0.25">
      <c r="A263" s="21" t="s">
        <v>1566</v>
      </c>
      <c r="B263" s="27">
        <v>347.61</v>
      </c>
      <c r="C263" s="27"/>
      <c r="D263" s="28">
        <v>347.61</v>
      </c>
      <c r="E263" s="30">
        <v>1</v>
      </c>
      <c r="F263" s="40">
        <v>314.82</v>
      </c>
      <c r="G263" s="29"/>
      <c r="H263" s="29">
        <v>314.82</v>
      </c>
      <c r="I263" s="41">
        <v>1</v>
      </c>
    </row>
    <row r="264" spans="1:9" x14ac:dyDescent="0.25">
      <c r="A264" s="21" t="s">
        <v>1267</v>
      </c>
      <c r="B264" s="27">
        <v>332.64</v>
      </c>
      <c r="C264" s="27"/>
      <c r="D264" s="28">
        <v>332.64</v>
      </c>
      <c r="E264" s="30">
        <v>1</v>
      </c>
      <c r="F264" s="40">
        <v>1E-3</v>
      </c>
      <c r="G264" s="29"/>
      <c r="H264" s="29">
        <v>1E-3</v>
      </c>
      <c r="I264" s="41">
        <v>1</v>
      </c>
    </row>
    <row r="265" spans="1:9" x14ac:dyDescent="0.25">
      <c r="A265" s="21" t="s">
        <v>1268</v>
      </c>
      <c r="B265" s="27">
        <v>329.31</v>
      </c>
      <c r="C265" s="27"/>
      <c r="D265" s="28">
        <v>329.31</v>
      </c>
      <c r="E265" s="30">
        <v>1</v>
      </c>
      <c r="F265" s="40">
        <v>1239.8399999999999</v>
      </c>
      <c r="G265" s="29"/>
      <c r="H265" s="29">
        <v>1239.8399999999999</v>
      </c>
      <c r="I265" s="41">
        <v>1</v>
      </c>
    </row>
    <row r="266" spans="1:9" x14ac:dyDescent="0.25">
      <c r="A266" s="21" t="s">
        <v>1269</v>
      </c>
      <c r="B266" s="27">
        <v>320.76</v>
      </c>
      <c r="C266" s="27"/>
      <c r="D266" s="28">
        <v>320.76</v>
      </c>
      <c r="E266" s="30">
        <v>1</v>
      </c>
      <c r="F266" s="40">
        <v>1239.96</v>
      </c>
      <c r="G266" s="29"/>
      <c r="H266" s="29">
        <v>1239.96</v>
      </c>
      <c r="I266" s="41">
        <v>1</v>
      </c>
    </row>
    <row r="267" spans="1:9" x14ac:dyDescent="0.25">
      <c r="A267" s="21" t="s">
        <v>1567</v>
      </c>
      <c r="B267" s="27">
        <v>312.68</v>
      </c>
      <c r="C267" s="27"/>
      <c r="D267" s="28">
        <v>312.68</v>
      </c>
      <c r="E267" s="30">
        <v>1</v>
      </c>
      <c r="F267" s="40">
        <v>113.66</v>
      </c>
      <c r="G267" s="29"/>
      <c r="H267" s="29">
        <v>113.66</v>
      </c>
      <c r="I267" s="41">
        <v>1</v>
      </c>
    </row>
    <row r="268" spans="1:9" x14ac:dyDescent="0.25">
      <c r="A268" s="21" t="s">
        <v>1568</v>
      </c>
      <c r="B268" s="27">
        <v>298.19</v>
      </c>
      <c r="C268" s="27"/>
      <c r="D268" s="28">
        <v>298.19</v>
      </c>
      <c r="E268" s="30">
        <v>1</v>
      </c>
      <c r="F268" s="40">
        <v>1033.3</v>
      </c>
      <c r="G268" s="29"/>
      <c r="H268" s="29">
        <v>1033.3</v>
      </c>
      <c r="I268" s="41">
        <v>1</v>
      </c>
    </row>
    <row r="269" spans="1:9" x14ac:dyDescent="0.25">
      <c r="A269" s="21" t="s">
        <v>800</v>
      </c>
      <c r="B269" s="27">
        <v>284.40999999999997</v>
      </c>
      <c r="C269" s="27">
        <v>177.25</v>
      </c>
      <c r="D269" s="28">
        <v>107.15999999999997</v>
      </c>
      <c r="E269" s="30">
        <v>0.60456981664315923</v>
      </c>
      <c r="F269" s="40">
        <v>564.88</v>
      </c>
      <c r="G269" s="29">
        <v>151.56</v>
      </c>
      <c r="H269" s="29">
        <v>413.32</v>
      </c>
      <c r="I269" s="41">
        <v>2.7271047769860122</v>
      </c>
    </row>
    <row r="270" spans="1:9" x14ac:dyDescent="0.25">
      <c r="A270" s="21" t="s">
        <v>1270</v>
      </c>
      <c r="B270" s="27">
        <v>262.31</v>
      </c>
      <c r="C270" s="27"/>
      <c r="D270" s="28">
        <v>262.31</v>
      </c>
      <c r="E270" s="30">
        <v>1</v>
      </c>
      <c r="F270" s="40">
        <v>170.5</v>
      </c>
      <c r="G270" s="29"/>
      <c r="H270" s="29">
        <v>170.5</v>
      </c>
      <c r="I270" s="41">
        <v>1</v>
      </c>
    </row>
    <row r="271" spans="1:9" x14ac:dyDescent="0.25">
      <c r="A271" s="21" t="s">
        <v>454</v>
      </c>
      <c r="B271" s="27">
        <v>260.88</v>
      </c>
      <c r="C271" s="27">
        <v>910.48</v>
      </c>
      <c r="D271" s="28">
        <v>-649.6</v>
      </c>
      <c r="E271" s="30">
        <v>-0.71346981811791588</v>
      </c>
      <c r="F271" s="40">
        <v>620.01</v>
      </c>
      <c r="G271" s="29">
        <v>1584.48</v>
      </c>
      <c r="H271" s="29">
        <v>-964.47</v>
      </c>
      <c r="I271" s="41">
        <v>-0.60869812178127836</v>
      </c>
    </row>
    <row r="272" spans="1:9" x14ac:dyDescent="0.25">
      <c r="A272" s="21" t="s">
        <v>1569</v>
      </c>
      <c r="B272" s="27">
        <v>254.83</v>
      </c>
      <c r="C272" s="27">
        <v>152.9</v>
      </c>
      <c r="D272" s="28">
        <v>101.93</v>
      </c>
      <c r="E272" s="30">
        <v>0.66664486592544148</v>
      </c>
      <c r="F272" s="40">
        <v>1033.3</v>
      </c>
      <c r="G272" s="29">
        <v>619.98</v>
      </c>
      <c r="H272" s="29">
        <v>413.31999999999994</v>
      </c>
      <c r="I272" s="41">
        <v>0.66666666666666652</v>
      </c>
    </row>
    <row r="273" spans="1:9" x14ac:dyDescent="0.25">
      <c r="A273" s="21" t="s">
        <v>519</v>
      </c>
      <c r="B273" s="27">
        <v>240.93</v>
      </c>
      <c r="C273" s="27">
        <v>192.69</v>
      </c>
      <c r="D273" s="28">
        <v>48.240000000000009</v>
      </c>
      <c r="E273" s="30">
        <v>0.25035030359645033</v>
      </c>
      <c r="F273" s="40">
        <v>227.34</v>
      </c>
      <c r="G273" s="29">
        <v>489.1</v>
      </c>
      <c r="H273" s="29">
        <v>-261.76</v>
      </c>
      <c r="I273" s="41">
        <v>-0.53518707830709467</v>
      </c>
    </row>
    <row r="274" spans="1:9" x14ac:dyDescent="0.25">
      <c r="A274" s="21" t="s">
        <v>555</v>
      </c>
      <c r="B274" s="27">
        <v>217.64</v>
      </c>
      <c r="C274" s="27">
        <v>5987.52</v>
      </c>
      <c r="D274" s="28">
        <v>-5769.88</v>
      </c>
      <c r="E274" s="30">
        <v>-0.96365106087328301</v>
      </c>
      <c r="F274" s="40">
        <v>151.536</v>
      </c>
      <c r="G274" s="29">
        <v>24799.200000000001</v>
      </c>
      <c r="H274" s="29">
        <v>-24647.664000000001</v>
      </c>
      <c r="I274" s="41">
        <v>-0.99388948030581636</v>
      </c>
    </row>
    <row r="275" spans="1:9" x14ac:dyDescent="0.25">
      <c r="A275" s="21" t="s">
        <v>852</v>
      </c>
      <c r="B275" s="27">
        <v>208.14</v>
      </c>
      <c r="C275" s="27"/>
      <c r="D275" s="28">
        <v>208.14</v>
      </c>
      <c r="E275" s="30">
        <v>1</v>
      </c>
      <c r="F275" s="40">
        <v>826.56</v>
      </c>
      <c r="G275" s="29"/>
      <c r="H275" s="29">
        <v>826.56</v>
      </c>
      <c r="I275" s="41">
        <v>1</v>
      </c>
    </row>
    <row r="276" spans="1:9" x14ac:dyDescent="0.25">
      <c r="A276" s="21" t="s">
        <v>1272</v>
      </c>
      <c r="B276" s="27">
        <v>199.59</v>
      </c>
      <c r="C276" s="27"/>
      <c r="D276" s="28">
        <v>199.59</v>
      </c>
      <c r="E276" s="30">
        <v>1</v>
      </c>
      <c r="F276" s="40">
        <v>108.497</v>
      </c>
      <c r="G276" s="29"/>
      <c r="H276" s="29">
        <v>108.497</v>
      </c>
      <c r="I276" s="41">
        <v>1</v>
      </c>
    </row>
    <row r="277" spans="1:9" x14ac:dyDescent="0.25">
      <c r="A277" s="21" t="s">
        <v>1794</v>
      </c>
      <c r="B277" s="27">
        <v>173.92</v>
      </c>
      <c r="C277" s="27"/>
      <c r="D277" s="28">
        <v>173.92</v>
      </c>
      <c r="E277" s="30">
        <v>1</v>
      </c>
      <c r="F277" s="40">
        <v>113.688</v>
      </c>
      <c r="G277" s="29"/>
      <c r="H277" s="29">
        <v>113.688</v>
      </c>
      <c r="I277" s="41">
        <v>1</v>
      </c>
    </row>
    <row r="278" spans="1:9" x14ac:dyDescent="0.25">
      <c r="A278" s="21" t="s">
        <v>1570</v>
      </c>
      <c r="B278" s="27">
        <v>133.06</v>
      </c>
      <c r="C278" s="27"/>
      <c r="D278" s="28">
        <v>133.06</v>
      </c>
      <c r="E278" s="30">
        <v>1</v>
      </c>
      <c r="F278" s="40">
        <v>0</v>
      </c>
      <c r="G278" s="29"/>
      <c r="H278" s="29">
        <v>0</v>
      </c>
      <c r="I278" s="41">
        <v>0</v>
      </c>
    </row>
    <row r="279" spans="1:9" x14ac:dyDescent="0.25">
      <c r="A279" s="21" t="s">
        <v>1326</v>
      </c>
      <c r="B279" s="27">
        <v>119.75</v>
      </c>
      <c r="C279" s="27">
        <v>336.44</v>
      </c>
      <c r="D279" s="28">
        <v>-216.69</v>
      </c>
      <c r="E279" s="30">
        <v>-0.64406729283081676</v>
      </c>
      <c r="F279" s="40">
        <v>75.775999999999996</v>
      </c>
      <c r="G279" s="29">
        <v>227.328</v>
      </c>
      <c r="H279" s="29">
        <v>-151.55200000000002</v>
      </c>
      <c r="I279" s="41">
        <v>-0.66666666666666674</v>
      </c>
    </row>
    <row r="280" spans="1:9" x14ac:dyDescent="0.25">
      <c r="A280" s="21" t="s">
        <v>1571</v>
      </c>
      <c r="B280" s="27">
        <v>119.04</v>
      </c>
      <c r="C280" s="27"/>
      <c r="D280" s="28">
        <v>119.04</v>
      </c>
      <c r="E280" s="30">
        <v>1</v>
      </c>
      <c r="F280" s="40">
        <v>113.66</v>
      </c>
      <c r="G280" s="29"/>
      <c r="H280" s="29">
        <v>113.66</v>
      </c>
      <c r="I280" s="41">
        <v>1</v>
      </c>
    </row>
    <row r="281" spans="1:9" x14ac:dyDescent="0.25">
      <c r="A281" s="21" t="s">
        <v>1795</v>
      </c>
      <c r="B281" s="27">
        <v>102.64</v>
      </c>
      <c r="C281" s="27"/>
      <c r="D281" s="28">
        <v>102.64</v>
      </c>
      <c r="E281" s="30">
        <v>1</v>
      </c>
      <c r="F281" s="40">
        <v>56.83</v>
      </c>
      <c r="G281" s="29"/>
      <c r="H281" s="29">
        <v>56.83</v>
      </c>
      <c r="I281" s="41">
        <v>1</v>
      </c>
    </row>
    <row r="282" spans="1:9" x14ac:dyDescent="0.25">
      <c r="A282" s="21" t="s">
        <v>626</v>
      </c>
      <c r="B282" s="27">
        <v>99.79</v>
      </c>
      <c r="C282" s="27">
        <v>63.36</v>
      </c>
      <c r="D282" s="28">
        <v>36.430000000000007</v>
      </c>
      <c r="E282" s="30">
        <v>0.57496843434343448</v>
      </c>
      <c r="F282" s="40">
        <v>0</v>
      </c>
      <c r="G282" s="29">
        <v>0</v>
      </c>
      <c r="H282" s="29">
        <v>0</v>
      </c>
      <c r="I282" s="41">
        <v>0</v>
      </c>
    </row>
    <row r="283" spans="1:9" x14ac:dyDescent="0.25">
      <c r="A283" s="21" t="s">
        <v>1572</v>
      </c>
      <c r="B283" s="27">
        <v>83.58</v>
      </c>
      <c r="C283" s="27"/>
      <c r="D283" s="28">
        <v>83.58</v>
      </c>
      <c r="E283" s="30">
        <v>1</v>
      </c>
      <c r="F283" s="40">
        <v>53.28</v>
      </c>
      <c r="G283" s="29"/>
      <c r="H283" s="29">
        <v>53.28</v>
      </c>
      <c r="I283" s="41">
        <v>1</v>
      </c>
    </row>
    <row r="284" spans="1:9" x14ac:dyDescent="0.25">
      <c r="A284" s="21" t="s">
        <v>912</v>
      </c>
      <c r="B284" s="27">
        <v>79.83</v>
      </c>
      <c r="C284" s="27"/>
      <c r="D284" s="28">
        <v>79.83</v>
      </c>
      <c r="E284" s="30">
        <v>1</v>
      </c>
      <c r="F284" s="40">
        <v>0</v>
      </c>
      <c r="G284" s="29"/>
      <c r="H284" s="29">
        <v>0</v>
      </c>
      <c r="I284" s="41">
        <v>0</v>
      </c>
    </row>
    <row r="285" spans="1:9" x14ac:dyDescent="0.25">
      <c r="A285" s="21" t="s">
        <v>1274</v>
      </c>
      <c r="B285" s="27">
        <v>77.930000000000007</v>
      </c>
      <c r="C285" s="27"/>
      <c r="D285" s="28">
        <v>77.930000000000007</v>
      </c>
      <c r="E285" s="30">
        <v>1</v>
      </c>
      <c r="F285" s="40">
        <v>0</v>
      </c>
      <c r="G285" s="29"/>
      <c r="H285" s="29">
        <v>0</v>
      </c>
      <c r="I285" s="41">
        <v>0</v>
      </c>
    </row>
    <row r="286" spans="1:9" x14ac:dyDescent="0.25">
      <c r="A286" s="21" t="s">
        <v>1573</v>
      </c>
      <c r="B286" s="27">
        <v>74.37</v>
      </c>
      <c r="C286" s="27"/>
      <c r="D286" s="28">
        <v>74.37</v>
      </c>
      <c r="E286" s="30">
        <v>1</v>
      </c>
      <c r="F286" s="40">
        <v>47.36</v>
      </c>
      <c r="G286" s="29"/>
      <c r="H286" s="29">
        <v>47.36</v>
      </c>
      <c r="I286" s="41">
        <v>1</v>
      </c>
    </row>
    <row r="287" spans="1:9" x14ac:dyDescent="0.25">
      <c r="A287" s="21" t="s">
        <v>1275</v>
      </c>
      <c r="B287" s="27">
        <v>68.069999999999993</v>
      </c>
      <c r="C287" s="27"/>
      <c r="D287" s="28">
        <v>68.069999999999993</v>
      </c>
      <c r="E287" s="30">
        <v>1</v>
      </c>
      <c r="F287" s="40">
        <v>206.64</v>
      </c>
      <c r="G287" s="29"/>
      <c r="H287" s="29">
        <v>206.64</v>
      </c>
      <c r="I287" s="41">
        <v>1</v>
      </c>
    </row>
    <row r="288" spans="1:9" x14ac:dyDescent="0.25">
      <c r="A288" s="21" t="s">
        <v>1574</v>
      </c>
      <c r="B288" s="27">
        <v>62.01</v>
      </c>
      <c r="C288" s="27"/>
      <c r="D288" s="28">
        <v>62.01</v>
      </c>
      <c r="E288" s="30">
        <v>1</v>
      </c>
      <c r="F288" s="40">
        <v>75.78</v>
      </c>
      <c r="G288" s="29"/>
      <c r="H288" s="29">
        <v>75.78</v>
      </c>
      <c r="I288" s="41">
        <v>1</v>
      </c>
    </row>
    <row r="289" spans="1:9" x14ac:dyDescent="0.25">
      <c r="A289" s="21" t="s">
        <v>1575</v>
      </c>
      <c r="B289" s="27">
        <v>42.77</v>
      </c>
      <c r="C289" s="27"/>
      <c r="D289" s="28">
        <v>42.77</v>
      </c>
      <c r="E289" s="30">
        <v>1</v>
      </c>
      <c r="F289" s="40">
        <v>56.83</v>
      </c>
      <c r="G289" s="29"/>
      <c r="H289" s="29">
        <v>56.83</v>
      </c>
      <c r="I289" s="41">
        <v>1</v>
      </c>
    </row>
    <row r="290" spans="1:9" x14ac:dyDescent="0.25">
      <c r="A290" s="21" t="s">
        <v>1796</v>
      </c>
      <c r="B290" s="27"/>
      <c r="C290" s="27">
        <v>139.71</v>
      </c>
      <c r="D290" s="28">
        <v>-139.71</v>
      </c>
      <c r="E290" s="30">
        <v>-1</v>
      </c>
      <c r="F290" s="40"/>
      <c r="G290" s="29">
        <v>227.34</v>
      </c>
      <c r="H290" s="29">
        <v>-227.34</v>
      </c>
      <c r="I290" s="41">
        <v>-1</v>
      </c>
    </row>
    <row r="291" spans="1:9" x14ac:dyDescent="0.25">
      <c r="A291" s="21" t="s">
        <v>1313</v>
      </c>
      <c r="B291" s="27"/>
      <c r="C291" s="27">
        <v>41.34</v>
      </c>
      <c r="D291" s="28">
        <v>-41.34</v>
      </c>
      <c r="E291" s="30">
        <v>-1</v>
      </c>
      <c r="F291" s="40"/>
      <c r="G291" s="29">
        <v>56.83</v>
      </c>
      <c r="H291" s="29">
        <v>-56.83</v>
      </c>
      <c r="I291" s="41">
        <v>-1</v>
      </c>
    </row>
    <row r="292" spans="1:9" x14ac:dyDescent="0.25">
      <c r="A292" s="21" t="s">
        <v>446</v>
      </c>
      <c r="B292" s="27"/>
      <c r="C292" s="27">
        <v>3131.68</v>
      </c>
      <c r="D292" s="28">
        <v>-3131.68</v>
      </c>
      <c r="E292" s="30">
        <v>-1</v>
      </c>
      <c r="F292" s="40"/>
      <c r="G292" s="29">
        <v>12691.3</v>
      </c>
      <c r="H292" s="29">
        <v>-12691.3</v>
      </c>
      <c r="I292" s="41">
        <v>-1</v>
      </c>
    </row>
    <row r="293" spans="1:9" x14ac:dyDescent="0.25">
      <c r="A293" s="21" t="s">
        <v>447</v>
      </c>
      <c r="B293" s="27"/>
      <c r="C293" s="27">
        <v>1250.96</v>
      </c>
      <c r="D293" s="28">
        <v>-1250.96</v>
      </c>
      <c r="E293" s="30">
        <v>-1</v>
      </c>
      <c r="F293" s="40"/>
      <c r="G293" s="29">
        <v>3100.14</v>
      </c>
      <c r="H293" s="29">
        <v>-3100.14</v>
      </c>
      <c r="I293" s="41">
        <v>-1</v>
      </c>
    </row>
    <row r="294" spans="1:9" x14ac:dyDescent="0.25">
      <c r="A294" s="21" t="s">
        <v>612</v>
      </c>
      <c r="B294" s="27"/>
      <c r="C294" s="27">
        <v>2687.26</v>
      </c>
      <c r="D294" s="28">
        <v>-2687.26</v>
      </c>
      <c r="E294" s="30">
        <v>-1</v>
      </c>
      <c r="F294" s="40"/>
      <c r="G294" s="29">
        <v>4611</v>
      </c>
      <c r="H294" s="29">
        <v>-4611</v>
      </c>
      <c r="I294" s="41">
        <v>-1</v>
      </c>
    </row>
    <row r="295" spans="1:9" x14ac:dyDescent="0.25">
      <c r="A295" s="21" t="s">
        <v>1302</v>
      </c>
      <c r="B295" s="27"/>
      <c r="C295" s="27">
        <v>542.67999999999995</v>
      </c>
      <c r="D295" s="28">
        <v>-542.67999999999995</v>
      </c>
      <c r="E295" s="30">
        <v>-1</v>
      </c>
      <c r="F295" s="40"/>
      <c r="G295" s="29">
        <v>1239.96</v>
      </c>
      <c r="H295" s="29">
        <v>-1239.96</v>
      </c>
      <c r="I295" s="41">
        <v>-1</v>
      </c>
    </row>
    <row r="296" spans="1:9" x14ac:dyDescent="0.25">
      <c r="A296" s="21" t="s">
        <v>1322</v>
      </c>
      <c r="B296" s="27"/>
      <c r="C296" s="27">
        <v>3284.58</v>
      </c>
      <c r="D296" s="28">
        <v>-3284.58</v>
      </c>
      <c r="E296" s="30">
        <v>-1</v>
      </c>
      <c r="F296" s="40"/>
      <c r="G296" s="29">
        <v>17000.28</v>
      </c>
      <c r="H296" s="29">
        <v>-17000.28</v>
      </c>
      <c r="I296" s="41">
        <v>-1</v>
      </c>
    </row>
    <row r="297" spans="1:9" x14ac:dyDescent="0.25">
      <c r="A297" s="21" t="s">
        <v>593</v>
      </c>
      <c r="B297" s="27"/>
      <c r="C297" s="27">
        <v>4388.47</v>
      </c>
      <c r="D297" s="28">
        <v>-4388.47</v>
      </c>
      <c r="E297" s="30">
        <v>-1</v>
      </c>
      <c r="F297" s="40"/>
      <c r="G297" s="29">
        <v>18889.2</v>
      </c>
      <c r="H297" s="29">
        <v>-18889.2</v>
      </c>
      <c r="I297" s="41">
        <v>-1</v>
      </c>
    </row>
    <row r="298" spans="1:9" x14ac:dyDescent="0.25">
      <c r="A298" s="21" t="s">
        <v>1609</v>
      </c>
      <c r="B298" s="27"/>
      <c r="C298" s="27">
        <v>2722.9</v>
      </c>
      <c r="D298" s="28">
        <v>-2722.9</v>
      </c>
      <c r="E298" s="30">
        <v>-1</v>
      </c>
      <c r="F298" s="40"/>
      <c r="G298" s="29">
        <v>12399.6</v>
      </c>
      <c r="H298" s="29">
        <v>-12399.6</v>
      </c>
      <c r="I298" s="41">
        <v>-1</v>
      </c>
    </row>
    <row r="299" spans="1:9" x14ac:dyDescent="0.25">
      <c r="A299" s="21" t="s">
        <v>1307</v>
      </c>
      <c r="B299" s="27"/>
      <c r="C299" s="27">
        <v>4182.71</v>
      </c>
      <c r="D299" s="28">
        <v>-4182.71</v>
      </c>
      <c r="E299" s="30">
        <v>-1</v>
      </c>
      <c r="F299" s="40"/>
      <c r="G299" s="29">
        <v>15111.36</v>
      </c>
      <c r="H299" s="29">
        <v>-15111.36</v>
      </c>
      <c r="I299" s="41">
        <v>-1</v>
      </c>
    </row>
    <row r="300" spans="1:9" x14ac:dyDescent="0.25">
      <c r="A300" s="21" t="s">
        <v>583</v>
      </c>
      <c r="B300" s="27"/>
      <c r="C300" s="27">
        <v>3536.91</v>
      </c>
      <c r="D300" s="28">
        <v>-3536.91</v>
      </c>
      <c r="E300" s="30">
        <v>-1</v>
      </c>
      <c r="F300" s="40"/>
      <c r="G300" s="29">
        <v>12160.2</v>
      </c>
      <c r="H300" s="29">
        <v>-12160.2</v>
      </c>
      <c r="I300" s="41">
        <v>-1</v>
      </c>
    </row>
    <row r="301" spans="1:9" x14ac:dyDescent="0.25">
      <c r="A301" s="21" t="s">
        <v>1311</v>
      </c>
      <c r="B301" s="27"/>
      <c r="C301" s="27">
        <v>904.78</v>
      </c>
      <c r="D301" s="28">
        <v>-904.78</v>
      </c>
      <c r="E301" s="30">
        <v>-1</v>
      </c>
      <c r="F301" s="40"/>
      <c r="G301" s="29">
        <v>663.04</v>
      </c>
      <c r="H301" s="29">
        <v>-663.04</v>
      </c>
      <c r="I301" s="41">
        <v>-1</v>
      </c>
    </row>
    <row r="302" spans="1:9" x14ac:dyDescent="0.25">
      <c r="A302" s="21" t="s">
        <v>1587</v>
      </c>
      <c r="B302" s="27"/>
      <c r="C302" s="27">
        <v>6636.17</v>
      </c>
      <c r="D302" s="28">
        <v>-6636.17</v>
      </c>
      <c r="E302" s="30">
        <v>-1</v>
      </c>
      <c r="F302" s="40"/>
      <c r="G302" s="29">
        <v>9639</v>
      </c>
      <c r="H302" s="29">
        <v>-9639</v>
      </c>
      <c r="I302" s="41">
        <v>-1</v>
      </c>
    </row>
    <row r="303" spans="1:9" x14ac:dyDescent="0.25">
      <c r="A303" s="21" t="s">
        <v>1327</v>
      </c>
      <c r="B303" s="27"/>
      <c r="C303" s="27">
        <v>2223.94</v>
      </c>
      <c r="D303" s="28">
        <v>-2223.94</v>
      </c>
      <c r="E303" s="30">
        <v>-1</v>
      </c>
      <c r="F303" s="40"/>
      <c r="G303" s="29">
        <v>9444.6</v>
      </c>
      <c r="H303" s="29">
        <v>-9444.6</v>
      </c>
      <c r="I303" s="41">
        <v>-1</v>
      </c>
    </row>
    <row r="304" spans="1:9" x14ac:dyDescent="0.25">
      <c r="A304" s="21" t="s">
        <v>818</v>
      </c>
      <c r="B304" s="27"/>
      <c r="C304" s="27">
        <v>210.04</v>
      </c>
      <c r="D304" s="28">
        <v>-210.04</v>
      </c>
      <c r="E304" s="30">
        <v>-1</v>
      </c>
      <c r="F304" s="40"/>
      <c r="G304" s="29">
        <v>170.5</v>
      </c>
      <c r="H304" s="29">
        <v>-170.5</v>
      </c>
      <c r="I304" s="41">
        <v>-1</v>
      </c>
    </row>
    <row r="305" spans="1:9" x14ac:dyDescent="0.25">
      <c r="A305" s="21" t="s">
        <v>192</v>
      </c>
      <c r="B305" s="27"/>
      <c r="C305" s="27">
        <v>6265.51</v>
      </c>
      <c r="D305" s="28">
        <v>-6265.51</v>
      </c>
      <c r="E305" s="30">
        <v>-1</v>
      </c>
      <c r="F305" s="40"/>
      <c r="G305" s="29">
        <v>24799.200000000001</v>
      </c>
      <c r="H305" s="29">
        <v>-24799.200000000001</v>
      </c>
      <c r="I305" s="41">
        <v>-1</v>
      </c>
    </row>
    <row r="306" spans="1:9" x14ac:dyDescent="0.25">
      <c r="A306" s="21" t="s">
        <v>1797</v>
      </c>
      <c r="B306" s="27"/>
      <c r="C306" s="27">
        <v>116.54</v>
      </c>
      <c r="D306" s="28">
        <v>-116.54</v>
      </c>
      <c r="E306" s="30">
        <v>-1</v>
      </c>
      <c r="F306" s="40"/>
      <c r="G306" s="29">
        <v>170.49</v>
      </c>
      <c r="H306" s="29">
        <v>-170.49</v>
      </c>
      <c r="I306" s="41">
        <v>-1</v>
      </c>
    </row>
    <row r="307" spans="1:9" x14ac:dyDescent="0.25">
      <c r="A307" s="21" t="s">
        <v>594</v>
      </c>
      <c r="B307" s="27"/>
      <c r="C307" s="27">
        <v>1592.21</v>
      </c>
      <c r="D307" s="28">
        <v>-1592.21</v>
      </c>
      <c r="E307" s="30">
        <v>-1</v>
      </c>
      <c r="F307" s="40"/>
      <c r="G307" s="29">
        <v>3476.4</v>
      </c>
      <c r="H307" s="29">
        <v>-3476.4</v>
      </c>
      <c r="I307" s="41">
        <v>-1</v>
      </c>
    </row>
    <row r="308" spans="1:9" x14ac:dyDescent="0.25">
      <c r="A308" s="21" t="s">
        <v>1798</v>
      </c>
      <c r="B308" s="27"/>
      <c r="C308" s="27">
        <v>98.21</v>
      </c>
      <c r="D308" s="28">
        <v>-98.21</v>
      </c>
      <c r="E308" s="30">
        <v>-1</v>
      </c>
      <c r="F308" s="40"/>
      <c r="G308" s="29">
        <v>75.78</v>
      </c>
      <c r="H308" s="29">
        <v>-75.78</v>
      </c>
      <c r="I308" s="41">
        <v>-1</v>
      </c>
    </row>
    <row r="309" spans="1:9" x14ac:dyDescent="0.25">
      <c r="A309" s="21" t="s">
        <v>1799</v>
      </c>
      <c r="B309" s="27"/>
      <c r="C309" s="27">
        <v>2702.94</v>
      </c>
      <c r="D309" s="28">
        <v>-2702.94</v>
      </c>
      <c r="E309" s="30">
        <v>-1</v>
      </c>
      <c r="F309" s="40"/>
      <c r="G309" s="29">
        <v>9919.68</v>
      </c>
      <c r="H309" s="29">
        <v>-9919.68</v>
      </c>
      <c r="I309" s="41">
        <v>-1</v>
      </c>
    </row>
    <row r="310" spans="1:9" x14ac:dyDescent="0.25">
      <c r="A310" s="21" t="s">
        <v>1800</v>
      </c>
      <c r="B310" s="27"/>
      <c r="C310" s="27">
        <v>11712.73</v>
      </c>
      <c r="D310" s="28">
        <v>-11712.73</v>
      </c>
      <c r="E310" s="30">
        <v>-1</v>
      </c>
      <c r="F310" s="40"/>
      <c r="G310" s="29">
        <v>24452.89</v>
      </c>
      <c r="H310" s="29">
        <v>-24452.89</v>
      </c>
      <c r="I310" s="41">
        <v>-1</v>
      </c>
    </row>
    <row r="311" spans="1:9" x14ac:dyDescent="0.25">
      <c r="A311" s="21" t="s">
        <v>1801</v>
      </c>
      <c r="B311" s="27"/>
      <c r="C311" s="27">
        <v>3207.6</v>
      </c>
      <c r="D311" s="28">
        <v>-3207.6</v>
      </c>
      <c r="E311" s="30">
        <v>-1</v>
      </c>
      <c r="F311" s="40"/>
      <c r="G311" s="29">
        <v>12398.4</v>
      </c>
      <c r="H311" s="29">
        <v>-12398.4</v>
      </c>
      <c r="I311" s="41">
        <v>-1</v>
      </c>
    </row>
    <row r="312" spans="1:9" x14ac:dyDescent="0.25">
      <c r="A312" s="21" t="s">
        <v>529</v>
      </c>
      <c r="B312" s="27"/>
      <c r="C312" s="27">
        <v>21954.22</v>
      </c>
      <c r="D312" s="28">
        <v>-21954.22</v>
      </c>
      <c r="E312" s="30">
        <v>-1</v>
      </c>
      <c r="F312" s="40"/>
      <c r="G312" s="29">
        <v>75556.800000000003</v>
      </c>
      <c r="H312" s="29">
        <v>-75556.800000000003</v>
      </c>
      <c r="I312" s="41">
        <v>-1</v>
      </c>
    </row>
    <row r="313" spans="1:9" x14ac:dyDescent="0.25">
      <c r="A313" s="21" t="s">
        <v>1312</v>
      </c>
      <c r="B313" s="27"/>
      <c r="C313" s="27">
        <v>22709.8</v>
      </c>
      <c r="D313" s="28">
        <v>-22709.8</v>
      </c>
      <c r="E313" s="30">
        <v>-1</v>
      </c>
      <c r="F313" s="40"/>
      <c r="G313" s="29">
        <v>85001.4</v>
      </c>
      <c r="H313" s="29">
        <v>-85001.4</v>
      </c>
      <c r="I313" s="41">
        <v>-1</v>
      </c>
    </row>
    <row r="314" spans="1:9" x14ac:dyDescent="0.25">
      <c r="A314" s="21" t="s">
        <v>404</v>
      </c>
      <c r="B314" s="27"/>
      <c r="C314" s="27">
        <v>4233.08</v>
      </c>
      <c r="D314" s="28">
        <v>-4233.08</v>
      </c>
      <c r="E314" s="30">
        <v>-1</v>
      </c>
      <c r="F314" s="40"/>
      <c r="G314" s="29">
        <v>15111.36</v>
      </c>
      <c r="H314" s="29">
        <v>-15111.36</v>
      </c>
      <c r="I314" s="41">
        <v>-1</v>
      </c>
    </row>
    <row r="315" spans="1:9" x14ac:dyDescent="0.25">
      <c r="A315" s="21" t="s">
        <v>1802</v>
      </c>
      <c r="B315" s="27"/>
      <c r="C315" s="27">
        <v>3207.6</v>
      </c>
      <c r="D315" s="28">
        <v>-3207.6</v>
      </c>
      <c r="E315" s="30">
        <v>-1</v>
      </c>
      <c r="F315" s="40"/>
      <c r="G315" s="29">
        <v>12399.6</v>
      </c>
      <c r="H315" s="29">
        <v>-12399.6</v>
      </c>
      <c r="I315" s="41">
        <v>-1</v>
      </c>
    </row>
    <row r="316" spans="1:9" x14ac:dyDescent="0.25">
      <c r="A316" s="21" t="s">
        <v>1803</v>
      </c>
      <c r="B316" s="27"/>
      <c r="C316" s="27">
        <v>3720.82</v>
      </c>
      <c r="D316" s="28">
        <v>-3720.82</v>
      </c>
      <c r="E316" s="30">
        <v>-1</v>
      </c>
      <c r="F316" s="40"/>
      <c r="G316" s="29">
        <v>15111.36</v>
      </c>
      <c r="H316" s="29">
        <v>-15111.36</v>
      </c>
      <c r="I316" s="41">
        <v>-1</v>
      </c>
    </row>
    <row r="317" spans="1:9" x14ac:dyDescent="0.25">
      <c r="A317" s="21" t="s">
        <v>1804</v>
      </c>
      <c r="B317" s="27"/>
      <c r="C317" s="27">
        <v>9383.2999999999993</v>
      </c>
      <c r="D317" s="28">
        <v>-9383.2999999999993</v>
      </c>
      <c r="E317" s="30">
        <v>-1</v>
      </c>
      <c r="F317" s="40"/>
      <c r="G317" s="29">
        <v>37200.959999999999</v>
      </c>
      <c r="H317" s="29">
        <v>-37200.959999999999</v>
      </c>
      <c r="I317" s="41">
        <v>-1</v>
      </c>
    </row>
    <row r="318" spans="1:9" x14ac:dyDescent="0.25">
      <c r="A318" s="21" t="s">
        <v>816</v>
      </c>
      <c r="B318" s="27"/>
      <c r="C318" s="27">
        <v>7228.27</v>
      </c>
      <c r="D318" s="28">
        <v>-7228.27</v>
      </c>
      <c r="E318" s="30">
        <v>-1</v>
      </c>
      <c r="F318" s="40"/>
      <c r="G318" s="29">
        <v>14668.25</v>
      </c>
      <c r="H318" s="29">
        <v>-14668.25</v>
      </c>
      <c r="I318" s="41">
        <v>-1</v>
      </c>
    </row>
    <row r="319" spans="1:9" x14ac:dyDescent="0.25">
      <c r="A319" s="21" t="s">
        <v>1314</v>
      </c>
      <c r="B319" s="27"/>
      <c r="C319" s="27">
        <v>20613.64</v>
      </c>
      <c r="D319" s="28">
        <v>-20613.64</v>
      </c>
      <c r="E319" s="30">
        <v>-1</v>
      </c>
      <c r="F319" s="40"/>
      <c r="G319" s="29">
        <v>75787.350000000006</v>
      </c>
      <c r="H319" s="29">
        <v>-75787.350000000006</v>
      </c>
      <c r="I319" s="41">
        <v>-1</v>
      </c>
    </row>
    <row r="320" spans="1:9" x14ac:dyDescent="0.25">
      <c r="A320" s="21" t="s">
        <v>1805</v>
      </c>
      <c r="B320" s="27"/>
      <c r="C320" s="27">
        <v>115.51</v>
      </c>
      <c r="D320" s="28">
        <v>-115.51</v>
      </c>
      <c r="E320" s="30">
        <v>-1</v>
      </c>
      <c r="F320" s="40"/>
      <c r="G320" s="29">
        <v>0</v>
      </c>
      <c r="H320" s="29">
        <v>0</v>
      </c>
      <c r="I320" s="41">
        <v>0</v>
      </c>
    </row>
    <row r="321" spans="1:9" x14ac:dyDescent="0.25">
      <c r="A321" s="21" t="s">
        <v>1582</v>
      </c>
      <c r="B321" s="27"/>
      <c r="C321" s="27">
        <v>563.11</v>
      </c>
      <c r="D321" s="28">
        <v>-563.11</v>
      </c>
      <c r="E321" s="30">
        <v>-1</v>
      </c>
      <c r="F321" s="40"/>
      <c r="G321" s="29">
        <v>2066.6</v>
      </c>
      <c r="H321" s="29">
        <v>-2066.6</v>
      </c>
      <c r="I321" s="41">
        <v>-1</v>
      </c>
    </row>
    <row r="322" spans="1:9" x14ac:dyDescent="0.25">
      <c r="A322" s="21" t="s">
        <v>1806</v>
      </c>
      <c r="B322" s="27"/>
      <c r="C322" s="27">
        <v>2507.63</v>
      </c>
      <c r="D322" s="28">
        <v>-2507.63</v>
      </c>
      <c r="E322" s="30">
        <v>-1</v>
      </c>
      <c r="F322" s="40"/>
      <c r="G322" s="29">
        <v>5667.12</v>
      </c>
      <c r="H322" s="29">
        <v>-5667.12</v>
      </c>
      <c r="I322" s="41">
        <v>-1</v>
      </c>
    </row>
    <row r="323" spans="1:9" x14ac:dyDescent="0.25">
      <c r="A323" s="21" t="s">
        <v>1602</v>
      </c>
      <c r="B323" s="27"/>
      <c r="C323" s="27">
        <v>30587.530000000002</v>
      </c>
      <c r="D323" s="28">
        <v>-30587.530000000002</v>
      </c>
      <c r="E323" s="30">
        <v>-1</v>
      </c>
      <c r="F323" s="40"/>
      <c r="G323" s="29">
        <v>45092.85</v>
      </c>
      <c r="H323" s="29">
        <v>-45092.85</v>
      </c>
      <c r="I323" s="41">
        <v>-1</v>
      </c>
    </row>
    <row r="324" spans="1:9" x14ac:dyDescent="0.25">
      <c r="A324" s="21" t="s">
        <v>1305</v>
      </c>
      <c r="B324" s="27"/>
      <c r="C324" s="27">
        <v>5153.54</v>
      </c>
      <c r="D324" s="28">
        <v>-5153.54</v>
      </c>
      <c r="E324" s="30">
        <v>-1</v>
      </c>
      <c r="F324" s="40"/>
      <c r="G324" s="29">
        <v>24796.799999999999</v>
      </c>
      <c r="H324" s="29">
        <v>-24796.799999999999</v>
      </c>
      <c r="I324" s="41">
        <v>-1</v>
      </c>
    </row>
    <row r="325" spans="1:9" x14ac:dyDescent="0.25">
      <c r="A325" s="21" t="s">
        <v>1295</v>
      </c>
      <c r="B325" s="27"/>
      <c r="C325" s="27">
        <v>3143.45</v>
      </c>
      <c r="D325" s="28">
        <v>-3143.45</v>
      </c>
      <c r="E325" s="30">
        <v>-1</v>
      </c>
      <c r="F325" s="40"/>
      <c r="G325" s="29">
        <v>12399.6</v>
      </c>
      <c r="H325" s="29">
        <v>-12399.6</v>
      </c>
      <c r="I325" s="41">
        <v>-1</v>
      </c>
    </row>
    <row r="326" spans="1:9" x14ac:dyDescent="0.25">
      <c r="A326" s="21" t="s">
        <v>1283</v>
      </c>
      <c r="B326" s="27"/>
      <c r="C326" s="27">
        <v>6033.14</v>
      </c>
      <c r="D326" s="28">
        <v>-6033.14</v>
      </c>
      <c r="E326" s="30">
        <v>-1</v>
      </c>
      <c r="F326" s="40"/>
      <c r="G326" s="29">
        <v>30223.295999999998</v>
      </c>
      <c r="H326" s="29">
        <v>-30223.295999999998</v>
      </c>
      <c r="I326" s="41">
        <v>-1</v>
      </c>
    </row>
    <row r="327" spans="1:9" x14ac:dyDescent="0.25">
      <c r="A327" s="21" t="s">
        <v>641</v>
      </c>
      <c r="B327" s="27"/>
      <c r="C327" s="27">
        <v>3558.3</v>
      </c>
      <c r="D327" s="28">
        <v>-3558.3</v>
      </c>
      <c r="E327" s="30">
        <v>-1</v>
      </c>
      <c r="F327" s="40"/>
      <c r="G327" s="29">
        <v>15111.36</v>
      </c>
      <c r="H327" s="29">
        <v>-15111.36</v>
      </c>
      <c r="I327" s="41">
        <v>-1</v>
      </c>
    </row>
    <row r="328" spans="1:9" x14ac:dyDescent="0.25">
      <c r="A328" s="21" t="s">
        <v>1285</v>
      </c>
      <c r="B328" s="27"/>
      <c r="C328" s="27">
        <v>151.75</v>
      </c>
      <c r="D328" s="28">
        <v>-151.75</v>
      </c>
      <c r="E328" s="30">
        <v>-1</v>
      </c>
      <c r="F328" s="40"/>
      <c r="G328" s="29">
        <v>151.56</v>
      </c>
      <c r="H328" s="29">
        <v>-151.56</v>
      </c>
      <c r="I328" s="41">
        <v>-1</v>
      </c>
    </row>
    <row r="329" spans="1:9" x14ac:dyDescent="0.25">
      <c r="A329" s="21" t="s">
        <v>1807</v>
      </c>
      <c r="B329" s="27"/>
      <c r="C329" s="27">
        <v>68.430000000000007</v>
      </c>
      <c r="D329" s="28">
        <v>-68.430000000000007</v>
      </c>
      <c r="E329" s="30">
        <v>-1</v>
      </c>
      <c r="F329" s="40"/>
      <c r="G329" s="29">
        <v>113.66</v>
      </c>
      <c r="H329" s="29">
        <v>-113.66</v>
      </c>
      <c r="I329" s="41">
        <v>-1</v>
      </c>
    </row>
    <row r="330" spans="1:9" x14ac:dyDescent="0.25">
      <c r="A330" s="21" t="s">
        <v>614</v>
      </c>
      <c r="B330" s="27"/>
      <c r="C330" s="27">
        <v>216547.22</v>
      </c>
      <c r="D330" s="28">
        <v>-216547.22</v>
      </c>
      <c r="E330" s="30">
        <v>-1</v>
      </c>
      <c r="F330" s="40"/>
      <c r="G330" s="29">
        <v>488586.13799999998</v>
      </c>
      <c r="H330" s="29">
        <v>-488586.13799999998</v>
      </c>
      <c r="I330" s="41">
        <v>-1</v>
      </c>
    </row>
    <row r="331" spans="1:9" x14ac:dyDescent="0.25">
      <c r="A331" s="21" t="s">
        <v>1321</v>
      </c>
      <c r="B331" s="27"/>
      <c r="C331" s="27">
        <v>9196.51</v>
      </c>
      <c r="D331" s="28">
        <v>-9196.51</v>
      </c>
      <c r="E331" s="30">
        <v>-1</v>
      </c>
      <c r="F331" s="40"/>
      <c r="G331" s="29">
        <v>2244.143</v>
      </c>
      <c r="H331" s="29">
        <v>-2244.143</v>
      </c>
      <c r="I331" s="41">
        <v>-1</v>
      </c>
    </row>
    <row r="332" spans="1:9" x14ac:dyDescent="0.25">
      <c r="A332" s="21" t="s">
        <v>581</v>
      </c>
      <c r="B332" s="27"/>
      <c r="C332" s="27">
        <v>1812.89</v>
      </c>
      <c r="D332" s="28">
        <v>-1812.89</v>
      </c>
      <c r="E332" s="30">
        <v>-1</v>
      </c>
      <c r="F332" s="40"/>
      <c r="G332" s="29">
        <v>2066.6999999999998</v>
      </c>
      <c r="H332" s="29">
        <v>-2066.6999999999998</v>
      </c>
      <c r="I332" s="41">
        <v>-1</v>
      </c>
    </row>
    <row r="333" spans="1:9" x14ac:dyDescent="0.25">
      <c r="A333" s="21" t="s">
        <v>203</v>
      </c>
      <c r="B333" s="27"/>
      <c r="C333" s="27">
        <v>2993.76</v>
      </c>
      <c r="D333" s="28">
        <v>-2993.76</v>
      </c>
      <c r="E333" s="30">
        <v>-1</v>
      </c>
      <c r="F333" s="40"/>
      <c r="G333" s="29">
        <v>12399.6</v>
      </c>
      <c r="H333" s="29">
        <v>-12399.6</v>
      </c>
      <c r="I333" s="41">
        <v>-1</v>
      </c>
    </row>
    <row r="334" spans="1:9" x14ac:dyDescent="0.25">
      <c r="A334" s="21" t="s">
        <v>1612</v>
      </c>
      <c r="B334" s="27"/>
      <c r="C334" s="27">
        <v>261.36</v>
      </c>
      <c r="D334" s="28">
        <v>-261.36</v>
      </c>
      <c r="E334" s="30">
        <v>-1</v>
      </c>
      <c r="F334" s="40"/>
      <c r="G334" s="29">
        <v>944.46</v>
      </c>
      <c r="H334" s="29">
        <v>-944.46</v>
      </c>
      <c r="I334" s="41">
        <v>-1</v>
      </c>
    </row>
    <row r="335" spans="1:9" x14ac:dyDescent="0.25">
      <c r="A335" s="21" t="s">
        <v>678</v>
      </c>
      <c r="B335" s="27"/>
      <c r="C335" s="27">
        <v>9542.9699999999993</v>
      </c>
      <c r="D335" s="28">
        <v>-9542.9699999999993</v>
      </c>
      <c r="E335" s="30">
        <v>-1</v>
      </c>
      <c r="F335" s="40"/>
      <c r="G335" s="29">
        <v>30223.295999999998</v>
      </c>
      <c r="H335" s="29">
        <v>-30223.295999999998</v>
      </c>
      <c r="I335" s="41">
        <v>-1</v>
      </c>
    </row>
    <row r="336" spans="1:9" x14ac:dyDescent="0.25">
      <c r="A336" s="21" t="s">
        <v>1590</v>
      </c>
      <c r="B336" s="27"/>
      <c r="C336" s="27">
        <v>13614.48</v>
      </c>
      <c r="D336" s="28">
        <v>-13614.48</v>
      </c>
      <c r="E336" s="30">
        <v>-1</v>
      </c>
      <c r="F336" s="40"/>
      <c r="G336" s="29">
        <v>61998</v>
      </c>
      <c r="H336" s="29">
        <v>-61998</v>
      </c>
      <c r="I336" s="41">
        <v>-1</v>
      </c>
    </row>
    <row r="337" spans="1:9" x14ac:dyDescent="0.25">
      <c r="A337" s="21" t="s">
        <v>684</v>
      </c>
      <c r="B337" s="27"/>
      <c r="C337" s="27">
        <v>4012.5899999999997</v>
      </c>
      <c r="D337" s="28">
        <v>-4012.5899999999997</v>
      </c>
      <c r="E337" s="30">
        <v>-1</v>
      </c>
      <c r="F337" s="40"/>
      <c r="G337" s="29">
        <v>17630.256000000001</v>
      </c>
      <c r="H337" s="29">
        <v>-17630.256000000001</v>
      </c>
      <c r="I337" s="41">
        <v>-1</v>
      </c>
    </row>
    <row r="338" spans="1:9" x14ac:dyDescent="0.25">
      <c r="A338" s="21" t="s">
        <v>1584</v>
      </c>
      <c r="B338" s="27"/>
      <c r="C338" s="27">
        <v>3136.32</v>
      </c>
      <c r="D338" s="28">
        <v>-3136.32</v>
      </c>
      <c r="E338" s="30">
        <v>-1</v>
      </c>
      <c r="F338" s="40"/>
      <c r="G338" s="29">
        <v>11333.52</v>
      </c>
      <c r="H338" s="29">
        <v>-11333.52</v>
      </c>
      <c r="I338" s="41">
        <v>-1</v>
      </c>
    </row>
    <row r="339" spans="1:9" x14ac:dyDescent="0.25">
      <c r="A339" s="21" t="s">
        <v>445</v>
      </c>
      <c r="B339" s="27"/>
      <c r="C339" s="27">
        <v>105808.31000000001</v>
      </c>
      <c r="D339" s="28">
        <v>-105808.31000000001</v>
      </c>
      <c r="E339" s="30">
        <v>-1</v>
      </c>
      <c r="F339" s="40"/>
      <c r="G339" s="29">
        <v>414530.14800000004</v>
      </c>
      <c r="H339" s="29">
        <v>-414530.14800000004</v>
      </c>
      <c r="I339" s="41">
        <v>-1</v>
      </c>
    </row>
    <row r="340" spans="1:9" x14ac:dyDescent="0.25">
      <c r="A340" s="21" t="s">
        <v>619</v>
      </c>
      <c r="B340" s="27"/>
      <c r="C340" s="27">
        <v>8425.2999999999993</v>
      </c>
      <c r="D340" s="28">
        <v>-8425.2999999999993</v>
      </c>
      <c r="E340" s="30">
        <v>-1</v>
      </c>
      <c r="F340" s="40"/>
      <c r="G340" s="29">
        <v>34001.279999999999</v>
      </c>
      <c r="H340" s="29">
        <v>-34001.279999999999</v>
      </c>
      <c r="I340" s="41">
        <v>-1</v>
      </c>
    </row>
    <row r="341" spans="1:9" x14ac:dyDescent="0.25">
      <c r="A341" s="21" t="s">
        <v>685</v>
      </c>
      <c r="B341" s="27"/>
      <c r="C341" s="27">
        <v>10158.99</v>
      </c>
      <c r="D341" s="28">
        <v>-10158.99</v>
      </c>
      <c r="E341" s="30">
        <v>-1</v>
      </c>
      <c r="F341" s="40"/>
      <c r="G341" s="29">
        <v>30224.639999999999</v>
      </c>
      <c r="H341" s="29">
        <v>-30224.639999999999</v>
      </c>
      <c r="I341" s="41">
        <v>-1</v>
      </c>
    </row>
    <row r="342" spans="1:9" x14ac:dyDescent="0.25">
      <c r="A342" s="21" t="s">
        <v>1808</v>
      </c>
      <c r="B342" s="27"/>
      <c r="C342" s="27">
        <v>563.11</v>
      </c>
      <c r="D342" s="28">
        <v>-563.11</v>
      </c>
      <c r="E342" s="30">
        <v>-1</v>
      </c>
      <c r="F342" s="40"/>
      <c r="G342" s="29">
        <v>2066.6</v>
      </c>
      <c r="H342" s="29">
        <v>-2066.6</v>
      </c>
      <c r="I342" s="41">
        <v>-1</v>
      </c>
    </row>
    <row r="343" spans="1:9" x14ac:dyDescent="0.25">
      <c r="A343" s="21" t="s">
        <v>1577</v>
      </c>
      <c r="B343" s="27"/>
      <c r="C343" s="27">
        <v>565.49</v>
      </c>
      <c r="D343" s="28">
        <v>-565.49</v>
      </c>
      <c r="E343" s="30">
        <v>-1</v>
      </c>
      <c r="F343" s="40"/>
      <c r="G343" s="29">
        <v>2066.6</v>
      </c>
      <c r="H343" s="29">
        <v>-2066.6</v>
      </c>
      <c r="I343" s="41">
        <v>-1</v>
      </c>
    </row>
    <row r="344" spans="1:9" x14ac:dyDescent="0.25">
      <c r="A344" s="21" t="s">
        <v>680</v>
      </c>
      <c r="B344" s="27"/>
      <c r="C344" s="27">
        <v>7116.6</v>
      </c>
      <c r="D344" s="28">
        <v>-7116.6</v>
      </c>
      <c r="E344" s="30">
        <v>-1</v>
      </c>
      <c r="F344" s="40"/>
      <c r="G344" s="29">
        <v>30222.720000000001</v>
      </c>
      <c r="H344" s="29">
        <v>-30222.720000000001</v>
      </c>
      <c r="I344" s="41">
        <v>-1</v>
      </c>
    </row>
    <row r="345" spans="1:9" x14ac:dyDescent="0.25">
      <c r="A345" s="21" t="s">
        <v>438</v>
      </c>
      <c r="B345" s="27"/>
      <c r="C345" s="27">
        <v>4814.25</v>
      </c>
      <c r="D345" s="28">
        <v>-4814.25</v>
      </c>
      <c r="E345" s="30">
        <v>-1</v>
      </c>
      <c r="F345" s="40"/>
      <c r="G345" s="29">
        <v>11333.52</v>
      </c>
      <c r="H345" s="29">
        <v>-11333.52</v>
      </c>
      <c r="I345" s="41">
        <v>-1</v>
      </c>
    </row>
    <row r="346" spans="1:9" x14ac:dyDescent="0.25">
      <c r="A346" s="21" t="s">
        <v>1325</v>
      </c>
      <c r="B346" s="27"/>
      <c r="C346" s="27">
        <v>14626.66</v>
      </c>
      <c r="D346" s="28">
        <v>-14626.66</v>
      </c>
      <c r="E346" s="30">
        <v>-1</v>
      </c>
      <c r="F346" s="40"/>
      <c r="G346" s="29">
        <v>61612.487999999998</v>
      </c>
      <c r="H346" s="29">
        <v>-61612.487999999998</v>
      </c>
      <c r="I346" s="41">
        <v>-1</v>
      </c>
    </row>
    <row r="347" spans="1:9" x14ac:dyDescent="0.25">
      <c r="A347" s="21" t="s">
        <v>1809</v>
      </c>
      <c r="B347" s="27"/>
      <c r="C347" s="27">
        <v>14464.769999999999</v>
      </c>
      <c r="D347" s="28">
        <v>-14464.769999999999</v>
      </c>
      <c r="E347" s="30">
        <v>-1</v>
      </c>
      <c r="F347" s="40"/>
      <c r="G347" s="29">
        <v>52260.840000000004</v>
      </c>
      <c r="H347" s="29">
        <v>-52260.840000000004</v>
      </c>
      <c r="I347" s="41">
        <v>-1</v>
      </c>
    </row>
    <row r="348" spans="1:9" x14ac:dyDescent="0.25">
      <c r="A348" s="21" t="s">
        <v>682</v>
      </c>
      <c r="B348" s="27"/>
      <c r="C348" s="27">
        <v>4561.92</v>
      </c>
      <c r="D348" s="28">
        <v>-4561.92</v>
      </c>
      <c r="E348" s="30">
        <v>-1</v>
      </c>
      <c r="F348" s="40"/>
      <c r="G348" s="29">
        <v>24800.256000000001</v>
      </c>
      <c r="H348" s="29">
        <v>-24800.256000000001</v>
      </c>
      <c r="I348" s="41">
        <v>-1</v>
      </c>
    </row>
    <row r="349" spans="1:9" x14ac:dyDescent="0.25">
      <c r="A349" s="21" t="s">
        <v>1810</v>
      </c>
      <c r="B349" s="27"/>
      <c r="C349" s="27">
        <v>5613.3</v>
      </c>
      <c r="D349" s="28">
        <v>-5613.3</v>
      </c>
      <c r="E349" s="30">
        <v>-1</v>
      </c>
      <c r="F349" s="40"/>
      <c r="G349" s="29">
        <v>22667.4</v>
      </c>
      <c r="H349" s="29">
        <v>-22667.4</v>
      </c>
      <c r="I349" s="41">
        <v>-1</v>
      </c>
    </row>
    <row r="350" spans="1:9" x14ac:dyDescent="0.25">
      <c r="A350" s="21" t="s">
        <v>679</v>
      </c>
      <c r="B350" s="27"/>
      <c r="C350" s="27">
        <v>9123.84</v>
      </c>
      <c r="D350" s="28">
        <v>-9123.84</v>
      </c>
      <c r="E350" s="30">
        <v>-1</v>
      </c>
      <c r="F350" s="40"/>
      <c r="G350" s="29">
        <v>49600.512000000002</v>
      </c>
      <c r="H350" s="29">
        <v>-49600.512000000002</v>
      </c>
      <c r="I350" s="41">
        <v>-1</v>
      </c>
    </row>
    <row r="351" spans="1:9" x14ac:dyDescent="0.25">
      <c r="A351" s="21" t="s">
        <v>1811</v>
      </c>
      <c r="B351" s="27"/>
      <c r="C351" s="27">
        <v>348.5</v>
      </c>
      <c r="D351" s="28">
        <v>-348.5</v>
      </c>
      <c r="E351" s="30">
        <v>-1</v>
      </c>
      <c r="F351" s="40"/>
      <c r="G351" s="29">
        <v>314.82</v>
      </c>
      <c r="H351" s="29">
        <v>-314.82</v>
      </c>
      <c r="I351" s="41">
        <v>-1</v>
      </c>
    </row>
    <row r="352" spans="1:9" x14ac:dyDescent="0.25">
      <c r="A352" s="21" t="s">
        <v>687</v>
      </c>
      <c r="B352" s="27"/>
      <c r="C352" s="27">
        <v>746.66</v>
      </c>
      <c r="D352" s="28">
        <v>-746.66</v>
      </c>
      <c r="E352" s="30">
        <v>-1</v>
      </c>
      <c r="F352" s="40"/>
      <c r="G352" s="29">
        <v>2833.38</v>
      </c>
      <c r="H352" s="29">
        <v>-2833.38</v>
      </c>
      <c r="I352" s="41">
        <v>-1</v>
      </c>
    </row>
    <row r="353" spans="1:9" x14ac:dyDescent="0.25">
      <c r="A353" s="21" t="s">
        <v>1812</v>
      </c>
      <c r="B353" s="27"/>
      <c r="C353" s="27">
        <v>4419.3599999999997</v>
      </c>
      <c r="D353" s="28">
        <v>-4419.3599999999997</v>
      </c>
      <c r="E353" s="30">
        <v>-1</v>
      </c>
      <c r="F353" s="40"/>
      <c r="G353" s="29">
        <v>24800.256000000001</v>
      </c>
      <c r="H353" s="29">
        <v>-24800.256000000001</v>
      </c>
      <c r="I353" s="41">
        <v>-1</v>
      </c>
    </row>
    <row r="354" spans="1:9" x14ac:dyDescent="0.25">
      <c r="A354" s="21" t="s">
        <v>1608</v>
      </c>
      <c r="B354" s="27"/>
      <c r="C354" s="27">
        <v>4873.18</v>
      </c>
      <c r="D354" s="28">
        <v>-4873.18</v>
      </c>
      <c r="E354" s="30">
        <v>-1</v>
      </c>
      <c r="F354" s="40"/>
      <c r="G354" s="29">
        <v>5304.6</v>
      </c>
      <c r="H354" s="29">
        <v>-5304.6</v>
      </c>
      <c r="I354" s="41">
        <v>-1</v>
      </c>
    </row>
    <row r="355" spans="1:9" x14ac:dyDescent="0.25">
      <c r="A355" s="21" t="s">
        <v>1813</v>
      </c>
      <c r="B355" s="27"/>
      <c r="C355" s="27">
        <v>5136.91</v>
      </c>
      <c r="D355" s="28">
        <v>-5136.91</v>
      </c>
      <c r="E355" s="30">
        <v>-1</v>
      </c>
      <c r="F355" s="40"/>
      <c r="G355" s="29">
        <v>18889.439999999999</v>
      </c>
      <c r="H355" s="29">
        <v>-18889.439999999999</v>
      </c>
      <c r="I355" s="41">
        <v>-1</v>
      </c>
    </row>
    <row r="356" spans="1:9" x14ac:dyDescent="0.25">
      <c r="A356" s="21" t="s">
        <v>1610</v>
      </c>
      <c r="B356" s="27"/>
      <c r="C356" s="27">
        <v>12950.15</v>
      </c>
      <c r="D356" s="28">
        <v>-12950.15</v>
      </c>
      <c r="E356" s="30">
        <v>-1</v>
      </c>
      <c r="F356" s="40"/>
      <c r="G356" s="29">
        <v>45334.080000000002</v>
      </c>
      <c r="H356" s="29">
        <v>-45334.080000000002</v>
      </c>
      <c r="I356" s="41">
        <v>-1</v>
      </c>
    </row>
    <row r="357" spans="1:9" x14ac:dyDescent="0.25">
      <c r="A357" s="21" t="s">
        <v>1814</v>
      </c>
      <c r="B357" s="27"/>
      <c r="C357" s="27">
        <v>12733.46</v>
      </c>
      <c r="D357" s="28">
        <v>-12733.46</v>
      </c>
      <c r="E357" s="30">
        <v>-1</v>
      </c>
      <c r="F357" s="40"/>
      <c r="G357" s="29">
        <v>28865.173999999999</v>
      </c>
      <c r="H357" s="29">
        <v>-28865.173999999999</v>
      </c>
      <c r="I357" s="41">
        <v>-1</v>
      </c>
    </row>
    <row r="358" spans="1:9" x14ac:dyDescent="0.25">
      <c r="A358" s="21" t="s">
        <v>189</v>
      </c>
      <c r="B358" s="27"/>
      <c r="C358" s="27">
        <v>15961.029999999999</v>
      </c>
      <c r="D358" s="28">
        <v>-15961.029999999999</v>
      </c>
      <c r="E358" s="30">
        <v>-1</v>
      </c>
      <c r="F358" s="40"/>
      <c r="G358" s="29">
        <v>67421.52</v>
      </c>
      <c r="H358" s="29">
        <v>-67421.52</v>
      </c>
      <c r="I358" s="41">
        <v>-1</v>
      </c>
    </row>
    <row r="359" spans="1:9" x14ac:dyDescent="0.25">
      <c r="A359" s="21" t="s">
        <v>1282</v>
      </c>
      <c r="B359" s="27"/>
      <c r="C359" s="27">
        <v>841.58</v>
      </c>
      <c r="D359" s="28">
        <v>-841.58</v>
      </c>
      <c r="E359" s="30">
        <v>-1</v>
      </c>
      <c r="F359" s="40"/>
      <c r="G359" s="29">
        <v>606.14400000000001</v>
      </c>
      <c r="H359" s="29">
        <v>-606.14400000000001</v>
      </c>
      <c r="I359" s="41">
        <v>-1</v>
      </c>
    </row>
    <row r="360" spans="1:9" x14ac:dyDescent="0.25">
      <c r="A360" s="21" t="s">
        <v>1310</v>
      </c>
      <c r="B360" s="27"/>
      <c r="C360" s="27">
        <v>3923.25</v>
      </c>
      <c r="D360" s="28">
        <v>-3923.25</v>
      </c>
      <c r="E360" s="30">
        <v>-1</v>
      </c>
      <c r="F360" s="40"/>
      <c r="G360" s="29">
        <v>15111.36</v>
      </c>
      <c r="H360" s="29">
        <v>-15111.36</v>
      </c>
      <c r="I360" s="41">
        <v>-1</v>
      </c>
    </row>
    <row r="361" spans="1:9" x14ac:dyDescent="0.25">
      <c r="A361" s="21" t="s">
        <v>627</v>
      </c>
      <c r="B361" s="27"/>
      <c r="C361" s="27">
        <v>5073.24</v>
      </c>
      <c r="D361" s="28">
        <v>-5073.24</v>
      </c>
      <c r="E361" s="30">
        <v>-1</v>
      </c>
      <c r="F361" s="40"/>
      <c r="G361" s="29">
        <v>15111.36</v>
      </c>
      <c r="H361" s="29">
        <v>-15111.36</v>
      </c>
      <c r="I361" s="41">
        <v>-1</v>
      </c>
    </row>
    <row r="362" spans="1:9" x14ac:dyDescent="0.25">
      <c r="A362" s="21" t="s">
        <v>1815</v>
      </c>
      <c r="B362" s="27"/>
      <c r="C362" s="27">
        <v>320.76</v>
      </c>
      <c r="D362" s="28">
        <v>-320.76</v>
      </c>
      <c r="E362" s="30">
        <v>-1</v>
      </c>
      <c r="F362" s="40"/>
      <c r="G362" s="29">
        <v>1033.2</v>
      </c>
      <c r="H362" s="29">
        <v>-1033.2</v>
      </c>
      <c r="I362" s="41">
        <v>-1</v>
      </c>
    </row>
    <row r="363" spans="1:9" x14ac:dyDescent="0.25">
      <c r="A363" s="21" t="s">
        <v>1277</v>
      </c>
      <c r="B363" s="27"/>
      <c r="C363" s="27">
        <v>182.48</v>
      </c>
      <c r="D363" s="28">
        <v>-182.48</v>
      </c>
      <c r="E363" s="30">
        <v>-1</v>
      </c>
      <c r="F363" s="40"/>
      <c r="G363" s="29">
        <v>113.664</v>
      </c>
      <c r="H363" s="29">
        <v>-113.664</v>
      </c>
      <c r="I363" s="41">
        <v>-1</v>
      </c>
    </row>
    <row r="364" spans="1:9" x14ac:dyDescent="0.25">
      <c r="A364" s="21" t="s">
        <v>531</v>
      </c>
      <c r="B364" s="27"/>
      <c r="C364" s="27">
        <v>17360.95</v>
      </c>
      <c r="D364" s="28">
        <v>-17360.95</v>
      </c>
      <c r="E364" s="30">
        <v>-1</v>
      </c>
      <c r="F364" s="40"/>
      <c r="G364" s="29">
        <v>30222.720000000001</v>
      </c>
      <c r="H364" s="29">
        <v>-30222.720000000001</v>
      </c>
      <c r="I364" s="41">
        <v>-1</v>
      </c>
    </row>
    <row r="365" spans="1:9" x14ac:dyDescent="0.25">
      <c r="A365" s="21" t="s">
        <v>1600</v>
      </c>
      <c r="B365" s="27"/>
      <c r="C365" s="27">
        <v>31785.18</v>
      </c>
      <c r="D365" s="28">
        <v>-31785.18</v>
      </c>
      <c r="E365" s="30">
        <v>-1</v>
      </c>
      <c r="F365" s="40"/>
      <c r="G365" s="29">
        <v>139107.35999999999</v>
      </c>
      <c r="H365" s="29">
        <v>-139107.35999999999</v>
      </c>
      <c r="I365" s="41">
        <v>-1</v>
      </c>
    </row>
    <row r="366" spans="1:9" x14ac:dyDescent="0.25">
      <c r="A366" s="21" t="s">
        <v>1301</v>
      </c>
      <c r="B366" s="27"/>
      <c r="C366" s="27">
        <v>2722.9</v>
      </c>
      <c r="D366" s="28">
        <v>-2722.9</v>
      </c>
      <c r="E366" s="30">
        <v>-1</v>
      </c>
      <c r="F366" s="40"/>
      <c r="G366" s="29">
        <v>12400.2</v>
      </c>
      <c r="H366" s="29">
        <v>-12400.2</v>
      </c>
      <c r="I366" s="41">
        <v>-1</v>
      </c>
    </row>
    <row r="367" spans="1:9" x14ac:dyDescent="0.25">
      <c r="A367" s="21" t="s">
        <v>1293</v>
      </c>
      <c r="B367" s="27"/>
      <c r="C367" s="27">
        <v>8331.2099999999991</v>
      </c>
      <c r="D367" s="28">
        <v>-8331.2099999999991</v>
      </c>
      <c r="E367" s="30">
        <v>-1</v>
      </c>
      <c r="F367" s="40"/>
      <c r="G367" s="29">
        <v>30222.720000000001</v>
      </c>
      <c r="H367" s="29">
        <v>-30222.720000000001</v>
      </c>
      <c r="I367" s="41">
        <v>-1</v>
      </c>
    </row>
    <row r="368" spans="1:9" x14ac:dyDescent="0.25">
      <c r="A368" s="21" t="s">
        <v>1281</v>
      </c>
      <c r="B368" s="27"/>
      <c r="C368" s="27">
        <v>1618.06</v>
      </c>
      <c r="D368" s="28">
        <v>-1618.06</v>
      </c>
      <c r="E368" s="30">
        <v>-1</v>
      </c>
      <c r="F368" s="40"/>
      <c r="G368" s="29">
        <v>6199.8</v>
      </c>
      <c r="H368" s="29">
        <v>-6199.8</v>
      </c>
      <c r="I368" s="41">
        <v>-1</v>
      </c>
    </row>
    <row r="369" spans="1:9" x14ac:dyDescent="0.25">
      <c r="A369" s="21" t="s">
        <v>1816</v>
      </c>
      <c r="B369" s="27"/>
      <c r="C369" s="27">
        <v>2566.08</v>
      </c>
      <c r="D369" s="28">
        <v>-2566.08</v>
      </c>
      <c r="E369" s="30">
        <v>-1</v>
      </c>
      <c r="F369" s="40"/>
      <c r="G369" s="29">
        <v>12400.128000000001</v>
      </c>
      <c r="H369" s="29">
        <v>-12400.128000000001</v>
      </c>
      <c r="I369" s="41">
        <v>-1</v>
      </c>
    </row>
    <row r="370" spans="1:9" x14ac:dyDescent="0.25">
      <c r="A370" s="21" t="s">
        <v>1308</v>
      </c>
      <c r="B370" s="27"/>
      <c r="C370" s="27">
        <v>100.74</v>
      </c>
      <c r="D370" s="28">
        <v>-100.74</v>
      </c>
      <c r="E370" s="30">
        <v>-1</v>
      </c>
      <c r="F370" s="40"/>
      <c r="G370" s="29">
        <v>75.78</v>
      </c>
      <c r="H370" s="29">
        <v>-75.78</v>
      </c>
      <c r="I370" s="41">
        <v>-1</v>
      </c>
    </row>
    <row r="371" spans="1:9" x14ac:dyDescent="0.25">
      <c r="A371" s="21" t="s">
        <v>1817</v>
      </c>
      <c r="B371" s="27"/>
      <c r="C371" s="27">
        <v>285.12</v>
      </c>
      <c r="D371" s="28">
        <v>-285.12</v>
      </c>
      <c r="E371" s="30">
        <v>-1</v>
      </c>
      <c r="F371" s="40"/>
      <c r="G371" s="29">
        <v>454.68</v>
      </c>
      <c r="H371" s="29">
        <v>-454.68</v>
      </c>
      <c r="I371" s="41">
        <v>-1</v>
      </c>
    </row>
    <row r="372" spans="1:9" x14ac:dyDescent="0.25">
      <c r="A372" s="21" t="s">
        <v>1818</v>
      </c>
      <c r="B372" s="27"/>
      <c r="C372" s="27">
        <v>2673</v>
      </c>
      <c r="D372" s="28">
        <v>-2673</v>
      </c>
      <c r="E372" s="30">
        <v>-1</v>
      </c>
      <c r="F372" s="40"/>
      <c r="G372" s="29">
        <v>12398.4</v>
      </c>
      <c r="H372" s="29">
        <v>-12398.4</v>
      </c>
      <c r="I372" s="41">
        <v>-1</v>
      </c>
    </row>
    <row r="373" spans="1:9" x14ac:dyDescent="0.25">
      <c r="A373" s="21" t="s">
        <v>1613</v>
      </c>
      <c r="B373" s="27"/>
      <c r="C373" s="27">
        <v>710.82</v>
      </c>
      <c r="D373" s="28">
        <v>-710.82</v>
      </c>
      <c r="E373" s="30">
        <v>-1</v>
      </c>
      <c r="F373" s="40"/>
      <c r="G373" s="29">
        <v>1155.3</v>
      </c>
      <c r="H373" s="29">
        <v>-1155.3</v>
      </c>
      <c r="I373" s="41">
        <v>-1</v>
      </c>
    </row>
    <row r="374" spans="1:9" x14ac:dyDescent="0.25">
      <c r="A374" s="21" t="s">
        <v>1596</v>
      </c>
      <c r="B374" s="27"/>
      <c r="C374" s="27">
        <v>4181.76</v>
      </c>
      <c r="D374" s="28">
        <v>-4181.76</v>
      </c>
      <c r="E374" s="30">
        <v>-1</v>
      </c>
      <c r="F374" s="40"/>
      <c r="G374" s="29">
        <v>15111.36</v>
      </c>
      <c r="H374" s="29">
        <v>-15111.36</v>
      </c>
      <c r="I374" s="41">
        <v>-1</v>
      </c>
    </row>
    <row r="375" spans="1:9" x14ac:dyDescent="0.25">
      <c r="A375" s="21" t="s">
        <v>1593</v>
      </c>
      <c r="B375" s="27"/>
      <c r="C375" s="27">
        <v>8358.77</v>
      </c>
      <c r="D375" s="28">
        <v>-8358.77</v>
      </c>
      <c r="E375" s="30">
        <v>-1</v>
      </c>
      <c r="F375" s="40"/>
      <c r="G375" s="29">
        <v>18890.400000000001</v>
      </c>
      <c r="H375" s="29">
        <v>-18890.400000000001</v>
      </c>
      <c r="I375" s="41">
        <v>-1</v>
      </c>
    </row>
    <row r="376" spans="1:9" x14ac:dyDescent="0.25">
      <c r="A376" s="21" t="s">
        <v>1303</v>
      </c>
      <c r="B376" s="27"/>
      <c r="C376" s="27">
        <v>4092.9</v>
      </c>
      <c r="D376" s="28">
        <v>-4092.9</v>
      </c>
      <c r="E376" s="30">
        <v>-1</v>
      </c>
      <c r="F376" s="40"/>
      <c r="G376" s="29">
        <v>17000.28</v>
      </c>
      <c r="H376" s="29">
        <v>-17000.28</v>
      </c>
      <c r="I376" s="41">
        <v>-1</v>
      </c>
    </row>
    <row r="377" spans="1:9" x14ac:dyDescent="0.25">
      <c r="A377" s="21" t="s">
        <v>1819</v>
      </c>
      <c r="B377" s="27"/>
      <c r="C377" s="27">
        <v>894.09</v>
      </c>
      <c r="D377" s="28">
        <v>-894.09</v>
      </c>
      <c r="E377" s="30">
        <v>-1</v>
      </c>
      <c r="F377" s="40"/>
      <c r="G377" s="29">
        <v>956.80799999999999</v>
      </c>
      <c r="H377" s="29">
        <v>-956.80799999999999</v>
      </c>
      <c r="I377" s="41">
        <v>-1</v>
      </c>
    </row>
    <row r="378" spans="1:9" x14ac:dyDescent="0.25">
      <c r="A378" s="21" t="s">
        <v>1304</v>
      </c>
      <c r="B378" s="27"/>
      <c r="C378" s="27">
        <v>208.61</v>
      </c>
      <c r="D378" s="28">
        <v>-208.61</v>
      </c>
      <c r="E378" s="30">
        <v>-1</v>
      </c>
      <c r="F378" s="40"/>
      <c r="G378" s="29">
        <v>151.56</v>
      </c>
      <c r="H378" s="29">
        <v>-151.56</v>
      </c>
      <c r="I378" s="41">
        <v>-1</v>
      </c>
    </row>
    <row r="379" spans="1:9" x14ac:dyDescent="0.25">
      <c r="A379" s="21" t="s">
        <v>1592</v>
      </c>
      <c r="B379" s="27"/>
      <c r="C379" s="27">
        <v>168.93</v>
      </c>
      <c r="D379" s="28">
        <v>-168.93</v>
      </c>
      <c r="E379" s="30">
        <v>-1</v>
      </c>
      <c r="F379" s="40"/>
      <c r="G379" s="29">
        <v>68.89</v>
      </c>
      <c r="H379" s="29">
        <v>-68.89</v>
      </c>
      <c r="I379" s="41">
        <v>-1</v>
      </c>
    </row>
    <row r="380" spans="1:9" x14ac:dyDescent="0.25">
      <c r="A380" s="21" t="s">
        <v>1306</v>
      </c>
      <c r="B380" s="27"/>
      <c r="C380" s="27">
        <v>282.74</v>
      </c>
      <c r="D380" s="28">
        <v>-282.74</v>
      </c>
      <c r="E380" s="30">
        <v>-1</v>
      </c>
      <c r="F380" s="40"/>
      <c r="G380" s="29">
        <v>1033.3</v>
      </c>
      <c r="H380" s="29">
        <v>-1033.3</v>
      </c>
      <c r="I380" s="41">
        <v>-1</v>
      </c>
    </row>
    <row r="381" spans="1:9" x14ac:dyDescent="0.25">
      <c r="A381" s="21" t="s">
        <v>1595</v>
      </c>
      <c r="B381" s="27"/>
      <c r="C381" s="27">
        <v>1113.8699999999999</v>
      </c>
      <c r="D381" s="28">
        <v>-1113.8699999999999</v>
      </c>
      <c r="E381" s="30">
        <v>-1</v>
      </c>
      <c r="F381" s="40"/>
      <c r="G381" s="29">
        <v>2518.56</v>
      </c>
      <c r="H381" s="29">
        <v>-2518.56</v>
      </c>
      <c r="I381" s="41">
        <v>-1</v>
      </c>
    </row>
    <row r="382" spans="1:9" x14ac:dyDescent="0.25">
      <c r="A382" s="21" t="s">
        <v>1615</v>
      </c>
      <c r="B382" s="27"/>
      <c r="C382" s="27">
        <v>25549.599999999999</v>
      </c>
      <c r="D382" s="28">
        <v>-25549.599999999999</v>
      </c>
      <c r="E382" s="30">
        <v>-1</v>
      </c>
      <c r="F382" s="40"/>
      <c r="G382" s="29">
        <v>90669.6</v>
      </c>
      <c r="H382" s="29">
        <v>-90669.6</v>
      </c>
      <c r="I382" s="41">
        <v>-1</v>
      </c>
    </row>
    <row r="383" spans="1:9" x14ac:dyDescent="0.25">
      <c r="A383" s="21" t="s">
        <v>1594</v>
      </c>
      <c r="B383" s="27"/>
      <c r="C383" s="27">
        <v>3207.6</v>
      </c>
      <c r="D383" s="28">
        <v>-3207.6</v>
      </c>
      <c r="E383" s="30">
        <v>-1</v>
      </c>
      <c r="F383" s="40"/>
      <c r="G383" s="29">
        <v>12399.6</v>
      </c>
      <c r="H383" s="29">
        <v>-12399.6</v>
      </c>
      <c r="I383" s="41">
        <v>-1</v>
      </c>
    </row>
    <row r="384" spans="1:9" x14ac:dyDescent="0.25">
      <c r="A384" s="21" t="s">
        <v>408</v>
      </c>
      <c r="B384" s="27"/>
      <c r="C384" s="27">
        <v>5317.49</v>
      </c>
      <c r="D384" s="28">
        <v>-5317.49</v>
      </c>
      <c r="E384" s="30">
        <v>-1</v>
      </c>
      <c r="F384" s="40"/>
      <c r="G384" s="29">
        <v>17010.599999999999</v>
      </c>
      <c r="H384" s="29">
        <v>-17010.599999999999</v>
      </c>
      <c r="I384" s="41">
        <v>-1</v>
      </c>
    </row>
    <row r="385" spans="1:9" x14ac:dyDescent="0.25">
      <c r="A385" s="21" t="s">
        <v>1583</v>
      </c>
      <c r="B385" s="27"/>
      <c r="C385" s="27">
        <v>3549.74</v>
      </c>
      <c r="D385" s="28">
        <v>-3549.74</v>
      </c>
      <c r="E385" s="30">
        <v>-1</v>
      </c>
      <c r="F385" s="40"/>
      <c r="G385" s="29">
        <v>12398.4</v>
      </c>
      <c r="H385" s="29">
        <v>-12398.4</v>
      </c>
      <c r="I385" s="41">
        <v>-1</v>
      </c>
    </row>
    <row r="386" spans="1:9" x14ac:dyDescent="0.25">
      <c r="A386" s="21" t="s">
        <v>1599</v>
      </c>
      <c r="B386" s="27"/>
      <c r="C386" s="27">
        <v>6131.26</v>
      </c>
      <c r="D386" s="28">
        <v>-6131.26</v>
      </c>
      <c r="E386" s="30">
        <v>-1</v>
      </c>
      <c r="F386" s="40"/>
      <c r="G386" s="29">
        <v>16370.64</v>
      </c>
      <c r="H386" s="29">
        <v>-16370.64</v>
      </c>
      <c r="I386" s="41">
        <v>-1</v>
      </c>
    </row>
    <row r="387" spans="1:9" x14ac:dyDescent="0.25">
      <c r="A387" s="21" t="s">
        <v>1298</v>
      </c>
      <c r="B387" s="27"/>
      <c r="C387" s="27">
        <v>2330.86</v>
      </c>
      <c r="D387" s="28">
        <v>-2330.86</v>
      </c>
      <c r="E387" s="30">
        <v>-1</v>
      </c>
      <c r="F387" s="40"/>
      <c r="G387" s="29">
        <v>360</v>
      </c>
      <c r="H387" s="29">
        <v>-360</v>
      </c>
      <c r="I387" s="41">
        <v>-1</v>
      </c>
    </row>
    <row r="388" spans="1:9" x14ac:dyDescent="0.25">
      <c r="A388" s="21" t="s">
        <v>1576</v>
      </c>
      <c r="B388" s="27"/>
      <c r="C388" s="27">
        <v>163.94</v>
      </c>
      <c r="D388" s="28">
        <v>-163.94</v>
      </c>
      <c r="E388" s="30">
        <v>-1</v>
      </c>
      <c r="F388" s="40"/>
      <c r="G388" s="29">
        <v>63.378</v>
      </c>
      <c r="H388" s="29">
        <v>-63.378</v>
      </c>
      <c r="I388" s="41">
        <v>-1</v>
      </c>
    </row>
    <row r="389" spans="1:9" x14ac:dyDescent="0.25">
      <c r="A389" s="21" t="s">
        <v>415</v>
      </c>
      <c r="B389" s="27"/>
      <c r="C389" s="27">
        <v>74.13</v>
      </c>
      <c r="D389" s="28">
        <v>-74.13</v>
      </c>
      <c r="E389" s="30">
        <v>-1</v>
      </c>
      <c r="F389" s="40"/>
      <c r="G389" s="29">
        <v>0</v>
      </c>
      <c r="H389" s="29">
        <v>0</v>
      </c>
      <c r="I389" s="41">
        <v>0</v>
      </c>
    </row>
    <row r="390" spans="1:9" x14ac:dyDescent="0.25">
      <c r="A390" s="21" t="s">
        <v>1601</v>
      </c>
      <c r="B390" s="27"/>
      <c r="C390" s="27">
        <v>11147.24</v>
      </c>
      <c r="D390" s="28">
        <v>-11147.24</v>
      </c>
      <c r="E390" s="30">
        <v>-1</v>
      </c>
      <c r="F390" s="40"/>
      <c r="G390" s="29">
        <v>13133.24</v>
      </c>
      <c r="H390" s="29">
        <v>-13133.24</v>
      </c>
      <c r="I390" s="41">
        <v>-1</v>
      </c>
    </row>
    <row r="391" spans="1:9" x14ac:dyDescent="0.25">
      <c r="A391" s="21" t="s">
        <v>1294</v>
      </c>
      <c r="B391" s="27"/>
      <c r="C391" s="27">
        <v>1193.22</v>
      </c>
      <c r="D391" s="28">
        <v>-1193.22</v>
      </c>
      <c r="E391" s="30">
        <v>-1</v>
      </c>
      <c r="F391" s="40"/>
      <c r="G391" s="29">
        <v>4959.84</v>
      </c>
      <c r="H391" s="29">
        <v>-4959.84</v>
      </c>
      <c r="I391" s="41">
        <v>-1</v>
      </c>
    </row>
    <row r="392" spans="1:9" x14ac:dyDescent="0.25">
      <c r="A392" s="21" t="s">
        <v>1588</v>
      </c>
      <c r="B392" s="27"/>
      <c r="C392" s="27">
        <v>84.47</v>
      </c>
      <c r="D392" s="28">
        <v>-84.47</v>
      </c>
      <c r="E392" s="30">
        <v>-1</v>
      </c>
      <c r="F392" s="40"/>
      <c r="G392" s="29">
        <v>103.33</v>
      </c>
      <c r="H392" s="29">
        <v>-103.33</v>
      </c>
      <c r="I392" s="41">
        <v>-1</v>
      </c>
    </row>
    <row r="393" spans="1:9" x14ac:dyDescent="0.25">
      <c r="A393" s="21" t="s">
        <v>368</v>
      </c>
      <c r="B393" s="27"/>
      <c r="C393" s="27">
        <v>14017.92</v>
      </c>
      <c r="D393" s="28">
        <v>-14017.92</v>
      </c>
      <c r="E393" s="30">
        <v>-1</v>
      </c>
      <c r="F393" s="40"/>
      <c r="G393" s="29">
        <v>68001.119999999995</v>
      </c>
      <c r="H393" s="29">
        <v>-68001.119999999995</v>
      </c>
      <c r="I393" s="41">
        <v>-1</v>
      </c>
    </row>
    <row r="394" spans="1:9" x14ac:dyDescent="0.25">
      <c r="A394" s="21" t="s">
        <v>1597</v>
      </c>
      <c r="B394" s="27"/>
      <c r="C394" s="27">
        <v>2722.9</v>
      </c>
      <c r="D394" s="28">
        <v>-2722.9</v>
      </c>
      <c r="E394" s="30">
        <v>-1</v>
      </c>
      <c r="F394" s="40"/>
      <c r="G394" s="29">
        <v>12399.6</v>
      </c>
      <c r="H394" s="29">
        <v>-12399.6</v>
      </c>
      <c r="I394" s="41">
        <v>-1</v>
      </c>
    </row>
    <row r="395" spans="1:9" x14ac:dyDescent="0.25">
      <c r="A395" s="21" t="s">
        <v>1287</v>
      </c>
      <c r="B395" s="27"/>
      <c r="C395" s="27">
        <v>8444.5400000000009</v>
      </c>
      <c r="D395" s="28">
        <v>-8444.5400000000009</v>
      </c>
      <c r="E395" s="30">
        <v>-1</v>
      </c>
      <c r="F395" s="40"/>
      <c r="G395" s="29">
        <v>32937.095999999998</v>
      </c>
      <c r="H395" s="29">
        <v>-32937.095999999998</v>
      </c>
      <c r="I395" s="41">
        <v>-1</v>
      </c>
    </row>
    <row r="396" spans="1:9" x14ac:dyDescent="0.25">
      <c r="A396" s="21" t="s">
        <v>1580</v>
      </c>
      <c r="B396" s="27"/>
      <c r="C396" s="27">
        <v>738.94</v>
      </c>
      <c r="D396" s="28">
        <v>-738.94</v>
      </c>
      <c r="E396" s="30">
        <v>-1</v>
      </c>
      <c r="F396" s="40"/>
      <c r="G396" s="29">
        <v>473.6</v>
      </c>
      <c r="H396" s="29">
        <v>-473.6</v>
      </c>
      <c r="I396" s="41">
        <v>-1</v>
      </c>
    </row>
    <row r="397" spans="1:9" x14ac:dyDescent="0.25">
      <c r="A397" s="21" t="s">
        <v>1820</v>
      </c>
      <c r="B397" s="27"/>
      <c r="C397" s="27">
        <v>4298.18</v>
      </c>
      <c r="D397" s="28">
        <v>-4298.18</v>
      </c>
      <c r="E397" s="30">
        <v>-1</v>
      </c>
      <c r="F397" s="40"/>
      <c r="G397" s="29">
        <v>17000.28</v>
      </c>
      <c r="H397" s="29">
        <v>-17000.28</v>
      </c>
      <c r="I397" s="41">
        <v>-1</v>
      </c>
    </row>
    <row r="398" spans="1:9" x14ac:dyDescent="0.25">
      <c r="A398" s="21" t="s">
        <v>1821</v>
      </c>
      <c r="B398" s="27"/>
      <c r="C398" s="27">
        <v>1378.08</v>
      </c>
      <c r="D398" s="28">
        <v>-1378.08</v>
      </c>
      <c r="E398" s="30">
        <v>-1</v>
      </c>
      <c r="F398" s="40"/>
      <c r="G398" s="29">
        <v>6296.4</v>
      </c>
      <c r="H398" s="29">
        <v>-6296.4</v>
      </c>
      <c r="I398" s="41">
        <v>-1</v>
      </c>
    </row>
    <row r="399" spans="1:9" x14ac:dyDescent="0.25">
      <c r="A399" s="21" t="s">
        <v>1603</v>
      </c>
      <c r="B399" s="27"/>
      <c r="C399" s="27">
        <v>39.200000000000003</v>
      </c>
      <c r="D399" s="28">
        <v>-39.200000000000003</v>
      </c>
      <c r="E399" s="30">
        <v>-1</v>
      </c>
      <c r="F399" s="40"/>
      <c r="G399" s="29">
        <v>56.83</v>
      </c>
      <c r="H399" s="29">
        <v>-56.83</v>
      </c>
      <c r="I399" s="41">
        <v>-1</v>
      </c>
    </row>
    <row r="400" spans="1:9" x14ac:dyDescent="0.25">
      <c r="A400" s="21" t="s">
        <v>577</v>
      </c>
      <c r="B400" s="27"/>
      <c r="C400" s="27">
        <v>77296.039999999994</v>
      </c>
      <c r="D400" s="28">
        <v>-77296.039999999994</v>
      </c>
      <c r="E400" s="30">
        <v>-1</v>
      </c>
      <c r="F400" s="40"/>
      <c r="G400" s="29">
        <v>45462</v>
      </c>
      <c r="H400" s="29">
        <v>-45462</v>
      </c>
      <c r="I400" s="41">
        <v>-1</v>
      </c>
    </row>
    <row r="401" spans="1:9" x14ac:dyDescent="0.25">
      <c r="A401" s="21" t="s">
        <v>1581</v>
      </c>
      <c r="B401" s="27"/>
      <c r="C401" s="27">
        <v>2507.27</v>
      </c>
      <c r="D401" s="28">
        <v>-2507.27</v>
      </c>
      <c r="E401" s="30">
        <v>-1</v>
      </c>
      <c r="F401" s="40"/>
      <c r="G401" s="29">
        <v>9916.83</v>
      </c>
      <c r="H401" s="29">
        <v>-9916.83</v>
      </c>
      <c r="I401" s="41">
        <v>-1</v>
      </c>
    </row>
    <row r="402" spans="1:9" x14ac:dyDescent="0.25">
      <c r="A402" s="21" t="s">
        <v>1604</v>
      </c>
      <c r="B402" s="27"/>
      <c r="C402" s="27">
        <v>1045.5</v>
      </c>
      <c r="D402" s="28">
        <v>-1045.5</v>
      </c>
      <c r="E402" s="30">
        <v>-1</v>
      </c>
      <c r="F402" s="40"/>
      <c r="G402" s="29">
        <v>944.46</v>
      </c>
      <c r="H402" s="29">
        <v>-944.46</v>
      </c>
      <c r="I402" s="41">
        <v>-1</v>
      </c>
    </row>
    <row r="403" spans="1:9" x14ac:dyDescent="0.25">
      <c r="A403" s="21" t="s">
        <v>1614</v>
      </c>
      <c r="B403" s="27"/>
      <c r="C403" s="27">
        <v>2132.46</v>
      </c>
      <c r="D403" s="28">
        <v>-2132.46</v>
      </c>
      <c r="E403" s="30">
        <v>-1</v>
      </c>
      <c r="F403" s="40"/>
      <c r="G403" s="29">
        <v>3465.9</v>
      </c>
      <c r="H403" s="29">
        <v>-3465.9</v>
      </c>
      <c r="I403" s="41">
        <v>-1</v>
      </c>
    </row>
    <row r="404" spans="1:9" x14ac:dyDescent="0.25">
      <c r="A404" s="21" t="s">
        <v>1598</v>
      </c>
      <c r="B404" s="27"/>
      <c r="C404" s="27">
        <v>714.7</v>
      </c>
      <c r="D404" s="28">
        <v>-714.7</v>
      </c>
      <c r="E404" s="30">
        <v>-1</v>
      </c>
      <c r="F404" s="40"/>
      <c r="G404" s="29">
        <v>2893.24</v>
      </c>
      <c r="H404" s="29">
        <v>-2893.24</v>
      </c>
      <c r="I404" s="41">
        <v>-1</v>
      </c>
    </row>
    <row r="405" spans="1:9" x14ac:dyDescent="0.25">
      <c r="A405" s="21" t="s">
        <v>1606</v>
      </c>
      <c r="B405" s="27"/>
      <c r="C405" s="27">
        <v>2091.36</v>
      </c>
      <c r="D405" s="28">
        <v>-2091.36</v>
      </c>
      <c r="E405" s="30">
        <v>-1</v>
      </c>
      <c r="F405" s="40"/>
      <c r="G405" s="29">
        <v>7555.68</v>
      </c>
      <c r="H405" s="29">
        <v>-7555.68</v>
      </c>
      <c r="I405" s="41">
        <v>-1</v>
      </c>
    </row>
    <row r="406" spans="1:9" x14ac:dyDescent="0.25">
      <c r="A406" s="21" t="s">
        <v>1278</v>
      </c>
      <c r="B406" s="27"/>
      <c r="C406" s="27">
        <v>667.66</v>
      </c>
      <c r="D406" s="28">
        <v>-667.66</v>
      </c>
      <c r="E406" s="30">
        <v>-1</v>
      </c>
      <c r="F406" s="40"/>
      <c r="G406" s="29">
        <v>2066.6880000000001</v>
      </c>
      <c r="H406" s="29">
        <v>-2066.6880000000001</v>
      </c>
      <c r="I406" s="41">
        <v>-1</v>
      </c>
    </row>
    <row r="407" spans="1:9" x14ac:dyDescent="0.25">
      <c r="A407" s="21" t="s">
        <v>530</v>
      </c>
      <c r="B407" s="27"/>
      <c r="C407" s="27">
        <v>42380</v>
      </c>
      <c r="D407" s="28">
        <v>-42380</v>
      </c>
      <c r="E407" s="30">
        <v>-1</v>
      </c>
      <c r="F407" s="40"/>
      <c r="G407" s="29">
        <v>78391.176000000007</v>
      </c>
      <c r="H407" s="29">
        <v>-78391.176000000007</v>
      </c>
      <c r="I407" s="41">
        <v>-1</v>
      </c>
    </row>
    <row r="408" spans="1:9" x14ac:dyDescent="0.25">
      <c r="A408" s="21" t="s">
        <v>1607</v>
      </c>
      <c r="B408" s="27"/>
      <c r="C408" s="27">
        <v>2950.99</v>
      </c>
      <c r="D408" s="28">
        <v>-2950.99</v>
      </c>
      <c r="E408" s="30">
        <v>-1</v>
      </c>
      <c r="F408" s="40"/>
      <c r="G408" s="29">
        <v>12399.6</v>
      </c>
      <c r="H408" s="29">
        <v>-12399.6</v>
      </c>
      <c r="I408" s="41">
        <v>-1</v>
      </c>
    </row>
    <row r="409" spans="1:9" x14ac:dyDescent="0.25">
      <c r="A409" s="21" t="s">
        <v>198</v>
      </c>
      <c r="B409" s="27"/>
      <c r="C409" s="27">
        <v>9560.43</v>
      </c>
      <c r="D409" s="28">
        <v>-9560.43</v>
      </c>
      <c r="E409" s="30">
        <v>-1</v>
      </c>
      <c r="F409" s="40"/>
      <c r="G409" s="29">
        <v>16544.094000000001</v>
      </c>
      <c r="H409" s="29">
        <v>-16544.094000000001</v>
      </c>
      <c r="I409" s="41">
        <v>-1</v>
      </c>
    </row>
    <row r="410" spans="1:9" x14ac:dyDescent="0.25">
      <c r="A410" s="21" t="s">
        <v>426</v>
      </c>
      <c r="B410" s="27"/>
      <c r="C410" s="27">
        <v>55617.659999999996</v>
      </c>
      <c r="D410" s="28">
        <v>-55617.659999999996</v>
      </c>
      <c r="E410" s="30">
        <v>-1</v>
      </c>
      <c r="F410" s="40"/>
      <c r="G410" s="29">
        <v>173275.391</v>
      </c>
      <c r="H410" s="29">
        <v>-173275.391</v>
      </c>
      <c r="I410" s="41">
        <v>-1</v>
      </c>
    </row>
    <row r="411" spans="1:9" x14ac:dyDescent="0.25">
      <c r="A411" s="21" t="s">
        <v>1589</v>
      </c>
      <c r="B411" s="27"/>
      <c r="C411" s="27">
        <v>95.04</v>
      </c>
      <c r="D411" s="28">
        <v>-95.04</v>
      </c>
      <c r="E411" s="30">
        <v>-1</v>
      </c>
      <c r="F411" s="40"/>
      <c r="G411" s="29">
        <v>151.56</v>
      </c>
      <c r="H411" s="29">
        <v>-151.56</v>
      </c>
      <c r="I411" s="41">
        <v>-1</v>
      </c>
    </row>
    <row r="412" spans="1:9" x14ac:dyDescent="0.25">
      <c r="A412" s="21" t="s">
        <v>526</v>
      </c>
      <c r="B412" s="27"/>
      <c r="C412" s="27">
        <v>1020.73</v>
      </c>
      <c r="D412" s="28">
        <v>-1020.73</v>
      </c>
      <c r="E412" s="30">
        <v>-1</v>
      </c>
      <c r="F412" s="40"/>
      <c r="G412" s="29">
        <v>3777.84</v>
      </c>
      <c r="H412" s="29">
        <v>-3777.84</v>
      </c>
      <c r="I412" s="41">
        <v>-1</v>
      </c>
    </row>
    <row r="413" spans="1:9" x14ac:dyDescent="0.25">
      <c r="A413" s="21" t="s">
        <v>1591</v>
      </c>
      <c r="B413" s="27"/>
      <c r="C413" s="27">
        <v>39.200000000000003</v>
      </c>
      <c r="D413" s="28">
        <v>-39.200000000000003</v>
      </c>
      <c r="E413" s="30">
        <v>-1</v>
      </c>
      <c r="F413" s="40"/>
      <c r="G413" s="29">
        <v>56.83</v>
      </c>
      <c r="H413" s="29">
        <v>-56.83</v>
      </c>
      <c r="I413" s="41">
        <v>-1</v>
      </c>
    </row>
    <row r="414" spans="1:9" x14ac:dyDescent="0.25">
      <c r="A414" s="21" t="s">
        <v>1324</v>
      </c>
      <c r="B414" s="27"/>
      <c r="C414" s="27">
        <v>613.72</v>
      </c>
      <c r="D414" s="28">
        <v>-613.72</v>
      </c>
      <c r="E414" s="30">
        <v>-1</v>
      </c>
      <c r="F414" s="40"/>
      <c r="G414" s="29">
        <v>2479.92</v>
      </c>
      <c r="H414" s="29">
        <v>-2479.92</v>
      </c>
      <c r="I414" s="41">
        <v>-1</v>
      </c>
    </row>
    <row r="415" spans="1:9" x14ac:dyDescent="0.25">
      <c r="A415" s="21" t="s">
        <v>199</v>
      </c>
      <c r="B415" s="27"/>
      <c r="C415" s="27">
        <v>4698.26</v>
      </c>
      <c r="D415" s="28">
        <v>-4698.26</v>
      </c>
      <c r="E415" s="30">
        <v>-1</v>
      </c>
      <c r="F415" s="40"/>
      <c r="G415" s="29">
        <v>19204.02</v>
      </c>
      <c r="H415" s="29">
        <v>-19204.02</v>
      </c>
      <c r="I415" s="41">
        <v>-1</v>
      </c>
    </row>
    <row r="416" spans="1:9" x14ac:dyDescent="0.25">
      <c r="A416" s="21" t="s">
        <v>1586</v>
      </c>
      <c r="B416" s="27"/>
      <c r="C416" s="27">
        <v>1281.26</v>
      </c>
      <c r="D416" s="28">
        <v>-1281.26</v>
      </c>
      <c r="E416" s="30">
        <v>-1</v>
      </c>
      <c r="F416" s="40"/>
      <c r="G416" s="29">
        <v>5704.86</v>
      </c>
      <c r="H416" s="29">
        <v>-5704.86</v>
      </c>
      <c r="I416" s="41">
        <v>-1</v>
      </c>
    </row>
    <row r="417" spans="1:9" x14ac:dyDescent="0.25">
      <c r="A417" s="21" t="s">
        <v>1280</v>
      </c>
      <c r="B417" s="27"/>
      <c r="C417" s="27">
        <v>5485.71</v>
      </c>
      <c r="D417" s="28">
        <v>-5485.71</v>
      </c>
      <c r="E417" s="30">
        <v>-1</v>
      </c>
      <c r="F417" s="40"/>
      <c r="G417" s="29">
        <v>15111.36</v>
      </c>
      <c r="H417" s="29">
        <v>-15111.36</v>
      </c>
      <c r="I417" s="41">
        <v>-1</v>
      </c>
    </row>
    <row r="418" spans="1:9" x14ac:dyDescent="0.25">
      <c r="A418" s="21" t="s">
        <v>1320</v>
      </c>
      <c r="B418" s="27"/>
      <c r="C418" s="27">
        <v>3143.45</v>
      </c>
      <c r="D418" s="28">
        <v>-3143.45</v>
      </c>
      <c r="E418" s="30">
        <v>-1</v>
      </c>
      <c r="F418" s="40"/>
      <c r="G418" s="29">
        <v>12399.6</v>
      </c>
      <c r="H418" s="29">
        <v>-12399.6</v>
      </c>
      <c r="I418" s="41">
        <v>-1</v>
      </c>
    </row>
    <row r="419" spans="1:9" x14ac:dyDescent="0.25">
      <c r="A419" s="21" t="s">
        <v>613</v>
      </c>
      <c r="B419" s="27"/>
      <c r="C419" s="27">
        <v>1007.42</v>
      </c>
      <c r="D419" s="28">
        <v>-1007.42</v>
      </c>
      <c r="E419" s="30">
        <v>-1</v>
      </c>
      <c r="F419" s="40"/>
      <c r="G419" s="29">
        <v>2066.6999999999998</v>
      </c>
      <c r="H419" s="29">
        <v>-2066.6999999999998</v>
      </c>
      <c r="I419" s="41">
        <v>-1</v>
      </c>
    </row>
    <row r="420" spans="1:9" x14ac:dyDescent="0.25">
      <c r="A420" s="21" t="s">
        <v>1578</v>
      </c>
      <c r="B420" s="27"/>
      <c r="C420" s="27">
        <v>38932.07</v>
      </c>
      <c r="D420" s="28">
        <v>-38932.07</v>
      </c>
      <c r="E420" s="30">
        <v>-1</v>
      </c>
      <c r="F420" s="40"/>
      <c r="G420" s="29">
        <v>22639.96</v>
      </c>
      <c r="H420" s="29">
        <v>-22639.96</v>
      </c>
      <c r="I420" s="41">
        <v>-1</v>
      </c>
    </row>
    <row r="421" spans="1:9" x14ac:dyDescent="0.25">
      <c r="A421" s="21" t="s">
        <v>1291</v>
      </c>
      <c r="B421" s="27"/>
      <c r="C421" s="27">
        <v>778.14</v>
      </c>
      <c r="D421" s="28">
        <v>-778.14</v>
      </c>
      <c r="E421" s="30">
        <v>-1</v>
      </c>
      <c r="F421" s="40"/>
      <c r="G421" s="29">
        <v>3148.2</v>
      </c>
      <c r="H421" s="29">
        <v>-3148.2</v>
      </c>
      <c r="I421" s="41">
        <v>-1</v>
      </c>
    </row>
    <row r="422" spans="1:9" x14ac:dyDescent="0.25">
      <c r="A422" s="21" t="s">
        <v>1822</v>
      </c>
      <c r="B422" s="27"/>
      <c r="C422" s="27">
        <v>8363.52</v>
      </c>
      <c r="D422" s="28">
        <v>-8363.52</v>
      </c>
      <c r="E422" s="30">
        <v>-1</v>
      </c>
      <c r="F422" s="40"/>
      <c r="G422" s="29">
        <v>30222.720000000001</v>
      </c>
      <c r="H422" s="29">
        <v>-30222.720000000001</v>
      </c>
      <c r="I422" s="41">
        <v>-1</v>
      </c>
    </row>
    <row r="423" spans="1:9" x14ac:dyDescent="0.25">
      <c r="A423" s="21" t="s">
        <v>1289</v>
      </c>
      <c r="B423" s="27"/>
      <c r="C423" s="27">
        <v>67624.760000000009</v>
      </c>
      <c r="D423" s="28">
        <v>-67624.760000000009</v>
      </c>
      <c r="E423" s="30">
        <v>-1</v>
      </c>
      <c r="F423" s="40"/>
      <c r="G423" s="29">
        <v>278801.52</v>
      </c>
      <c r="H423" s="29">
        <v>-278801.52</v>
      </c>
      <c r="I423" s="41">
        <v>-1</v>
      </c>
    </row>
    <row r="424" spans="1:9" x14ac:dyDescent="0.25">
      <c r="A424" s="50" t="s">
        <v>32</v>
      </c>
      <c r="B424" s="49">
        <v>5374801.7099999981</v>
      </c>
      <c r="C424" s="43">
        <v>6261360.3999999939</v>
      </c>
      <c r="D424" s="44">
        <v>-886558.69000000041</v>
      </c>
      <c r="E424" s="45">
        <v>-0.14159202367587728</v>
      </c>
      <c r="F424" s="46">
        <v>15063650.589999992</v>
      </c>
      <c r="G424" s="47">
        <v>18225193.963999972</v>
      </c>
      <c r="H424" s="47">
        <v>-3161543.3739999868</v>
      </c>
      <c r="I424" s="48">
        <v>-0.17347104125448265</v>
      </c>
    </row>
    <row r="425" spans="1:9" x14ac:dyDescent="0.25">
      <c r="G425"/>
    </row>
    <row r="426" spans="1:9" x14ac:dyDescent="0.25">
      <c r="G426"/>
    </row>
    <row r="427" spans="1:9" x14ac:dyDescent="0.25">
      <c r="G427"/>
    </row>
    <row r="428" spans="1:9" x14ac:dyDescent="0.25">
      <c r="G428"/>
    </row>
    <row r="429" spans="1:9" x14ac:dyDescent="0.25">
      <c r="G429"/>
    </row>
    <row r="430" spans="1:9" x14ac:dyDescent="0.25">
      <c r="G430"/>
    </row>
    <row r="431" spans="1:9" x14ac:dyDescent="0.25">
      <c r="G431"/>
    </row>
    <row r="432" spans="1:9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  <row r="645" spans="7:7" x14ac:dyDescent="0.25">
      <c r="G645"/>
    </row>
    <row r="646" spans="7:7" x14ac:dyDescent="0.25">
      <c r="G646"/>
    </row>
    <row r="647" spans="7:7" x14ac:dyDescent="0.25">
      <c r="G647"/>
    </row>
    <row r="648" spans="7:7" x14ac:dyDescent="0.25">
      <c r="G648"/>
    </row>
    <row r="649" spans="7:7" x14ac:dyDescent="0.25">
      <c r="G649"/>
    </row>
    <row r="650" spans="7:7" x14ac:dyDescent="0.25">
      <c r="G650"/>
    </row>
    <row r="651" spans="7:7" x14ac:dyDescent="0.25">
      <c r="G651"/>
    </row>
    <row r="652" spans="7:7" x14ac:dyDescent="0.25">
      <c r="G652"/>
    </row>
    <row r="653" spans="7:7" x14ac:dyDescent="0.25">
      <c r="G653"/>
    </row>
    <row r="654" spans="7:7" x14ac:dyDescent="0.25">
      <c r="G654"/>
    </row>
    <row r="655" spans="7:7" x14ac:dyDescent="0.25">
      <c r="G655"/>
    </row>
    <row r="656" spans="7:7" x14ac:dyDescent="0.25">
      <c r="G656"/>
    </row>
    <row r="657" spans="7:7" x14ac:dyDescent="0.25">
      <c r="G657"/>
    </row>
    <row r="658" spans="7:7" x14ac:dyDescent="0.25">
      <c r="G658"/>
    </row>
    <row r="659" spans="7:7" x14ac:dyDescent="0.25">
      <c r="G659"/>
    </row>
    <row r="660" spans="7:7" x14ac:dyDescent="0.25">
      <c r="G660"/>
    </row>
    <row r="661" spans="7:7" x14ac:dyDescent="0.25">
      <c r="G661"/>
    </row>
    <row r="662" spans="7:7" x14ac:dyDescent="0.25">
      <c r="G662"/>
    </row>
    <row r="663" spans="7:7" x14ac:dyDescent="0.25">
      <c r="G663"/>
    </row>
    <row r="664" spans="7:7" x14ac:dyDescent="0.25">
      <c r="G664"/>
    </row>
    <row r="665" spans="7:7" x14ac:dyDescent="0.25">
      <c r="G665"/>
    </row>
    <row r="666" spans="7:7" x14ac:dyDescent="0.25">
      <c r="G666"/>
    </row>
    <row r="667" spans="7:7" x14ac:dyDescent="0.25">
      <c r="G667"/>
    </row>
    <row r="668" spans="7:7" x14ac:dyDescent="0.25">
      <c r="G668"/>
    </row>
    <row r="669" spans="7:7" x14ac:dyDescent="0.25">
      <c r="G669"/>
    </row>
    <row r="670" spans="7:7" x14ac:dyDescent="0.25">
      <c r="G670"/>
    </row>
    <row r="671" spans="7:7" x14ac:dyDescent="0.25">
      <c r="G671"/>
    </row>
    <row r="672" spans="7:7" x14ac:dyDescent="0.25">
      <c r="G672"/>
    </row>
    <row r="673" spans="7:7" x14ac:dyDescent="0.25">
      <c r="G673"/>
    </row>
    <row r="674" spans="7:7" x14ac:dyDescent="0.25">
      <c r="G674"/>
    </row>
    <row r="675" spans="7:7" x14ac:dyDescent="0.25">
      <c r="G675"/>
    </row>
    <row r="676" spans="7:7" x14ac:dyDescent="0.25">
      <c r="G676"/>
    </row>
    <row r="677" spans="7:7" x14ac:dyDescent="0.25">
      <c r="G677"/>
    </row>
    <row r="678" spans="7:7" x14ac:dyDescent="0.25">
      <c r="G678"/>
    </row>
    <row r="679" spans="7:7" x14ac:dyDescent="0.25">
      <c r="G679"/>
    </row>
    <row r="680" spans="7:7" x14ac:dyDescent="0.25">
      <c r="G680"/>
    </row>
    <row r="681" spans="7:7" x14ac:dyDescent="0.25">
      <c r="G681"/>
    </row>
    <row r="682" spans="7:7" x14ac:dyDescent="0.25">
      <c r="G682"/>
    </row>
    <row r="683" spans="7:7" x14ac:dyDescent="0.25">
      <c r="G683"/>
    </row>
    <row r="684" spans="7:7" x14ac:dyDescent="0.25">
      <c r="G684"/>
    </row>
    <row r="685" spans="7:7" x14ac:dyDescent="0.25">
      <c r="G685"/>
    </row>
    <row r="686" spans="7:7" x14ac:dyDescent="0.25">
      <c r="G686"/>
    </row>
    <row r="687" spans="7:7" x14ac:dyDescent="0.25">
      <c r="G687"/>
    </row>
    <row r="688" spans="7:7" x14ac:dyDescent="0.25">
      <c r="G688"/>
    </row>
    <row r="689" spans="7:7" x14ac:dyDescent="0.25">
      <c r="G689"/>
    </row>
    <row r="690" spans="7:7" x14ac:dyDescent="0.25">
      <c r="G690"/>
    </row>
    <row r="691" spans="7:7" x14ac:dyDescent="0.25">
      <c r="G691"/>
    </row>
    <row r="692" spans="7:7" x14ac:dyDescent="0.25">
      <c r="G692"/>
    </row>
    <row r="693" spans="7:7" x14ac:dyDescent="0.25">
      <c r="G693"/>
    </row>
    <row r="694" spans="7:7" x14ac:dyDescent="0.25">
      <c r="G694"/>
    </row>
    <row r="695" spans="7:7" x14ac:dyDescent="0.25">
      <c r="G695"/>
    </row>
    <row r="696" spans="7:7" x14ac:dyDescent="0.25">
      <c r="G696"/>
    </row>
    <row r="697" spans="7:7" x14ac:dyDescent="0.25">
      <c r="G697"/>
    </row>
    <row r="698" spans="7:7" x14ac:dyDescent="0.25">
      <c r="G698"/>
    </row>
    <row r="699" spans="7:7" x14ac:dyDescent="0.25">
      <c r="G699"/>
    </row>
    <row r="700" spans="7:7" x14ac:dyDescent="0.25">
      <c r="G700"/>
    </row>
    <row r="701" spans="7:7" x14ac:dyDescent="0.25">
      <c r="G701"/>
    </row>
    <row r="702" spans="7:7" x14ac:dyDescent="0.25">
      <c r="G702"/>
    </row>
    <row r="703" spans="7:7" x14ac:dyDescent="0.25">
      <c r="G703"/>
    </row>
    <row r="704" spans="7:7" x14ac:dyDescent="0.25">
      <c r="G704"/>
    </row>
    <row r="705" spans="7:7" x14ac:dyDescent="0.25">
      <c r="G705"/>
    </row>
    <row r="706" spans="7:7" x14ac:dyDescent="0.25">
      <c r="G706"/>
    </row>
    <row r="707" spans="7:7" x14ac:dyDescent="0.25">
      <c r="G707"/>
    </row>
    <row r="708" spans="7:7" x14ac:dyDescent="0.25">
      <c r="G708"/>
    </row>
    <row r="709" spans="7:7" x14ac:dyDescent="0.25">
      <c r="G709"/>
    </row>
    <row r="710" spans="7:7" x14ac:dyDescent="0.25">
      <c r="G710"/>
    </row>
    <row r="711" spans="7:7" x14ac:dyDescent="0.25">
      <c r="G711"/>
    </row>
    <row r="712" spans="7:7" x14ac:dyDescent="0.25">
      <c r="G712"/>
    </row>
    <row r="713" spans="7:7" x14ac:dyDescent="0.25">
      <c r="G713"/>
    </row>
    <row r="714" spans="7:7" x14ac:dyDescent="0.25">
      <c r="G714"/>
    </row>
    <row r="715" spans="7:7" x14ac:dyDescent="0.25">
      <c r="G715"/>
    </row>
    <row r="716" spans="7:7" x14ac:dyDescent="0.25">
      <c r="G716"/>
    </row>
    <row r="717" spans="7:7" x14ac:dyDescent="0.25">
      <c r="G717"/>
    </row>
    <row r="718" spans="7:7" x14ac:dyDescent="0.25">
      <c r="G718"/>
    </row>
    <row r="719" spans="7:7" x14ac:dyDescent="0.25">
      <c r="G719"/>
    </row>
    <row r="720" spans="7:7" x14ac:dyDescent="0.25">
      <c r="G720"/>
    </row>
    <row r="721" spans="7:7" x14ac:dyDescent="0.25">
      <c r="G721"/>
    </row>
    <row r="722" spans="7:7" x14ac:dyDescent="0.25">
      <c r="G722"/>
    </row>
    <row r="723" spans="7:7" x14ac:dyDescent="0.25">
      <c r="G723"/>
    </row>
    <row r="724" spans="7:7" x14ac:dyDescent="0.25">
      <c r="G724"/>
    </row>
    <row r="725" spans="7:7" x14ac:dyDescent="0.25">
      <c r="G725"/>
    </row>
    <row r="726" spans="7:7" x14ac:dyDescent="0.25">
      <c r="G726"/>
    </row>
    <row r="727" spans="7:7" x14ac:dyDescent="0.25">
      <c r="G727"/>
    </row>
    <row r="728" spans="7:7" x14ac:dyDescent="0.25">
      <c r="G728"/>
    </row>
    <row r="729" spans="7:7" x14ac:dyDescent="0.25">
      <c r="G729"/>
    </row>
    <row r="730" spans="7:7" x14ac:dyDescent="0.25">
      <c r="G730"/>
    </row>
    <row r="731" spans="7:7" x14ac:dyDescent="0.25">
      <c r="G731"/>
    </row>
    <row r="732" spans="7:7" x14ac:dyDescent="0.25">
      <c r="G732"/>
    </row>
    <row r="733" spans="7:7" x14ac:dyDescent="0.25">
      <c r="G733"/>
    </row>
    <row r="734" spans="7:7" x14ac:dyDescent="0.25">
      <c r="G734"/>
    </row>
    <row r="735" spans="7:7" x14ac:dyDescent="0.25">
      <c r="G735"/>
    </row>
    <row r="736" spans="7:7" x14ac:dyDescent="0.25">
      <c r="G736"/>
    </row>
    <row r="737" spans="7:7" x14ac:dyDescent="0.25">
      <c r="G737"/>
    </row>
    <row r="738" spans="7:7" x14ac:dyDescent="0.25">
      <c r="G738"/>
    </row>
    <row r="739" spans="7:7" x14ac:dyDescent="0.25">
      <c r="G739"/>
    </row>
    <row r="740" spans="7:7" x14ac:dyDescent="0.25">
      <c r="G740"/>
    </row>
    <row r="741" spans="7:7" x14ac:dyDescent="0.25">
      <c r="G741"/>
    </row>
    <row r="742" spans="7:7" x14ac:dyDescent="0.25">
      <c r="G742"/>
    </row>
    <row r="743" spans="7:7" x14ac:dyDescent="0.25">
      <c r="G743"/>
    </row>
    <row r="744" spans="7:7" x14ac:dyDescent="0.25">
      <c r="G744"/>
    </row>
    <row r="745" spans="7:7" x14ac:dyDescent="0.25">
      <c r="G745"/>
    </row>
    <row r="746" spans="7:7" x14ac:dyDescent="0.25">
      <c r="G746"/>
    </row>
    <row r="747" spans="7:7" x14ac:dyDescent="0.25">
      <c r="G747"/>
    </row>
    <row r="748" spans="7:7" x14ac:dyDescent="0.25">
      <c r="G748"/>
    </row>
    <row r="749" spans="7:7" x14ac:dyDescent="0.25">
      <c r="G749"/>
    </row>
    <row r="750" spans="7:7" x14ac:dyDescent="0.25">
      <c r="G750"/>
    </row>
    <row r="751" spans="7:7" x14ac:dyDescent="0.25">
      <c r="G751"/>
    </row>
    <row r="752" spans="7:7" x14ac:dyDescent="0.25">
      <c r="G752"/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7:7" x14ac:dyDescent="0.25">
      <c r="G833"/>
    </row>
    <row r="834" spans="7:7" x14ac:dyDescent="0.25">
      <c r="G834"/>
    </row>
    <row r="835" spans="7:7" x14ac:dyDescent="0.25">
      <c r="G835"/>
    </row>
    <row r="836" spans="7:7" x14ac:dyDescent="0.25">
      <c r="G836"/>
    </row>
    <row r="837" spans="7:7" x14ac:dyDescent="0.25">
      <c r="G837"/>
    </row>
    <row r="838" spans="7:7" x14ac:dyDescent="0.25">
      <c r="G838"/>
    </row>
    <row r="839" spans="7:7" x14ac:dyDescent="0.25">
      <c r="G839"/>
    </row>
    <row r="840" spans="7:7" x14ac:dyDescent="0.25">
      <c r="G840"/>
    </row>
    <row r="841" spans="7:7" x14ac:dyDescent="0.25">
      <c r="G841"/>
    </row>
    <row r="842" spans="7:7" x14ac:dyDescent="0.25">
      <c r="G842"/>
    </row>
    <row r="843" spans="7:7" x14ac:dyDescent="0.25">
      <c r="G843"/>
    </row>
    <row r="844" spans="7:7" x14ac:dyDescent="0.25">
      <c r="G844"/>
    </row>
    <row r="845" spans="7:7" x14ac:dyDescent="0.25">
      <c r="G845"/>
    </row>
    <row r="846" spans="7:7" x14ac:dyDescent="0.25">
      <c r="G846"/>
    </row>
    <row r="847" spans="7:7" x14ac:dyDescent="0.25">
      <c r="G847"/>
    </row>
    <row r="848" spans="7:7" x14ac:dyDescent="0.25">
      <c r="G848"/>
    </row>
    <row r="849" spans="7:7" x14ac:dyDescent="0.25">
      <c r="G849"/>
    </row>
    <row r="850" spans="7:7" x14ac:dyDescent="0.25">
      <c r="G850"/>
    </row>
    <row r="851" spans="7:7" x14ac:dyDescent="0.25">
      <c r="G851"/>
    </row>
    <row r="852" spans="7:7" x14ac:dyDescent="0.25">
      <c r="G852"/>
    </row>
    <row r="853" spans="7:7" x14ac:dyDescent="0.25">
      <c r="G853"/>
    </row>
    <row r="854" spans="7:7" x14ac:dyDescent="0.25">
      <c r="G854"/>
    </row>
    <row r="855" spans="7:7" x14ac:dyDescent="0.25">
      <c r="G855"/>
    </row>
    <row r="856" spans="7:7" x14ac:dyDescent="0.25">
      <c r="G856"/>
    </row>
    <row r="857" spans="7:7" x14ac:dyDescent="0.25">
      <c r="G857"/>
    </row>
    <row r="858" spans="7:7" x14ac:dyDescent="0.25">
      <c r="G858"/>
    </row>
    <row r="859" spans="7:7" x14ac:dyDescent="0.25">
      <c r="G859"/>
    </row>
    <row r="860" spans="7:7" x14ac:dyDescent="0.25">
      <c r="G860"/>
    </row>
    <row r="861" spans="7:7" x14ac:dyDescent="0.25">
      <c r="G861"/>
    </row>
    <row r="862" spans="7:7" x14ac:dyDescent="0.25">
      <c r="G862"/>
    </row>
    <row r="863" spans="7:7" x14ac:dyDescent="0.25">
      <c r="G863"/>
    </row>
    <row r="864" spans="7:7" x14ac:dyDescent="0.25">
      <c r="G864"/>
    </row>
    <row r="865" spans="7:7" x14ac:dyDescent="0.25">
      <c r="G865"/>
    </row>
    <row r="866" spans="7:7" x14ac:dyDescent="0.25">
      <c r="G866"/>
    </row>
    <row r="867" spans="7:7" x14ac:dyDescent="0.25">
      <c r="G867"/>
    </row>
    <row r="868" spans="7:7" x14ac:dyDescent="0.25">
      <c r="G868"/>
    </row>
    <row r="869" spans="7:7" x14ac:dyDescent="0.25">
      <c r="G869"/>
    </row>
    <row r="870" spans="7:7" x14ac:dyDescent="0.25">
      <c r="G870"/>
    </row>
    <row r="871" spans="7:7" x14ac:dyDescent="0.25">
      <c r="G871"/>
    </row>
    <row r="872" spans="7:7" x14ac:dyDescent="0.25">
      <c r="G872"/>
    </row>
    <row r="873" spans="7:7" x14ac:dyDescent="0.25">
      <c r="G873"/>
    </row>
    <row r="874" spans="7:7" x14ac:dyDescent="0.25">
      <c r="G874"/>
    </row>
    <row r="875" spans="7:7" x14ac:dyDescent="0.25">
      <c r="G875"/>
    </row>
    <row r="876" spans="7:7" x14ac:dyDescent="0.25">
      <c r="G876"/>
    </row>
    <row r="877" spans="7:7" x14ac:dyDescent="0.25">
      <c r="G877"/>
    </row>
    <row r="878" spans="7:7" x14ac:dyDescent="0.25">
      <c r="G878"/>
    </row>
    <row r="879" spans="7:7" x14ac:dyDescent="0.25">
      <c r="G879"/>
    </row>
    <row r="880" spans="7:7" x14ac:dyDescent="0.25">
      <c r="G880"/>
    </row>
    <row r="881" spans="7:7" x14ac:dyDescent="0.25">
      <c r="G881"/>
    </row>
    <row r="882" spans="7:7" x14ac:dyDescent="0.25">
      <c r="G882"/>
    </row>
    <row r="883" spans="7:7" x14ac:dyDescent="0.25">
      <c r="G883"/>
    </row>
    <row r="884" spans="7:7" x14ac:dyDescent="0.25">
      <c r="G884"/>
    </row>
    <row r="885" spans="7:7" x14ac:dyDescent="0.25">
      <c r="G885"/>
    </row>
    <row r="886" spans="7:7" x14ac:dyDescent="0.25">
      <c r="G886"/>
    </row>
    <row r="887" spans="7:7" x14ac:dyDescent="0.25">
      <c r="G887"/>
    </row>
    <row r="888" spans="7:7" x14ac:dyDescent="0.25">
      <c r="G888"/>
    </row>
    <row r="889" spans="7:7" x14ac:dyDescent="0.25">
      <c r="G889"/>
    </row>
    <row r="890" spans="7:7" x14ac:dyDescent="0.25">
      <c r="G890"/>
    </row>
    <row r="891" spans="7:7" x14ac:dyDescent="0.25">
      <c r="G891"/>
    </row>
    <row r="892" spans="7:7" x14ac:dyDescent="0.25">
      <c r="G892"/>
    </row>
    <row r="893" spans="7:7" x14ac:dyDescent="0.25">
      <c r="G893"/>
    </row>
    <row r="894" spans="7:7" x14ac:dyDescent="0.25">
      <c r="G894"/>
    </row>
    <row r="895" spans="7:7" x14ac:dyDescent="0.25">
      <c r="G895"/>
    </row>
    <row r="896" spans="7:7" x14ac:dyDescent="0.25">
      <c r="G896"/>
    </row>
    <row r="897" spans="7:7" x14ac:dyDescent="0.25">
      <c r="G897"/>
    </row>
    <row r="898" spans="7:7" x14ac:dyDescent="0.25">
      <c r="G898"/>
    </row>
    <row r="899" spans="7:7" x14ac:dyDescent="0.25">
      <c r="G899"/>
    </row>
    <row r="900" spans="7:7" x14ac:dyDescent="0.25">
      <c r="G900"/>
    </row>
    <row r="901" spans="7:7" x14ac:dyDescent="0.25">
      <c r="G901"/>
    </row>
    <row r="902" spans="7:7" x14ac:dyDescent="0.25">
      <c r="G902"/>
    </row>
    <row r="903" spans="7:7" x14ac:dyDescent="0.25">
      <c r="G903"/>
    </row>
    <row r="904" spans="7:7" x14ac:dyDescent="0.25">
      <c r="G904"/>
    </row>
    <row r="905" spans="7:7" x14ac:dyDescent="0.25">
      <c r="G905"/>
    </row>
    <row r="906" spans="7:7" x14ac:dyDescent="0.25">
      <c r="G906"/>
    </row>
    <row r="907" spans="7:7" x14ac:dyDescent="0.25">
      <c r="G907"/>
    </row>
    <row r="908" spans="7:7" x14ac:dyDescent="0.25">
      <c r="G908"/>
    </row>
    <row r="909" spans="7:7" x14ac:dyDescent="0.25">
      <c r="G909"/>
    </row>
    <row r="910" spans="7:7" x14ac:dyDescent="0.25">
      <c r="G910"/>
    </row>
    <row r="911" spans="7:7" x14ac:dyDescent="0.25">
      <c r="G911"/>
    </row>
    <row r="912" spans="7:7" x14ac:dyDescent="0.25">
      <c r="G912"/>
    </row>
    <row r="913" spans="7:7" x14ac:dyDescent="0.25">
      <c r="G913"/>
    </row>
    <row r="914" spans="7:7" x14ac:dyDescent="0.25">
      <c r="G914"/>
    </row>
    <row r="915" spans="7:7" x14ac:dyDescent="0.25">
      <c r="G915"/>
    </row>
    <row r="916" spans="7:7" x14ac:dyDescent="0.25">
      <c r="G916"/>
    </row>
    <row r="917" spans="7:7" x14ac:dyDescent="0.25">
      <c r="G917"/>
    </row>
    <row r="918" spans="7:7" x14ac:dyDescent="0.25">
      <c r="G918"/>
    </row>
    <row r="919" spans="7:7" x14ac:dyDescent="0.25">
      <c r="G919"/>
    </row>
    <row r="920" spans="7:7" x14ac:dyDescent="0.25">
      <c r="G920"/>
    </row>
    <row r="921" spans="7:7" x14ac:dyDescent="0.25">
      <c r="G921"/>
    </row>
    <row r="922" spans="7:7" x14ac:dyDescent="0.25">
      <c r="G922"/>
    </row>
    <row r="923" spans="7:7" x14ac:dyDescent="0.25">
      <c r="G923"/>
    </row>
    <row r="924" spans="7:7" x14ac:dyDescent="0.25">
      <c r="G924"/>
    </row>
    <row r="925" spans="7:7" x14ac:dyDescent="0.25">
      <c r="G925"/>
    </row>
    <row r="926" spans="7:7" x14ac:dyDescent="0.25">
      <c r="G926"/>
    </row>
    <row r="927" spans="7:7" x14ac:dyDescent="0.25">
      <c r="G927"/>
    </row>
    <row r="928" spans="7:7" x14ac:dyDescent="0.25">
      <c r="G928"/>
    </row>
    <row r="929" spans="7:7" x14ac:dyDescent="0.25">
      <c r="G929"/>
    </row>
    <row r="930" spans="7:7" x14ac:dyDescent="0.25">
      <c r="G930"/>
    </row>
    <row r="931" spans="7:7" x14ac:dyDescent="0.25">
      <c r="G931"/>
    </row>
    <row r="932" spans="7:7" x14ac:dyDescent="0.25">
      <c r="G932"/>
    </row>
    <row r="933" spans="7:7" x14ac:dyDescent="0.25">
      <c r="G933"/>
    </row>
    <row r="934" spans="7:7" x14ac:dyDescent="0.25">
      <c r="G934"/>
    </row>
    <row r="935" spans="7:7" x14ac:dyDescent="0.25">
      <c r="G935"/>
    </row>
    <row r="936" spans="7:7" x14ac:dyDescent="0.25">
      <c r="G936"/>
    </row>
    <row r="937" spans="7:7" x14ac:dyDescent="0.25">
      <c r="G937"/>
    </row>
    <row r="938" spans="7:7" x14ac:dyDescent="0.25">
      <c r="G938"/>
    </row>
    <row r="939" spans="7:7" x14ac:dyDescent="0.25">
      <c r="G939"/>
    </row>
    <row r="940" spans="7:7" x14ac:dyDescent="0.25">
      <c r="G940"/>
    </row>
    <row r="941" spans="7:7" x14ac:dyDescent="0.25">
      <c r="G941"/>
    </row>
    <row r="942" spans="7:7" x14ac:dyDescent="0.25">
      <c r="G942"/>
    </row>
    <row r="943" spans="7:7" x14ac:dyDescent="0.25">
      <c r="G943"/>
    </row>
    <row r="944" spans="7:7" x14ac:dyDescent="0.25">
      <c r="G944"/>
    </row>
    <row r="945" spans="7:7" x14ac:dyDescent="0.25">
      <c r="G945"/>
    </row>
    <row r="946" spans="7:7" x14ac:dyDescent="0.25">
      <c r="G946"/>
    </row>
    <row r="947" spans="7:7" x14ac:dyDescent="0.25">
      <c r="G947"/>
    </row>
    <row r="948" spans="7:7" x14ac:dyDescent="0.25">
      <c r="G948"/>
    </row>
    <row r="949" spans="7:7" x14ac:dyDescent="0.25">
      <c r="G949"/>
    </row>
    <row r="950" spans="7:7" x14ac:dyDescent="0.25">
      <c r="G950"/>
    </row>
    <row r="951" spans="7:7" x14ac:dyDescent="0.25">
      <c r="G951"/>
    </row>
    <row r="952" spans="7:7" x14ac:dyDescent="0.25">
      <c r="G952"/>
    </row>
    <row r="953" spans="7:7" x14ac:dyDescent="0.25">
      <c r="G953"/>
    </row>
    <row r="954" spans="7:7" x14ac:dyDescent="0.25">
      <c r="G954"/>
    </row>
    <row r="955" spans="7:7" x14ac:dyDescent="0.25">
      <c r="G955"/>
    </row>
    <row r="956" spans="7:7" x14ac:dyDescent="0.25">
      <c r="G956"/>
    </row>
    <row r="957" spans="7:7" x14ac:dyDescent="0.25">
      <c r="G957"/>
    </row>
    <row r="958" spans="7:7" x14ac:dyDescent="0.25">
      <c r="G958"/>
    </row>
    <row r="959" spans="7:7" x14ac:dyDescent="0.25">
      <c r="G959"/>
    </row>
    <row r="960" spans="7:7" x14ac:dyDescent="0.25">
      <c r="G960"/>
    </row>
    <row r="961" spans="7:7" x14ac:dyDescent="0.25">
      <c r="G961"/>
    </row>
    <row r="962" spans="7:7" x14ac:dyDescent="0.25">
      <c r="G962"/>
    </row>
    <row r="963" spans="7:7" x14ac:dyDescent="0.25">
      <c r="G963"/>
    </row>
    <row r="964" spans="7:7" x14ac:dyDescent="0.25">
      <c r="G964"/>
    </row>
    <row r="965" spans="7:7" x14ac:dyDescent="0.25">
      <c r="G965"/>
    </row>
    <row r="966" spans="7:7" x14ac:dyDescent="0.25">
      <c r="G966"/>
    </row>
    <row r="967" spans="7:7" x14ac:dyDescent="0.25">
      <c r="G967"/>
    </row>
    <row r="968" spans="7:7" x14ac:dyDescent="0.25">
      <c r="G968"/>
    </row>
    <row r="969" spans="7:7" x14ac:dyDescent="0.25">
      <c r="G969"/>
    </row>
    <row r="970" spans="7:7" x14ac:dyDescent="0.25">
      <c r="G970"/>
    </row>
    <row r="971" spans="7:7" x14ac:dyDescent="0.25">
      <c r="G971"/>
    </row>
    <row r="972" spans="7:7" x14ac:dyDescent="0.25">
      <c r="G972"/>
    </row>
    <row r="973" spans="7:7" x14ac:dyDescent="0.25">
      <c r="G973"/>
    </row>
    <row r="974" spans="7:7" x14ac:dyDescent="0.25">
      <c r="G974"/>
    </row>
    <row r="975" spans="7:7" x14ac:dyDescent="0.25">
      <c r="G975"/>
    </row>
    <row r="976" spans="7:7" x14ac:dyDescent="0.25">
      <c r="G976"/>
    </row>
    <row r="977" spans="7:7" x14ac:dyDescent="0.25">
      <c r="G977"/>
    </row>
    <row r="978" spans="7:7" x14ac:dyDescent="0.25">
      <c r="G978"/>
    </row>
    <row r="979" spans="7:7" x14ac:dyDescent="0.25">
      <c r="G979"/>
    </row>
    <row r="980" spans="7:7" x14ac:dyDescent="0.25">
      <c r="G980"/>
    </row>
    <row r="981" spans="7:7" x14ac:dyDescent="0.25">
      <c r="G981"/>
    </row>
    <row r="982" spans="7:7" x14ac:dyDescent="0.25">
      <c r="G982"/>
    </row>
    <row r="983" spans="7:7" x14ac:dyDescent="0.25">
      <c r="G983"/>
    </row>
    <row r="984" spans="7:7" x14ac:dyDescent="0.25">
      <c r="G984"/>
    </row>
    <row r="985" spans="7:7" x14ac:dyDescent="0.25">
      <c r="G985"/>
    </row>
    <row r="986" spans="7:7" x14ac:dyDescent="0.25">
      <c r="G986"/>
    </row>
    <row r="987" spans="7:7" x14ac:dyDescent="0.25">
      <c r="G987"/>
    </row>
    <row r="988" spans="7:7" x14ac:dyDescent="0.25">
      <c r="G988"/>
    </row>
    <row r="989" spans="7:7" x14ac:dyDescent="0.25">
      <c r="G989"/>
    </row>
    <row r="990" spans="7:7" x14ac:dyDescent="0.25">
      <c r="G990"/>
    </row>
    <row r="991" spans="7:7" x14ac:dyDescent="0.25">
      <c r="G991"/>
    </row>
    <row r="992" spans="7:7" x14ac:dyDescent="0.25">
      <c r="G992"/>
    </row>
    <row r="993" spans="7:7" x14ac:dyDescent="0.25">
      <c r="G993"/>
    </row>
    <row r="994" spans="7:7" x14ac:dyDescent="0.25">
      <c r="G994"/>
    </row>
    <row r="995" spans="7:7" x14ac:dyDescent="0.25">
      <c r="G995"/>
    </row>
    <row r="996" spans="7:7" x14ac:dyDescent="0.25">
      <c r="G996"/>
    </row>
    <row r="997" spans="7:7" x14ac:dyDescent="0.25">
      <c r="G997"/>
    </row>
    <row r="998" spans="7:7" x14ac:dyDescent="0.25">
      <c r="G998"/>
    </row>
    <row r="999" spans="7:7" x14ac:dyDescent="0.25">
      <c r="G999"/>
    </row>
    <row r="1000" spans="7:7" x14ac:dyDescent="0.25">
      <c r="G1000"/>
    </row>
    <row r="1001" spans="7:7" x14ac:dyDescent="0.25">
      <c r="G1001"/>
    </row>
    <row r="1002" spans="7:7" x14ac:dyDescent="0.25">
      <c r="G1002"/>
    </row>
    <row r="1003" spans="7:7" x14ac:dyDescent="0.25">
      <c r="G1003"/>
    </row>
    <row r="1004" spans="7:7" x14ac:dyDescent="0.25">
      <c r="G1004"/>
    </row>
    <row r="1005" spans="7:7" x14ac:dyDescent="0.25">
      <c r="G1005"/>
    </row>
    <row r="1006" spans="7:7" x14ac:dyDescent="0.25">
      <c r="G1006"/>
    </row>
    <row r="1007" spans="7:7" x14ac:dyDescent="0.25">
      <c r="G1007"/>
    </row>
    <row r="1008" spans="7:7" x14ac:dyDescent="0.25">
      <c r="G1008"/>
    </row>
    <row r="1009" spans="7:7" x14ac:dyDescent="0.25">
      <c r="G1009"/>
    </row>
    <row r="1010" spans="7:7" x14ac:dyDescent="0.25">
      <c r="G1010"/>
    </row>
    <row r="1011" spans="7:7" x14ac:dyDescent="0.25">
      <c r="G1011"/>
    </row>
    <row r="1012" spans="7:7" x14ac:dyDescent="0.25">
      <c r="G1012"/>
    </row>
    <row r="1013" spans="7:7" x14ac:dyDescent="0.25">
      <c r="G1013"/>
    </row>
    <row r="1014" spans="7:7" x14ac:dyDescent="0.25">
      <c r="G1014"/>
    </row>
    <row r="1015" spans="7:7" x14ac:dyDescent="0.25">
      <c r="G1015"/>
    </row>
    <row r="1016" spans="7:7" x14ac:dyDescent="0.25">
      <c r="G1016"/>
    </row>
    <row r="1017" spans="7:7" x14ac:dyDescent="0.25">
      <c r="G1017"/>
    </row>
    <row r="1018" spans="7:7" x14ac:dyDescent="0.25">
      <c r="G1018"/>
    </row>
    <row r="1019" spans="7:7" x14ac:dyDescent="0.25">
      <c r="G1019"/>
    </row>
    <row r="1020" spans="7:7" x14ac:dyDescent="0.25">
      <c r="G1020"/>
    </row>
    <row r="1021" spans="7:7" x14ac:dyDescent="0.25">
      <c r="G1021"/>
    </row>
    <row r="1022" spans="7:7" x14ac:dyDescent="0.25">
      <c r="G1022"/>
    </row>
    <row r="1023" spans="7:7" x14ac:dyDescent="0.25">
      <c r="G1023"/>
    </row>
    <row r="1024" spans="7:7" x14ac:dyDescent="0.25">
      <c r="G1024"/>
    </row>
    <row r="1025" spans="7:7" x14ac:dyDescent="0.25">
      <c r="G1025"/>
    </row>
    <row r="1026" spans="7:7" x14ac:dyDescent="0.25">
      <c r="G1026"/>
    </row>
    <row r="1027" spans="7:7" x14ac:dyDescent="0.25">
      <c r="G1027"/>
    </row>
    <row r="1028" spans="7:7" x14ac:dyDescent="0.25">
      <c r="G1028"/>
    </row>
    <row r="1029" spans="7:7" x14ac:dyDescent="0.25">
      <c r="G1029"/>
    </row>
    <row r="1030" spans="7:7" x14ac:dyDescent="0.25">
      <c r="G1030"/>
    </row>
    <row r="1031" spans="7:7" x14ac:dyDescent="0.25">
      <c r="G1031"/>
    </row>
    <row r="1032" spans="7:7" x14ac:dyDescent="0.25">
      <c r="G1032"/>
    </row>
    <row r="1033" spans="7:7" x14ac:dyDescent="0.25">
      <c r="G1033"/>
    </row>
    <row r="1034" spans="7:7" x14ac:dyDescent="0.25">
      <c r="G1034"/>
    </row>
    <row r="1035" spans="7:7" x14ac:dyDescent="0.25">
      <c r="G1035"/>
    </row>
    <row r="1036" spans="7:7" x14ac:dyDescent="0.25">
      <c r="G1036"/>
    </row>
    <row r="1037" spans="7:7" x14ac:dyDescent="0.25">
      <c r="G1037"/>
    </row>
    <row r="1038" spans="7:7" x14ac:dyDescent="0.25">
      <c r="G1038"/>
    </row>
    <row r="1039" spans="7:7" x14ac:dyDescent="0.25">
      <c r="G1039"/>
    </row>
    <row r="1040" spans="7:7" x14ac:dyDescent="0.25">
      <c r="G1040"/>
    </row>
    <row r="1041" spans="7:7" x14ac:dyDescent="0.25">
      <c r="G1041"/>
    </row>
    <row r="1042" spans="7:7" x14ac:dyDescent="0.25">
      <c r="G1042"/>
    </row>
    <row r="1043" spans="7:7" x14ac:dyDescent="0.25">
      <c r="G1043"/>
    </row>
    <row r="1044" spans="7:7" x14ac:dyDescent="0.25">
      <c r="G1044"/>
    </row>
    <row r="1045" spans="7:7" x14ac:dyDescent="0.25">
      <c r="G1045"/>
    </row>
    <row r="1046" spans="7:7" x14ac:dyDescent="0.25">
      <c r="G1046"/>
    </row>
    <row r="1047" spans="7:7" x14ac:dyDescent="0.25">
      <c r="G1047"/>
    </row>
    <row r="1048" spans="7:7" x14ac:dyDescent="0.25">
      <c r="G1048"/>
    </row>
    <row r="1049" spans="7:7" x14ac:dyDescent="0.25">
      <c r="G1049"/>
    </row>
    <row r="1050" spans="7:7" x14ac:dyDescent="0.25">
      <c r="G1050"/>
    </row>
    <row r="1051" spans="7:7" x14ac:dyDescent="0.25">
      <c r="G1051"/>
    </row>
    <row r="1052" spans="7:7" x14ac:dyDescent="0.25">
      <c r="G1052"/>
    </row>
    <row r="1053" spans="7:7" x14ac:dyDescent="0.25">
      <c r="G1053"/>
    </row>
    <row r="1054" spans="7:7" x14ac:dyDescent="0.25">
      <c r="G1054"/>
    </row>
    <row r="1055" spans="7:7" x14ac:dyDescent="0.25">
      <c r="G1055"/>
    </row>
    <row r="1056" spans="7:7" x14ac:dyDescent="0.25">
      <c r="G1056"/>
    </row>
    <row r="1057" spans="7:7" x14ac:dyDescent="0.25">
      <c r="G1057"/>
    </row>
    <row r="1058" spans="7:7" x14ac:dyDescent="0.25">
      <c r="G1058"/>
    </row>
    <row r="1059" spans="7:7" x14ac:dyDescent="0.25">
      <c r="G1059"/>
    </row>
    <row r="1060" spans="7:7" x14ac:dyDescent="0.25">
      <c r="G1060"/>
    </row>
    <row r="1061" spans="7:7" x14ac:dyDescent="0.25">
      <c r="G1061"/>
    </row>
    <row r="1062" spans="7:7" x14ac:dyDescent="0.25">
      <c r="G1062"/>
    </row>
    <row r="1063" spans="7:7" x14ac:dyDescent="0.25">
      <c r="G1063"/>
    </row>
    <row r="1064" spans="7:7" x14ac:dyDescent="0.25">
      <c r="G1064"/>
    </row>
    <row r="1065" spans="7:7" x14ac:dyDescent="0.25">
      <c r="G1065"/>
    </row>
    <row r="1066" spans="7:7" x14ac:dyDescent="0.25">
      <c r="G1066"/>
    </row>
    <row r="1067" spans="7:7" x14ac:dyDescent="0.25">
      <c r="G1067"/>
    </row>
    <row r="1068" spans="7:7" x14ac:dyDescent="0.25">
      <c r="G1068"/>
    </row>
    <row r="1069" spans="7:7" x14ac:dyDescent="0.25">
      <c r="G1069"/>
    </row>
    <row r="1070" spans="7:7" x14ac:dyDescent="0.25">
      <c r="G1070"/>
    </row>
    <row r="1071" spans="7:7" x14ac:dyDescent="0.25">
      <c r="G1071"/>
    </row>
    <row r="1072" spans="7:7" x14ac:dyDescent="0.25">
      <c r="G1072"/>
    </row>
    <row r="1073" spans="7:7" x14ac:dyDescent="0.25">
      <c r="G1073"/>
    </row>
    <row r="1074" spans="7:7" x14ac:dyDescent="0.25">
      <c r="G1074"/>
    </row>
    <row r="1075" spans="7:7" x14ac:dyDescent="0.25">
      <c r="G1075"/>
    </row>
    <row r="1076" spans="7:7" x14ac:dyDescent="0.25">
      <c r="G1076"/>
    </row>
    <row r="1077" spans="7:7" x14ac:dyDescent="0.25">
      <c r="G1077"/>
    </row>
    <row r="1078" spans="7:7" x14ac:dyDescent="0.25">
      <c r="G1078"/>
    </row>
    <row r="1079" spans="7:7" x14ac:dyDescent="0.25">
      <c r="G1079"/>
    </row>
    <row r="1080" spans="7:7" x14ac:dyDescent="0.25">
      <c r="G1080"/>
    </row>
    <row r="1081" spans="7:7" x14ac:dyDescent="0.25">
      <c r="G1081"/>
    </row>
    <row r="1082" spans="7:7" x14ac:dyDescent="0.25">
      <c r="G1082"/>
    </row>
    <row r="1083" spans="7:7" x14ac:dyDescent="0.25">
      <c r="G1083"/>
    </row>
    <row r="1084" spans="7:7" x14ac:dyDescent="0.25">
      <c r="G1084"/>
    </row>
    <row r="1085" spans="7:7" x14ac:dyDescent="0.25">
      <c r="G1085"/>
    </row>
    <row r="1086" spans="7:7" x14ac:dyDescent="0.25">
      <c r="G1086"/>
    </row>
    <row r="1087" spans="7:7" x14ac:dyDescent="0.25">
      <c r="G1087"/>
    </row>
    <row r="1088" spans="7:7" x14ac:dyDescent="0.25">
      <c r="G1088"/>
    </row>
    <row r="1089" spans="7:7" x14ac:dyDescent="0.25">
      <c r="G1089"/>
    </row>
    <row r="1090" spans="7:7" x14ac:dyDescent="0.25">
      <c r="G1090"/>
    </row>
    <row r="1091" spans="7:7" x14ac:dyDescent="0.25">
      <c r="G1091"/>
    </row>
    <row r="1092" spans="7:7" x14ac:dyDescent="0.25">
      <c r="G1092"/>
    </row>
    <row r="1093" spans="7:7" x14ac:dyDescent="0.25">
      <c r="G1093"/>
    </row>
    <row r="1094" spans="7:7" x14ac:dyDescent="0.25">
      <c r="G1094"/>
    </row>
    <row r="1095" spans="7:7" x14ac:dyDescent="0.25">
      <c r="G1095"/>
    </row>
    <row r="1096" spans="7:7" x14ac:dyDescent="0.25">
      <c r="G1096"/>
    </row>
    <row r="1097" spans="7:7" x14ac:dyDescent="0.25">
      <c r="G1097"/>
    </row>
    <row r="1098" spans="7:7" x14ac:dyDescent="0.25">
      <c r="G1098"/>
    </row>
    <row r="1099" spans="7:7" x14ac:dyDescent="0.25">
      <c r="G1099"/>
    </row>
    <row r="1100" spans="7:7" x14ac:dyDescent="0.25">
      <c r="G1100"/>
    </row>
    <row r="1101" spans="7:7" x14ac:dyDescent="0.25">
      <c r="G1101"/>
    </row>
    <row r="1102" spans="7:7" x14ac:dyDescent="0.25">
      <c r="G1102"/>
    </row>
    <row r="1103" spans="7:7" x14ac:dyDescent="0.25">
      <c r="G1103"/>
    </row>
    <row r="1104" spans="7:7" x14ac:dyDescent="0.25">
      <c r="G1104"/>
    </row>
    <row r="1105" spans="7:7" x14ac:dyDescent="0.25">
      <c r="G1105"/>
    </row>
    <row r="1106" spans="7:7" x14ac:dyDescent="0.25">
      <c r="G1106"/>
    </row>
    <row r="1107" spans="7:7" x14ac:dyDescent="0.25">
      <c r="G1107"/>
    </row>
    <row r="1108" spans="7:7" x14ac:dyDescent="0.25">
      <c r="G1108"/>
    </row>
    <row r="1109" spans="7:7" x14ac:dyDescent="0.25">
      <c r="G1109"/>
    </row>
    <row r="1110" spans="7:7" x14ac:dyDescent="0.25">
      <c r="G1110"/>
    </row>
    <row r="1111" spans="7:7" x14ac:dyDescent="0.25">
      <c r="G1111"/>
    </row>
    <row r="1112" spans="7:7" x14ac:dyDescent="0.25">
      <c r="G1112"/>
    </row>
    <row r="1113" spans="7:7" x14ac:dyDescent="0.25">
      <c r="G1113"/>
    </row>
    <row r="1114" spans="7:7" x14ac:dyDescent="0.25">
      <c r="G1114"/>
    </row>
    <row r="1115" spans="7:7" x14ac:dyDescent="0.25">
      <c r="G1115"/>
    </row>
    <row r="1116" spans="7:7" x14ac:dyDescent="0.25">
      <c r="G1116"/>
    </row>
    <row r="1117" spans="7:7" x14ac:dyDescent="0.25">
      <c r="G1117"/>
    </row>
    <row r="1118" spans="7:7" x14ac:dyDescent="0.25">
      <c r="G1118"/>
    </row>
    <row r="1119" spans="7:7" x14ac:dyDescent="0.25">
      <c r="G1119"/>
    </row>
    <row r="1120" spans="7:7" x14ac:dyDescent="0.25">
      <c r="G1120"/>
    </row>
    <row r="1121" spans="7:7" x14ac:dyDescent="0.25">
      <c r="G1121"/>
    </row>
    <row r="1122" spans="7:7" x14ac:dyDescent="0.25">
      <c r="G1122"/>
    </row>
    <row r="1123" spans="7:7" x14ac:dyDescent="0.25">
      <c r="G1123"/>
    </row>
    <row r="1124" spans="7:7" x14ac:dyDescent="0.25">
      <c r="G1124"/>
    </row>
    <row r="1125" spans="7:7" x14ac:dyDescent="0.25">
      <c r="G1125"/>
    </row>
    <row r="1126" spans="7:7" x14ac:dyDescent="0.25">
      <c r="G1126"/>
    </row>
    <row r="1127" spans="7:7" x14ac:dyDescent="0.25">
      <c r="G1127"/>
    </row>
    <row r="1128" spans="7:7" x14ac:dyDescent="0.25">
      <c r="G1128"/>
    </row>
    <row r="1129" spans="7:7" x14ac:dyDescent="0.25">
      <c r="G1129"/>
    </row>
    <row r="1130" spans="7:7" x14ac:dyDescent="0.25">
      <c r="G1130"/>
    </row>
    <row r="1131" spans="7:7" x14ac:dyDescent="0.25">
      <c r="G1131"/>
    </row>
    <row r="1132" spans="7:7" x14ac:dyDescent="0.25">
      <c r="G1132"/>
    </row>
    <row r="1133" spans="7:7" x14ac:dyDescent="0.25">
      <c r="G1133"/>
    </row>
    <row r="1134" spans="7:7" x14ac:dyDescent="0.25">
      <c r="G1134"/>
    </row>
    <row r="1135" spans="7:7" x14ac:dyDescent="0.25">
      <c r="G1135"/>
    </row>
    <row r="1136" spans="7:7" x14ac:dyDescent="0.25">
      <c r="G1136"/>
    </row>
    <row r="1137" spans="7:7" x14ac:dyDescent="0.25">
      <c r="G1137"/>
    </row>
    <row r="1138" spans="7:7" x14ac:dyDescent="0.25">
      <c r="G1138"/>
    </row>
    <row r="1139" spans="7:7" x14ac:dyDescent="0.25">
      <c r="G1139"/>
    </row>
    <row r="1140" spans="7:7" x14ac:dyDescent="0.25">
      <c r="G1140"/>
    </row>
    <row r="1141" spans="7:7" x14ac:dyDescent="0.25">
      <c r="G1141"/>
    </row>
    <row r="1142" spans="7:7" x14ac:dyDescent="0.25">
      <c r="G1142"/>
    </row>
    <row r="1143" spans="7:7" x14ac:dyDescent="0.25">
      <c r="G1143"/>
    </row>
    <row r="1144" spans="7:7" x14ac:dyDescent="0.25">
      <c r="G1144"/>
    </row>
    <row r="1145" spans="7:7" x14ac:dyDescent="0.25">
      <c r="G1145"/>
    </row>
    <row r="1146" spans="7:7" x14ac:dyDescent="0.25">
      <c r="G1146"/>
    </row>
    <row r="1147" spans="7:7" x14ac:dyDescent="0.25">
      <c r="G1147"/>
    </row>
    <row r="1148" spans="7:7" x14ac:dyDescent="0.25">
      <c r="G1148"/>
    </row>
    <row r="1149" spans="7:7" x14ac:dyDescent="0.25">
      <c r="G1149"/>
    </row>
    <row r="1150" spans="7:7" x14ac:dyDescent="0.25">
      <c r="G1150"/>
    </row>
    <row r="1151" spans="7:7" x14ac:dyDescent="0.25">
      <c r="G1151"/>
    </row>
    <row r="1152" spans="7:7" x14ac:dyDescent="0.25">
      <c r="G1152"/>
    </row>
    <row r="1153" spans="7:7" x14ac:dyDescent="0.25">
      <c r="G1153"/>
    </row>
    <row r="1154" spans="7:7" x14ac:dyDescent="0.25">
      <c r="G1154"/>
    </row>
    <row r="1155" spans="7:7" x14ac:dyDescent="0.25">
      <c r="G1155"/>
    </row>
    <row r="1156" spans="7:7" x14ac:dyDescent="0.25">
      <c r="G1156"/>
    </row>
    <row r="1157" spans="7:7" x14ac:dyDescent="0.25">
      <c r="G1157"/>
    </row>
    <row r="1158" spans="7:7" x14ac:dyDescent="0.25">
      <c r="G1158"/>
    </row>
    <row r="1159" spans="7:7" x14ac:dyDescent="0.25">
      <c r="G1159"/>
    </row>
    <row r="1160" spans="7:7" x14ac:dyDescent="0.25">
      <c r="G1160"/>
    </row>
    <row r="1161" spans="7:7" x14ac:dyDescent="0.25">
      <c r="G1161"/>
    </row>
    <row r="1162" spans="7:7" x14ac:dyDescent="0.25">
      <c r="G1162"/>
    </row>
    <row r="1163" spans="7:7" x14ac:dyDescent="0.25">
      <c r="G1163"/>
    </row>
    <row r="1164" spans="7:7" x14ac:dyDescent="0.25">
      <c r="G1164"/>
    </row>
    <row r="1165" spans="7:7" x14ac:dyDescent="0.25">
      <c r="G1165"/>
    </row>
    <row r="1166" spans="7:7" x14ac:dyDescent="0.25">
      <c r="G1166"/>
    </row>
    <row r="1167" spans="7:7" x14ac:dyDescent="0.25">
      <c r="G1167"/>
    </row>
    <row r="1168" spans="7:7" x14ac:dyDescent="0.25">
      <c r="G1168"/>
    </row>
    <row r="1169" spans="7:7" x14ac:dyDescent="0.25">
      <c r="G1169"/>
    </row>
    <row r="1170" spans="7:7" x14ac:dyDescent="0.25">
      <c r="G1170"/>
    </row>
    <row r="1171" spans="7:7" x14ac:dyDescent="0.25">
      <c r="G1171"/>
    </row>
    <row r="1172" spans="7:7" x14ac:dyDescent="0.25">
      <c r="G1172"/>
    </row>
    <row r="1173" spans="7:7" x14ac:dyDescent="0.25">
      <c r="G1173"/>
    </row>
    <row r="1174" spans="7:7" x14ac:dyDescent="0.25">
      <c r="G1174"/>
    </row>
    <row r="1175" spans="7:7" x14ac:dyDescent="0.25">
      <c r="G1175"/>
    </row>
    <row r="1176" spans="7:7" x14ac:dyDescent="0.25">
      <c r="G1176"/>
    </row>
    <row r="1177" spans="7:7" x14ac:dyDescent="0.25">
      <c r="G1177"/>
    </row>
    <row r="1178" spans="7:7" x14ac:dyDescent="0.25">
      <c r="G1178"/>
    </row>
    <row r="1179" spans="7:7" x14ac:dyDescent="0.25">
      <c r="G1179"/>
    </row>
    <row r="1180" spans="7:7" x14ac:dyDescent="0.25">
      <c r="G1180"/>
    </row>
    <row r="1181" spans="7:7" x14ac:dyDescent="0.25">
      <c r="G1181"/>
    </row>
    <row r="1182" spans="7:7" x14ac:dyDescent="0.25">
      <c r="G1182"/>
    </row>
    <row r="1183" spans="7:7" x14ac:dyDescent="0.25">
      <c r="G1183"/>
    </row>
    <row r="1184" spans="7:7" x14ac:dyDescent="0.25">
      <c r="G1184"/>
    </row>
    <row r="1185" spans="7:7" x14ac:dyDescent="0.25">
      <c r="G1185"/>
    </row>
    <row r="1186" spans="7:7" x14ac:dyDescent="0.25">
      <c r="G1186"/>
    </row>
    <row r="1187" spans="7:7" x14ac:dyDescent="0.25">
      <c r="G1187"/>
    </row>
    <row r="1188" spans="7:7" x14ac:dyDescent="0.25">
      <c r="G1188"/>
    </row>
    <row r="1189" spans="7:7" x14ac:dyDescent="0.25">
      <c r="G1189"/>
    </row>
    <row r="1190" spans="7:7" x14ac:dyDescent="0.25">
      <c r="G1190"/>
    </row>
    <row r="1191" spans="7:7" x14ac:dyDescent="0.25">
      <c r="G1191"/>
    </row>
    <row r="1192" spans="7:7" x14ac:dyDescent="0.25">
      <c r="G1192"/>
    </row>
    <row r="1193" spans="7:7" x14ac:dyDescent="0.25">
      <c r="G1193"/>
    </row>
    <row r="1194" spans="7:7" x14ac:dyDescent="0.25">
      <c r="G1194"/>
    </row>
    <row r="1195" spans="7:7" x14ac:dyDescent="0.25">
      <c r="G1195"/>
    </row>
    <row r="1196" spans="7:7" x14ac:dyDescent="0.25">
      <c r="G1196"/>
    </row>
    <row r="1197" spans="7:7" x14ac:dyDescent="0.25">
      <c r="G1197"/>
    </row>
    <row r="1198" spans="7:7" x14ac:dyDescent="0.25">
      <c r="G1198"/>
    </row>
    <row r="1199" spans="7:7" x14ac:dyDescent="0.25">
      <c r="G1199"/>
    </row>
    <row r="1200" spans="7:7" x14ac:dyDescent="0.25">
      <c r="G1200"/>
    </row>
    <row r="1201" spans="7:7" x14ac:dyDescent="0.25">
      <c r="G1201"/>
    </row>
    <row r="1202" spans="7:7" x14ac:dyDescent="0.25">
      <c r="G1202"/>
    </row>
    <row r="1203" spans="7:7" x14ac:dyDescent="0.25">
      <c r="G1203"/>
    </row>
    <row r="1204" spans="7:7" x14ac:dyDescent="0.25">
      <c r="G1204"/>
    </row>
    <row r="1205" spans="7:7" x14ac:dyDescent="0.25">
      <c r="G1205"/>
    </row>
    <row r="1206" spans="7:7" x14ac:dyDescent="0.25">
      <c r="G1206"/>
    </row>
    <row r="1207" spans="7:7" x14ac:dyDescent="0.25">
      <c r="G1207"/>
    </row>
    <row r="1208" spans="7:7" x14ac:dyDescent="0.25">
      <c r="G1208"/>
    </row>
    <row r="1209" spans="7:7" x14ac:dyDescent="0.25">
      <c r="G1209"/>
    </row>
    <row r="1210" spans="7:7" x14ac:dyDescent="0.25">
      <c r="G1210"/>
    </row>
    <row r="1211" spans="7:7" x14ac:dyDescent="0.25">
      <c r="G1211"/>
    </row>
    <row r="1212" spans="7:7" x14ac:dyDescent="0.25">
      <c r="G1212"/>
    </row>
    <row r="1213" spans="7:7" x14ac:dyDescent="0.25">
      <c r="G1213"/>
    </row>
    <row r="1214" spans="7:7" x14ac:dyDescent="0.25">
      <c r="G1214"/>
    </row>
    <row r="1215" spans="7:7" x14ac:dyDescent="0.25">
      <c r="G1215"/>
    </row>
    <row r="1216" spans="7:7" x14ac:dyDescent="0.25">
      <c r="G1216"/>
    </row>
    <row r="1217" spans="7:7" x14ac:dyDescent="0.25">
      <c r="G1217"/>
    </row>
    <row r="1218" spans="7:7" x14ac:dyDescent="0.25">
      <c r="G1218"/>
    </row>
    <row r="1219" spans="7:7" x14ac:dyDescent="0.25">
      <c r="G1219"/>
    </row>
    <row r="1220" spans="7:7" x14ac:dyDescent="0.25">
      <c r="G1220"/>
    </row>
    <row r="1221" spans="7:7" x14ac:dyDescent="0.25">
      <c r="G1221"/>
    </row>
    <row r="1222" spans="7:7" x14ac:dyDescent="0.25">
      <c r="G1222"/>
    </row>
    <row r="1223" spans="7:7" x14ac:dyDescent="0.25">
      <c r="G1223"/>
    </row>
    <row r="1224" spans="7:7" x14ac:dyDescent="0.25">
      <c r="G1224"/>
    </row>
    <row r="1225" spans="7:7" x14ac:dyDescent="0.25">
      <c r="G1225"/>
    </row>
    <row r="1226" spans="7:7" x14ac:dyDescent="0.25">
      <c r="G1226"/>
    </row>
    <row r="1227" spans="7:7" x14ac:dyDescent="0.25">
      <c r="G1227"/>
    </row>
    <row r="1228" spans="7:7" x14ac:dyDescent="0.25">
      <c r="G1228"/>
    </row>
    <row r="1229" spans="7:7" x14ac:dyDescent="0.25">
      <c r="G1229"/>
    </row>
    <row r="1230" spans="7:7" x14ac:dyDescent="0.25">
      <c r="G1230"/>
    </row>
    <row r="1231" spans="7:7" x14ac:dyDescent="0.25">
      <c r="G1231"/>
    </row>
    <row r="1232" spans="7:7" x14ac:dyDescent="0.25">
      <c r="G1232"/>
    </row>
    <row r="1233" spans="7:7" x14ac:dyDescent="0.25">
      <c r="G1233"/>
    </row>
    <row r="1234" spans="7:7" x14ac:dyDescent="0.25">
      <c r="G1234"/>
    </row>
    <row r="1235" spans="7:7" x14ac:dyDescent="0.25">
      <c r="G1235"/>
    </row>
    <row r="1236" spans="7:7" x14ac:dyDescent="0.25">
      <c r="G1236"/>
    </row>
    <row r="1237" spans="7:7" x14ac:dyDescent="0.25">
      <c r="G1237"/>
    </row>
    <row r="1238" spans="7:7" x14ac:dyDescent="0.25">
      <c r="G1238"/>
    </row>
    <row r="1239" spans="7:7" x14ac:dyDescent="0.25">
      <c r="G1239"/>
    </row>
    <row r="1240" spans="7:7" x14ac:dyDescent="0.25">
      <c r="G1240"/>
    </row>
    <row r="1241" spans="7:7" x14ac:dyDescent="0.25">
      <c r="G1241"/>
    </row>
    <row r="1242" spans="7:7" x14ac:dyDescent="0.25">
      <c r="G1242"/>
    </row>
    <row r="1243" spans="7:7" x14ac:dyDescent="0.25">
      <c r="G1243"/>
    </row>
    <row r="1244" spans="7:7" x14ac:dyDescent="0.25">
      <c r="G1244"/>
    </row>
    <row r="1245" spans="7:7" x14ac:dyDescent="0.25">
      <c r="G1245"/>
    </row>
    <row r="1246" spans="7:7" x14ac:dyDescent="0.25">
      <c r="G1246"/>
    </row>
    <row r="1247" spans="7:7" x14ac:dyDescent="0.25">
      <c r="G1247"/>
    </row>
    <row r="1248" spans="7:7" x14ac:dyDescent="0.25">
      <c r="G1248"/>
    </row>
    <row r="1249" spans="7:7" x14ac:dyDescent="0.25">
      <c r="G1249"/>
    </row>
    <row r="1250" spans="7:7" x14ac:dyDescent="0.25">
      <c r="G1250"/>
    </row>
    <row r="1251" spans="7:7" x14ac:dyDescent="0.25">
      <c r="G1251"/>
    </row>
    <row r="1252" spans="7:7" x14ac:dyDescent="0.25">
      <c r="G1252"/>
    </row>
    <row r="1253" spans="7:7" x14ac:dyDescent="0.25">
      <c r="G1253"/>
    </row>
    <row r="1254" spans="7:7" x14ac:dyDescent="0.25">
      <c r="G1254"/>
    </row>
    <row r="1255" spans="7:7" x14ac:dyDescent="0.25">
      <c r="G1255"/>
    </row>
    <row r="1256" spans="7:7" x14ac:dyDescent="0.25">
      <c r="G1256"/>
    </row>
    <row r="1257" spans="7:7" x14ac:dyDescent="0.25">
      <c r="G1257"/>
    </row>
    <row r="1258" spans="7:7" x14ac:dyDescent="0.25">
      <c r="G1258"/>
    </row>
    <row r="1259" spans="7:7" x14ac:dyDescent="0.25">
      <c r="G1259"/>
    </row>
    <row r="1260" spans="7:7" x14ac:dyDescent="0.25">
      <c r="G1260"/>
    </row>
    <row r="1261" spans="7:7" x14ac:dyDescent="0.25">
      <c r="G1261"/>
    </row>
    <row r="1262" spans="7:7" x14ac:dyDescent="0.25">
      <c r="G1262"/>
    </row>
    <row r="1263" spans="7:7" x14ac:dyDescent="0.25">
      <c r="G1263"/>
    </row>
    <row r="1264" spans="7:7" x14ac:dyDescent="0.25">
      <c r="G1264"/>
    </row>
    <row r="1265" spans="7:7" x14ac:dyDescent="0.25">
      <c r="G1265"/>
    </row>
    <row r="1266" spans="7:7" x14ac:dyDescent="0.25">
      <c r="G1266"/>
    </row>
    <row r="1267" spans="7:7" x14ac:dyDescent="0.25">
      <c r="G1267"/>
    </row>
    <row r="1268" spans="7:7" x14ac:dyDescent="0.25">
      <c r="G1268"/>
    </row>
    <row r="1269" spans="7:7" x14ac:dyDescent="0.25">
      <c r="G1269"/>
    </row>
    <row r="1270" spans="7:7" x14ac:dyDescent="0.25">
      <c r="G1270"/>
    </row>
    <row r="1271" spans="7:7" x14ac:dyDescent="0.25">
      <c r="G1271"/>
    </row>
    <row r="1272" spans="7:7" x14ac:dyDescent="0.25">
      <c r="G1272"/>
    </row>
    <row r="1273" spans="7:7" x14ac:dyDescent="0.25">
      <c r="G1273"/>
    </row>
    <row r="1274" spans="7:7" x14ac:dyDescent="0.25">
      <c r="G1274"/>
    </row>
    <row r="1275" spans="7:7" x14ac:dyDescent="0.25">
      <c r="G1275"/>
    </row>
    <row r="1276" spans="7:7" x14ac:dyDescent="0.25">
      <c r="G1276"/>
    </row>
    <row r="1277" spans="7:7" x14ac:dyDescent="0.25">
      <c r="G1277"/>
    </row>
    <row r="1278" spans="7:7" x14ac:dyDescent="0.25">
      <c r="G1278"/>
    </row>
    <row r="1279" spans="7:7" x14ac:dyDescent="0.25">
      <c r="G1279"/>
    </row>
    <row r="1280" spans="7:7" x14ac:dyDescent="0.25">
      <c r="G1280"/>
    </row>
    <row r="1281" spans="7:7" x14ac:dyDescent="0.25">
      <c r="G1281"/>
    </row>
    <row r="1282" spans="7:7" x14ac:dyDescent="0.25">
      <c r="G1282"/>
    </row>
    <row r="1283" spans="7:7" x14ac:dyDescent="0.25">
      <c r="G1283"/>
    </row>
    <row r="1284" spans="7:7" x14ac:dyDescent="0.25">
      <c r="G1284"/>
    </row>
    <row r="1285" spans="7:7" x14ac:dyDescent="0.25">
      <c r="G1285"/>
    </row>
    <row r="1286" spans="7:7" x14ac:dyDescent="0.25">
      <c r="G1286"/>
    </row>
    <row r="1287" spans="7:7" x14ac:dyDescent="0.25">
      <c r="G1287"/>
    </row>
    <row r="1288" spans="7:7" x14ac:dyDescent="0.25">
      <c r="G1288"/>
    </row>
    <row r="1289" spans="7:7" x14ac:dyDescent="0.25">
      <c r="G1289"/>
    </row>
    <row r="1290" spans="7:7" x14ac:dyDescent="0.25">
      <c r="G1290"/>
    </row>
    <row r="1291" spans="7:7" x14ac:dyDescent="0.25">
      <c r="G1291"/>
    </row>
    <row r="1292" spans="7:7" x14ac:dyDescent="0.25">
      <c r="G1292"/>
    </row>
    <row r="1293" spans="7:7" x14ac:dyDescent="0.25">
      <c r="G1293"/>
    </row>
    <row r="1294" spans="7:7" x14ac:dyDescent="0.25">
      <c r="G1294"/>
    </row>
    <row r="1295" spans="7:7" x14ac:dyDescent="0.25">
      <c r="G1295"/>
    </row>
    <row r="1296" spans="7:7" x14ac:dyDescent="0.25">
      <c r="G1296"/>
    </row>
    <row r="1297" spans="7:7" x14ac:dyDescent="0.25">
      <c r="G1297"/>
    </row>
    <row r="1298" spans="7:7" x14ac:dyDescent="0.25">
      <c r="G1298"/>
    </row>
    <row r="1299" spans="7:7" x14ac:dyDescent="0.25">
      <c r="G1299"/>
    </row>
    <row r="1300" spans="7:7" x14ac:dyDescent="0.25">
      <c r="G1300"/>
    </row>
    <row r="1301" spans="7:7" x14ac:dyDescent="0.25">
      <c r="G1301"/>
    </row>
    <row r="1302" spans="7:7" x14ac:dyDescent="0.25">
      <c r="G1302"/>
    </row>
    <row r="1303" spans="7:7" x14ac:dyDescent="0.25">
      <c r="G1303"/>
    </row>
    <row r="1304" spans="7:7" x14ac:dyDescent="0.25">
      <c r="G1304"/>
    </row>
    <row r="1305" spans="7:7" x14ac:dyDescent="0.25">
      <c r="G1305"/>
    </row>
    <row r="1306" spans="7:7" x14ac:dyDescent="0.25">
      <c r="G1306"/>
    </row>
    <row r="1307" spans="7:7" x14ac:dyDescent="0.25">
      <c r="G1307"/>
    </row>
    <row r="1308" spans="7:7" x14ac:dyDescent="0.25">
      <c r="G1308"/>
    </row>
    <row r="1309" spans="7:7" x14ac:dyDescent="0.25">
      <c r="G1309"/>
    </row>
    <row r="1310" spans="7:7" x14ac:dyDescent="0.25">
      <c r="G1310"/>
    </row>
    <row r="1311" spans="7:7" x14ac:dyDescent="0.25">
      <c r="G1311"/>
    </row>
    <row r="1312" spans="7:7" x14ac:dyDescent="0.25">
      <c r="G1312"/>
    </row>
    <row r="1313" spans="7:7" x14ac:dyDescent="0.25">
      <c r="G1313"/>
    </row>
    <row r="1314" spans="7:7" x14ac:dyDescent="0.25">
      <c r="G1314"/>
    </row>
    <row r="1315" spans="7:7" x14ac:dyDescent="0.25">
      <c r="G1315"/>
    </row>
    <row r="1316" spans="7:7" x14ac:dyDescent="0.25">
      <c r="G1316"/>
    </row>
    <row r="1317" spans="7:7" x14ac:dyDescent="0.25">
      <c r="G1317"/>
    </row>
    <row r="1318" spans="7:7" x14ac:dyDescent="0.25">
      <c r="G1318"/>
    </row>
    <row r="1319" spans="7:7" x14ac:dyDescent="0.25">
      <c r="G1319"/>
    </row>
    <row r="1320" spans="7:7" x14ac:dyDescent="0.25">
      <c r="G1320"/>
    </row>
    <row r="1321" spans="7:7" x14ac:dyDescent="0.25">
      <c r="G1321"/>
    </row>
    <row r="1322" spans="7:7" x14ac:dyDescent="0.25">
      <c r="G1322"/>
    </row>
    <row r="1323" spans="7:7" x14ac:dyDescent="0.25">
      <c r="G1323"/>
    </row>
    <row r="1324" spans="7:7" x14ac:dyDescent="0.25">
      <c r="G1324"/>
    </row>
    <row r="1325" spans="7:7" x14ac:dyDescent="0.25">
      <c r="G1325"/>
    </row>
    <row r="1326" spans="7:7" x14ac:dyDescent="0.25">
      <c r="G1326"/>
    </row>
    <row r="1327" spans="7:7" x14ac:dyDescent="0.25">
      <c r="G1327"/>
    </row>
    <row r="1328" spans="7:7" x14ac:dyDescent="0.25">
      <c r="G1328"/>
    </row>
    <row r="1329" spans="7:7" x14ac:dyDescent="0.25">
      <c r="G1329"/>
    </row>
    <row r="1330" spans="7:7" x14ac:dyDescent="0.25">
      <c r="G1330"/>
    </row>
    <row r="1331" spans="7:7" x14ac:dyDescent="0.25">
      <c r="G1331"/>
    </row>
    <row r="1332" spans="7:7" x14ac:dyDescent="0.25">
      <c r="G1332"/>
    </row>
    <row r="1333" spans="7:7" x14ac:dyDescent="0.25">
      <c r="G1333"/>
    </row>
    <row r="1334" spans="7:7" x14ac:dyDescent="0.25">
      <c r="G1334"/>
    </row>
    <row r="1335" spans="7:7" x14ac:dyDescent="0.25">
      <c r="G1335"/>
    </row>
    <row r="1336" spans="7:7" x14ac:dyDescent="0.25">
      <c r="G1336"/>
    </row>
    <row r="1337" spans="7:7" x14ac:dyDescent="0.25">
      <c r="G1337"/>
    </row>
    <row r="1338" spans="7:7" x14ac:dyDescent="0.25">
      <c r="G1338"/>
    </row>
    <row r="1339" spans="7:7" x14ac:dyDescent="0.25">
      <c r="G1339"/>
    </row>
    <row r="1340" spans="7:7" x14ac:dyDescent="0.25">
      <c r="G1340"/>
    </row>
    <row r="1341" spans="7:7" x14ac:dyDescent="0.25">
      <c r="G1341"/>
    </row>
    <row r="1342" spans="7:7" x14ac:dyDescent="0.25">
      <c r="G1342"/>
    </row>
    <row r="1343" spans="7:7" x14ac:dyDescent="0.25">
      <c r="G1343"/>
    </row>
    <row r="1344" spans="7:7" x14ac:dyDescent="0.25">
      <c r="G1344"/>
    </row>
    <row r="1345" spans="7:7" x14ac:dyDescent="0.25">
      <c r="G1345"/>
    </row>
    <row r="1346" spans="7:7" x14ac:dyDescent="0.25">
      <c r="G1346"/>
    </row>
    <row r="1347" spans="7:7" x14ac:dyDescent="0.25">
      <c r="G1347"/>
    </row>
    <row r="1348" spans="7:7" x14ac:dyDescent="0.25">
      <c r="G1348"/>
    </row>
    <row r="1349" spans="7:7" x14ac:dyDescent="0.25">
      <c r="G1349"/>
    </row>
    <row r="1350" spans="7:7" x14ac:dyDescent="0.25">
      <c r="G1350"/>
    </row>
    <row r="1351" spans="7:7" x14ac:dyDescent="0.25">
      <c r="G1351"/>
    </row>
    <row r="1352" spans="7:7" x14ac:dyDescent="0.25">
      <c r="G1352"/>
    </row>
    <row r="1353" spans="7:7" x14ac:dyDescent="0.25">
      <c r="G1353"/>
    </row>
    <row r="1354" spans="7:7" x14ac:dyDescent="0.25">
      <c r="G1354"/>
    </row>
    <row r="1355" spans="7:7" x14ac:dyDescent="0.25">
      <c r="G1355"/>
    </row>
    <row r="1356" spans="7:7" x14ac:dyDescent="0.25">
      <c r="G1356"/>
    </row>
    <row r="1357" spans="7:7" x14ac:dyDescent="0.25">
      <c r="G1357"/>
    </row>
    <row r="1358" spans="7:7" x14ac:dyDescent="0.25">
      <c r="G1358"/>
    </row>
    <row r="1359" spans="7:7" x14ac:dyDescent="0.25">
      <c r="G1359"/>
    </row>
    <row r="1360" spans="7:7" x14ac:dyDescent="0.25">
      <c r="G1360"/>
    </row>
    <row r="1361" spans="7:7" x14ac:dyDescent="0.25">
      <c r="G1361"/>
    </row>
    <row r="1362" spans="7:7" x14ac:dyDescent="0.25">
      <c r="G1362"/>
    </row>
    <row r="1363" spans="7:7" x14ac:dyDescent="0.25">
      <c r="G1363"/>
    </row>
    <row r="1364" spans="7:7" x14ac:dyDescent="0.25">
      <c r="G1364"/>
    </row>
    <row r="1365" spans="7:7" x14ac:dyDescent="0.25">
      <c r="G1365"/>
    </row>
    <row r="1366" spans="7:7" x14ac:dyDescent="0.25">
      <c r="G1366"/>
    </row>
    <row r="1367" spans="7:7" x14ac:dyDescent="0.25">
      <c r="G1367"/>
    </row>
    <row r="1368" spans="7:7" x14ac:dyDescent="0.25">
      <c r="G1368"/>
    </row>
    <row r="1369" spans="7:7" x14ac:dyDescent="0.25">
      <c r="G1369"/>
    </row>
    <row r="1370" spans="7:7" x14ac:dyDescent="0.25">
      <c r="G1370"/>
    </row>
    <row r="1371" spans="7:7" x14ac:dyDescent="0.25">
      <c r="G1371"/>
    </row>
    <row r="1372" spans="7:7" x14ac:dyDescent="0.25">
      <c r="G1372"/>
    </row>
    <row r="1373" spans="7:7" x14ac:dyDescent="0.25">
      <c r="G1373"/>
    </row>
    <row r="1374" spans="7:7" x14ac:dyDescent="0.25">
      <c r="G1374"/>
    </row>
    <row r="1375" spans="7:7" x14ac:dyDescent="0.25">
      <c r="G1375"/>
    </row>
    <row r="1376" spans="7:7" x14ac:dyDescent="0.25">
      <c r="G1376"/>
    </row>
    <row r="1377" spans="7:7" x14ac:dyDescent="0.25">
      <c r="G1377"/>
    </row>
    <row r="1378" spans="7:7" x14ac:dyDescent="0.25">
      <c r="G1378"/>
    </row>
    <row r="1379" spans="7:7" x14ac:dyDescent="0.25">
      <c r="G1379"/>
    </row>
    <row r="1380" spans="7:7" x14ac:dyDescent="0.25">
      <c r="G1380"/>
    </row>
    <row r="1381" spans="7:7" x14ac:dyDescent="0.25">
      <c r="G1381"/>
    </row>
    <row r="1382" spans="7:7" x14ac:dyDescent="0.25">
      <c r="G1382"/>
    </row>
    <row r="1383" spans="7:7" x14ac:dyDescent="0.25">
      <c r="G1383"/>
    </row>
    <row r="1384" spans="7:7" x14ac:dyDescent="0.25">
      <c r="G1384"/>
    </row>
    <row r="1385" spans="7:7" x14ac:dyDescent="0.25">
      <c r="G1385"/>
    </row>
    <row r="1386" spans="7:7" x14ac:dyDescent="0.25">
      <c r="G1386"/>
    </row>
    <row r="1387" spans="7:7" x14ac:dyDescent="0.25">
      <c r="G1387"/>
    </row>
    <row r="1388" spans="7:7" x14ac:dyDescent="0.25">
      <c r="G1388"/>
    </row>
    <row r="1389" spans="7:7" x14ac:dyDescent="0.25">
      <c r="G1389"/>
    </row>
    <row r="1390" spans="7:7" x14ac:dyDescent="0.25">
      <c r="G1390"/>
    </row>
    <row r="1391" spans="7:7" x14ac:dyDescent="0.25">
      <c r="G1391"/>
    </row>
    <row r="1392" spans="7:7" x14ac:dyDescent="0.25">
      <c r="G1392"/>
    </row>
    <row r="1393" spans="7:7" x14ac:dyDescent="0.25">
      <c r="G1393"/>
    </row>
    <row r="1394" spans="7:7" x14ac:dyDescent="0.25">
      <c r="G1394"/>
    </row>
    <row r="1395" spans="7:7" x14ac:dyDescent="0.25">
      <c r="G1395"/>
    </row>
    <row r="1396" spans="7:7" x14ac:dyDescent="0.25">
      <c r="G1396"/>
    </row>
    <row r="1397" spans="7:7" x14ac:dyDescent="0.25">
      <c r="G1397"/>
    </row>
    <row r="1398" spans="7:7" x14ac:dyDescent="0.25">
      <c r="G1398"/>
    </row>
    <row r="1399" spans="7:7" x14ac:dyDescent="0.25">
      <c r="G1399"/>
    </row>
    <row r="1400" spans="7:7" x14ac:dyDescent="0.25">
      <c r="G1400"/>
    </row>
    <row r="1401" spans="7:7" x14ac:dyDescent="0.25">
      <c r="G1401"/>
    </row>
    <row r="1402" spans="7:7" x14ac:dyDescent="0.25">
      <c r="G1402"/>
    </row>
    <row r="1403" spans="7:7" x14ac:dyDescent="0.25">
      <c r="G1403"/>
    </row>
    <row r="1404" spans="7:7" x14ac:dyDescent="0.25">
      <c r="G1404"/>
    </row>
    <row r="1405" spans="7:7" x14ac:dyDescent="0.25">
      <c r="G1405"/>
    </row>
    <row r="1406" spans="7:7" x14ac:dyDescent="0.25">
      <c r="G1406"/>
    </row>
    <row r="1407" spans="7:7" x14ac:dyDescent="0.25">
      <c r="G1407"/>
    </row>
    <row r="1408" spans="7:7" x14ac:dyDescent="0.25">
      <c r="G1408"/>
    </row>
    <row r="1409" spans="7:7" x14ac:dyDescent="0.25">
      <c r="G1409"/>
    </row>
    <row r="1410" spans="7:7" x14ac:dyDescent="0.25">
      <c r="G1410"/>
    </row>
    <row r="1411" spans="7:7" x14ac:dyDescent="0.25">
      <c r="G1411"/>
    </row>
    <row r="1412" spans="7:7" x14ac:dyDescent="0.25">
      <c r="G1412"/>
    </row>
    <row r="1413" spans="7:7" x14ac:dyDescent="0.25">
      <c r="G1413"/>
    </row>
    <row r="1414" spans="7:7" x14ac:dyDescent="0.25">
      <c r="G1414"/>
    </row>
    <row r="1415" spans="7:7" x14ac:dyDescent="0.25">
      <c r="G1415"/>
    </row>
    <row r="1416" spans="7:7" x14ac:dyDescent="0.25">
      <c r="G1416"/>
    </row>
    <row r="1417" spans="7:7" x14ac:dyDescent="0.25">
      <c r="G1417"/>
    </row>
    <row r="1418" spans="7:7" x14ac:dyDescent="0.25">
      <c r="G1418"/>
    </row>
    <row r="1419" spans="7:7" x14ac:dyDescent="0.25">
      <c r="G1419"/>
    </row>
    <row r="1420" spans="7:7" x14ac:dyDescent="0.25">
      <c r="G1420"/>
    </row>
    <row r="1421" spans="7:7" x14ac:dyDescent="0.25">
      <c r="G1421"/>
    </row>
    <row r="1422" spans="7:7" x14ac:dyDescent="0.25">
      <c r="G1422"/>
    </row>
    <row r="1423" spans="7:7" x14ac:dyDescent="0.25">
      <c r="G1423"/>
    </row>
    <row r="1424" spans="7:7" x14ac:dyDescent="0.25">
      <c r="G1424"/>
    </row>
    <row r="1425" spans="7:7" x14ac:dyDescent="0.25">
      <c r="G1425"/>
    </row>
    <row r="1426" spans="7:7" x14ac:dyDescent="0.25">
      <c r="G1426"/>
    </row>
    <row r="1427" spans="7:7" x14ac:dyDescent="0.25">
      <c r="G1427"/>
    </row>
    <row r="1428" spans="7:7" x14ac:dyDescent="0.25">
      <c r="G1428"/>
    </row>
    <row r="1429" spans="7:7" x14ac:dyDescent="0.25">
      <c r="G1429"/>
    </row>
    <row r="1430" spans="7:7" x14ac:dyDescent="0.25">
      <c r="G1430"/>
    </row>
    <row r="1431" spans="7:7" x14ac:dyDescent="0.25">
      <c r="G1431"/>
    </row>
    <row r="1432" spans="7:7" x14ac:dyDescent="0.25">
      <c r="G1432"/>
    </row>
    <row r="1433" spans="7:7" x14ac:dyDescent="0.25">
      <c r="G1433"/>
    </row>
    <row r="1434" spans="7:7" x14ac:dyDescent="0.25">
      <c r="G1434"/>
    </row>
    <row r="1435" spans="7:7" x14ac:dyDescent="0.25">
      <c r="G1435"/>
    </row>
    <row r="1436" spans="7:7" x14ac:dyDescent="0.25">
      <c r="G1436"/>
    </row>
    <row r="1437" spans="7:7" x14ac:dyDescent="0.25">
      <c r="G1437"/>
    </row>
    <row r="1438" spans="7:7" x14ac:dyDescent="0.25">
      <c r="G1438"/>
    </row>
    <row r="1439" spans="7:7" x14ac:dyDescent="0.25">
      <c r="G1439"/>
    </row>
    <row r="1440" spans="7:7" x14ac:dyDescent="0.25">
      <c r="G1440"/>
    </row>
    <row r="1441" spans="7:7" x14ac:dyDescent="0.25">
      <c r="G1441"/>
    </row>
    <row r="1442" spans="7:7" x14ac:dyDescent="0.25">
      <c r="G1442"/>
    </row>
    <row r="1443" spans="7:7" x14ac:dyDescent="0.25">
      <c r="G1443"/>
    </row>
    <row r="1444" spans="7:7" x14ac:dyDescent="0.25">
      <c r="G1444"/>
    </row>
    <row r="1445" spans="7:7" x14ac:dyDescent="0.25">
      <c r="G1445"/>
    </row>
    <row r="1446" spans="7:7" x14ac:dyDescent="0.25">
      <c r="G1446"/>
    </row>
    <row r="1447" spans="7:7" x14ac:dyDescent="0.25">
      <c r="G1447"/>
    </row>
    <row r="1448" spans="7:7" x14ac:dyDescent="0.25">
      <c r="G1448"/>
    </row>
    <row r="1449" spans="7:7" x14ac:dyDescent="0.25">
      <c r="G1449"/>
    </row>
    <row r="1450" spans="7:7" x14ac:dyDescent="0.25">
      <c r="G1450"/>
    </row>
    <row r="1451" spans="7:7" x14ac:dyDescent="0.25">
      <c r="G1451"/>
    </row>
    <row r="1452" spans="7:7" x14ac:dyDescent="0.25">
      <c r="G1452"/>
    </row>
    <row r="1453" spans="7:7" x14ac:dyDescent="0.25">
      <c r="G1453"/>
    </row>
    <row r="1454" spans="7:7" x14ac:dyDescent="0.25">
      <c r="G1454"/>
    </row>
    <row r="1455" spans="7:7" x14ac:dyDescent="0.25">
      <c r="G1455"/>
    </row>
    <row r="1456" spans="7:7" x14ac:dyDescent="0.25">
      <c r="G1456"/>
    </row>
    <row r="1457" spans="7:7" x14ac:dyDescent="0.25">
      <c r="G1457"/>
    </row>
    <row r="1458" spans="7:7" x14ac:dyDescent="0.25">
      <c r="G1458"/>
    </row>
    <row r="1459" spans="7:7" x14ac:dyDescent="0.25">
      <c r="G1459"/>
    </row>
    <row r="1460" spans="7:7" x14ac:dyDescent="0.25">
      <c r="G1460"/>
    </row>
    <row r="1461" spans="7:7" x14ac:dyDescent="0.25">
      <c r="G1461"/>
    </row>
    <row r="1462" spans="7:7" x14ac:dyDescent="0.25">
      <c r="G1462"/>
    </row>
    <row r="1463" spans="7:7" x14ac:dyDescent="0.25">
      <c r="G1463"/>
    </row>
    <row r="1464" spans="7:7" x14ac:dyDescent="0.25">
      <c r="G1464"/>
    </row>
    <row r="1465" spans="7:7" x14ac:dyDescent="0.25">
      <c r="G1465"/>
    </row>
    <row r="1466" spans="7:7" x14ac:dyDescent="0.25">
      <c r="G1466"/>
    </row>
    <row r="1467" spans="7:7" x14ac:dyDescent="0.25">
      <c r="G1467"/>
    </row>
    <row r="1468" spans="7:7" x14ac:dyDescent="0.25">
      <c r="G1468"/>
    </row>
    <row r="1469" spans="7:7" x14ac:dyDescent="0.25">
      <c r="G1469"/>
    </row>
    <row r="1470" spans="7:7" x14ac:dyDescent="0.25">
      <c r="G1470"/>
    </row>
    <row r="1471" spans="7:7" x14ac:dyDescent="0.25">
      <c r="G1471"/>
    </row>
    <row r="1472" spans="7:7" x14ac:dyDescent="0.25">
      <c r="G1472"/>
    </row>
    <row r="1473" spans="7:7" x14ac:dyDescent="0.25">
      <c r="G1473"/>
    </row>
    <row r="1474" spans="7:7" x14ac:dyDescent="0.25">
      <c r="G1474"/>
    </row>
    <row r="1475" spans="7:7" x14ac:dyDescent="0.25">
      <c r="G1475"/>
    </row>
    <row r="1476" spans="7:7" x14ac:dyDescent="0.25">
      <c r="G1476"/>
    </row>
    <row r="1477" spans="7:7" x14ac:dyDescent="0.25">
      <c r="G1477"/>
    </row>
    <row r="1478" spans="7:7" x14ac:dyDescent="0.25">
      <c r="G1478"/>
    </row>
    <row r="1479" spans="7:7" x14ac:dyDescent="0.25">
      <c r="G1479"/>
    </row>
    <row r="1480" spans="7:7" x14ac:dyDescent="0.25">
      <c r="G1480"/>
    </row>
    <row r="1481" spans="7:7" x14ac:dyDescent="0.25">
      <c r="G1481"/>
    </row>
    <row r="1482" spans="7:7" x14ac:dyDescent="0.25">
      <c r="G1482"/>
    </row>
    <row r="1483" spans="7:7" x14ac:dyDescent="0.25">
      <c r="G1483"/>
    </row>
    <row r="1484" spans="7:7" x14ac:dyDescent="0.25">
      <c r="G1484"/>
    </row>
    <row r="1485" spans="7:7" x14ac:dyDescent="0.25">
      <c r="G1485"/>
    </row>
    <row r="1486" spans="7:7" x14ac:dyDescent="0.25">
      <c r="G1486"/>
    </row>
    <row r="1487" spans="7:7" x14ac:dyDescent="0.25">
      <c r="G1487"/>
    </row>
    <row r="1488" spans="7:7" x14ac:dyDescent="0.25">
      <c r="G1488"/>
    </row>
    <row r="1489" spans="7:7" x14ac:dyDescent="0.25">
      <c r="G1489"/>
    </row>
    <row r="1490" spans="7:7" x14ac:dyDescent="0.25">
      <c r="G1490"/>
    </row>
    <row r="1491" spans="7:7" x14ac:dyDescent="0.25">
      <c r="G1491"/>
    </row>
    <row r="1492" spans="7:7" x14ac:dyDescent="0.25">
      <c r="G1492"/>
    </row>
    <row r="1493" spans="7:7" x14ac:dyDescent="0.25">
      <c r="G1493"/>
    </row>
    <row r="1494" spans="7:7" x14ac:dyDescent="0.25">
      <c r="G1494"/>
    </row>
    <row r="1495" spans="7:7" x14ac:dyDescent="0.25">
      <c r="G1495"/>
    </row>
    <row r="1496" spans="7:7" x14ac:dyDescent="0.25">
      <c r="G1496"/>
    </row>
    <row r="1497" spans="7:7" x14ac:dyDescent="0.25">
      <c r="G1497"/>
    </row>
    <row r="1498" spans="7:7" x14ac:dyDescent="0.25">
      <c r="G1498"/>
    </row>
    <row r="1499" spans="7:7" x14ac:dyDescent="0.25">
      <c r="G1499"/>
    </row>
    <row r="1500" spans="7:7" x14ac:dyDescent="0.25">
      <c r="G1500"/>
    </row>
    <row r="1501" spans="7:7" x14ac:dyDescent="0.25">
      <c r="G1501"/>
    </row>
    <row r="1502" spans="7:7" x14ac:dyDescent="0.25">
      <c r="G1502"/>
    </row>
    <row r="1503" spans="7:7" x14ac:dyDescent="0.25">
      <c r="G1503"/>
    </row>
    <row r="1504" spans="7:7" x14ac:dyDescent="0.25">
      <c r="G1504"/>
    </row>
    <row r="1505" spans="7:7" x14ac:dyDescent="0.25">
      <c r="G1505"/>
    </row>
    <row r="1506" spans="7:7" x14ac:dyDescent="0.25">
      <c r="G1506"/>
    </row>
    <row r="1507" spans="7:7" x14ac:dyDescent="0.25">
      <c r="G1507"/>
    </row>
    <row r="1508" spans="7:7" x14ac:dyDescent="0.25">
      <c r="G1508"/>
    </row>
    <row r="1509" spans="7:7" x14ac:dyDescent="0.25">
      <c r="G1509"/>
    </row>
    <row r="1510" spans="7:7" x14ac:dyDescent="0.25">
      <c r="G1510"/>
    </row>
    <row r="1511" spans="7:7" x14ac:dyDescent="0.25">
      <c r="G1511"/>
    </row>
    <row r="1512" spans="7:7" x14ac:dyDescent="0.25">
      <c r="G1512"/>
    </row>
    <row r="1513" spans="7:7" x14ac:dyDescent="0.25">
      <c r="G1513"/>
    </row>
    <row r="1514" spans="7:7" x14ac:dyDescent="0.25">
      <c r="G1514"/>
    </row>
    <row r="1515" spans="7:7" x14ac:dyDescent="0.25">
      <c r="G1515"/>
    </row>
    <row r="1516" spans="7:7" x14ac:dyDescent="0.25">
      <c r="G1516"/>
    </row>
    <row r="1517" spans="7:7" x14ac:dyDescent="0.25">
      <c r="G1517"/>
    </row>
    <row r="1518" spans="7:7" x14ac:dyDescent="0.25">
      <c r="G1518"/>
    </row>
    <row r="1519" spans="7:7" x14ac:dyDescent="0.25">
      <c r="G1519"/>
    </row>
    <row r="1520" spans="7:7" x14ac:dyDescent="0.25">
      <c r="G1520"/>
    </row>
    <row r="1521" spans="7:7" x14ac:dyDescent="0.25">
      <c r="G1521"/>
    </row>
    <row r="1522" spans="7:7" x14ac:dyDescent="0.25">
      <c r="G1522"/>
    </row>
    <row r="1523" spans="7:7" x14ac:dyDescent="0.25">
      <c r="G1523"/>
    </row>
    <row r="1524" spans="7:7" x14ac:dyDescent="0.25">
      <c r="G1524"/>
    </row>
    <row r="1525" spans="7:7" x14ac:dyDescent="0.25">
      <c r="G1525"/>
    </row>
    <row r="1526" spans="7:7" x14ac:dyDescent="0.25">
      <c r="G1526"/>
    </row>
    <row r="1527" spans="7:7" x14ac:dyDescent="0.25">
      <c r="G1527"/>
    </row>
    <row r="1528" spans="7:7" x14ac:dyDescent="0.25">
      <c r="G1528"/>
    </row>
    <row r="1529" spans="7:7" x14ac:dyDescent="0.25">
      <c r="G1529"/>
    </row>
    <row r="1530" spans="7:7" x14ac:dyDescent="0.25">
      <c r="G1530"/>
    </row>
    <row r="1531" spans="7:7" x14ac:dyDescent="0.25">
      <c r="G1531"/>
    </row>
    <row r="1532" spans="7:7" x14ac:dyDescent="0.25">
      <c r="G1532"/>
    </row>
    <row r="1533" spans="7:7" x14ac:dyDescent="0.25">
      <c r="G1533"/>
    </row>
    <row r="1534" spans="7:7" x14ac:dyDescent="0.25">
      <c r="G1534"/>
    </row>
    <row r="1535" spans="7:7" x14ac:dyDescent="0.25">
      <c r="G1535"/>
    </row>
    <row r="1536" spans="7:7" x14ac:dyDescent="0.25">
      <c r="G1536"/>
    </row>
    <row r="1537" spans="7:7" x14ac:dyDescent="0.25">
      <c r="G1537"/>
    </row>
    <row r="1538" spans="7:7" x14ac:dyDescent="0.25">
      <c r="G1538"/>
    </row>
    <row r="1539" spans="7:7" x14ac:dyDescent="0.25">
      <c r="G1539"/>
    </row>
    <row r="1540" spans="7:7" x14ac:dyDescent="0.25">
      <c r="G1540"/>
    </row>
    <row r="1541" spans="7:7" x14ac:dyDescent="0.25">
      <c r="G1541"/>
    </row>
    <row r="1542" spans="7:7" x14ac:dyDescent="0.25">
      <c r="G1542"/>
    </row>
    <row r="1543" spans="7:7" x14ac:dyDescent="0.25">
      <c r="G1543"/>
    </row>
    <row r="1544" spans="7:7" x14ac:dyDescent="0.25">
      <c r="G1544"/>
    </row>
    <row r="1545" spans="7:7" x14ac:dyDescent="0.25">
      <c r="G1545"/>
    </row>
    <row r="1546" spans="7:7" x14ac:dyDescent="0.25">
      <c r="G1546"/>
    </row>
    <row r="1547" spans="7:7" x14ac:dyDescent="0.25">
      <c r="G1547"/>
    </row>
    <row r="1548" spans="7:7" x14ac:dyDescent="0.25">
      <c r="G1548"/>
    </row>
    <row r="1549" spans="7:7" x14ac:dyDescent="0.25">
      <c r="G1549"/>
    </row>
    <row r="1550" spans="7:7" x14ac:dyDescent="0.25">
      <c r="G1550"/>
    </row>
    <row r="1551" spans="7:7" x14ac:dyDescent="0.25">
      <c r="G1551"/>
    </row>
    <row r="1552" spans="7:7" x14ac:dyDescent="0.25">
      <c r="G1552"/>
    </row>
    <row r="1553" spans="7:7" x14ac:dyDescent="0.25">
      <c r="G1553"/>
    </row>
    <row r="1554" spans="7:7" x14ac:dyDescent="0.25">
      <c r="G1554"/>
    </row>
    <row r="1555" spans="7:7" x14ac:dyDescent="0.25">
      <c r="G1555"/>
    </row>
    <row r="1556" spans="7:7" x14ac:dyDescent="0.25">
      <c r="G1556"/>
    </row>
    <row r="1557" spans="7:7" x14ac:dyDescent="0.25">
      <c r="G1557"/>
    </row>
    <row r="1558" spans="7:7" x14ac:dyDescent="0.25">
      <c r="G1558"/>
    </row>
    <row r="1559" spans="7:7" x14ac:dyDescent="0.25">
      <c r="G1559"/>
    </row>
    <row r="1560" spans="7:7" x14ac:dyDescent="0.25">
      <c r="G1560"/>
    </row>
    <row r="1561" spans="7:7" x14ac:dyDescent="0.25">
      <c r="G1561"/>
    </row>
    <row r="1562" spans="7:7" x14ac:dyDescent="0.25">
      <c r="G1562"/>
    </row>
    <row r="1563" spans="7:7" x14ac:dyDescent="0.25">
      <c r="G1563"/>
    </row>
    <row r="1564" spans="7:7" x14ac:dyDescent="0.25">
      <c r="G1564"/>
    </row>
    <row r="1565" spans="7:7" x14ac:dyDescent="0.25">
      <c r="G1565"/>
    </row>
    <row r="1566" spans="7:7" x14ac:dyDescent="0.25">
      <c r="G1566"/>
    </row>
    <row r="1567" spans="7:7" x14ac:dyDescent="0.25">
      <c r="G1567"/>
    </row>
    <row r="1568" spans="7:7" x14ac:dyDescent="0.25">
      <c r="G1568"/>
    </row>
    <row r="1569" spans="7:7" x14ac:dyDescent="0.25">
      <c r="G1569"/>
    </row>
    <row r="1570" spans="7:7" x14ac:dyDescent="0.25">
      <c r="G1570"/>
    </row>
    <row r="1571" spans="7:7" x14ac:dyDescent="0.25">
      <c r="G1571"/>
    </row>
    <row r="1572" spans="7:7" x14ac:dyDescent="0.25">
      <c r="G1572"/>
    </row>
    <row r="1573" spans="7:7" x14ac:dyDescent="0.25">
      <c r="G1573"/>
    </row>
    <row r="1574" spans="7:7" x14ac:dyDescent="0.25">
      <c r="G1574"/>
    </row>
    <row r="1575" spans="7:7" x14ac:dyDescent="0.25">
      <c r="G1575"/>
    </row>
    <row r="1576" spans="7:7" x14ac:dyDescent="0.25">
      <c r="G1576"/>
    </row>
    <row r="1577" spans="7:7" x14ac:dyDescent="0.25">
      <c r="G1577"/>
    </row>
    <row r="1578" spans="7:7" x14ac:dyDescent="0.25">
      <c r="G1578"/>
    </row>
    <row r="1579" spans="7:7" x14ac:dyDescent="0.25">
      <c r="G1579"/>
    </row>
    <row r="1580" spans="7:7" x14ac:dyDescent="0.25">
      <c r="G1580"/>
    </row>
    <row r="1581" spans="7:7" x14ac:dyDescent="0.25">
      <c r="G1581"/>
    </row>
    <row r="1582" spans="7:7" x14ac:dyDescent="0.25">
      <c r="G1582"/>
    </row>
    <row r="1583" spans="7:7" x14ac:dyDescent="0.25">
      <c r="G1583"/>
    </row>
    <row r="1584" spans="7:7" x14ac:dyDescent="0.25">
      <c r="G1584"/>
    </row>
    <row r="1585" spans="7:7" x14ac:dyDescent="0.25">
      <c r="G1585"/>
    </row>
    <row r="1586" spans="7:7" x14ac:dyDescent="0.25">
      <c r="G1586"/>
    </row>
    <row r="1587" spans="7:7" x14ac:dyDescent="0.25">
      <c r="G1587"/>
    </row>
    <row r="1588" spans="7:7" x14ac:dyDescent="0.25">
      <c r="G1588"/>
    </row>
    <row r="1589" spans="7:7" x14ac:dyDescent="0.25">
      <c r="G1589"/>
    </row>
    <row r="1590" spans="7:7" x14ac:dyDescent="0.25">
      <c r="G1590"/>
    </row>
    <row r="1591" spans="7:7" x14ac:dyDescent="0.25">
      <c r="G1591"/>
    </row>
    <row r="1592" spans="7:7" x14ac:dyDescent="0.25">
      <c r="G1592"/>
    </row>
    <row r="1593" spans="7:7" x14ac:dyDescent="0.25">
      <c r="G1593"/>
    </row>
    <row r="1594" spans="7:7" x14ac:dyDescent="0.25">
      <c r="G1594"/>
    </row>
    <row r="1595" spans="7:7" x14ac:dyDescent="0.25">
      <c r="G1595"/>
    </row>
    <row r="1596" spans="7:7" x14ac:dyDescent="0.25">
      <c r="G1596"/>
    </row>
    <row r="1597" spans="7:7" x14ac:dyDescent="0.25">
      <c r="G1597"/>
    </row>
    <row r="1598" spans="7:7" x14ac:dyDescent="0.25">
      <c r="G1598"/>
    </row>
    <row r="1599" spans="7:7" x14ac:dyDescent="0.25">
      <c r="G1599"/>
    </row>
    <row r="1600" spans="7:7" x14ac:dyDescent="0.25">
      <c r="G1600"/>
    </row>
    <row r="1601" spans="7:7" x14ac:dyDescent="0.25">
      <c r="G1601"/>
    </row>
    <row r="1602" spans="7:7" x14ac:dyDescent="0.25">
      <c r="G1602"/>
    </row>
    <row r="1603" spans="7:7" x14ac:dyDescent="0.25">
      <c r="G1603"/>
    </row>
    <row r="1604" spans="7:7" x14ac:dyDescent="0.25">
      <c r="G1604"/>
    </row>
    <row r="1605" spans="7:7" x14ac:dyDescent="0.25">
      <c r="G1605"/>
    </row>
    <row r="1606" spans="7:7" x14ac:dyDescent="0.25">
      <c r="G1606"/>
    </row>
    <row r="1607" spans="7:7" x14ac:dyDescent="0.25">
      <c r="G1607"/>
    </row>
    <row r="1608" spans="7:7" x14ac:dyDescent="0.25">
      <c r="G1608"/>
    </row>
    <row r="1609" spans="7:7" x14ac:dyDescent="0.25">
      <c r="G1609"/>
    </row>
    <row r="1610" spans="7:7" x14ac:dyDescent="0.25">
      <c r="G1610"/>
    </row>
    <row r="1611" spans="7:7" x14ac:dyDescent="0.25">
      <c r="G1611"/>
    </row>
    <row r="1612" spans="7:7" x14ac:dyDescent="0.25">
      <c r="G1612"/>
    </row>
    <row r="1613" spans="7:7" x14ac:dyDescent="0.25">
      <c r="G1613"/>
    </row>
    <row r="1614" spans="7:7" x14ac:dyDescent="0.25">
      <c r="G1614"/>
    </row>
    <row r="1615" spans="7:7" x14ac:dyDescent="0.25">
      <c r="G1615"/>
    </row>
    <row r="1616" spans="7:7" x14ac:dyDescent="0.25">
      <c r="G1616"/>
    </row>
    <row r="1617" spans="7:7" x14ac:dyDescent="0.25">
      <c r="G1617"/>
    </row>
    <row r="1618" spans="7:7" x14ac:dyDescent="0.25">
      <c r="G1618"/>
    </row>
    <row r="1619" spans="7:7" x14ac:dyDescent="0.25">
      <c r="G1619"/>
    </row>
    <row r="1620" spans="7:7" x14ac:dyDescent="0.25">
      <c r="G1620"/>
    </row>
    <row r="1621" spans="7:7" x14ac:dyDescent="0.25">
      <c r="G1621"/>
    </row>
    <row r="1622" spans="7:7" x14ac:dyDescent="0.25">
      <c r="G1622"/>
    </row>
    <row r="1623" spans="7:7" x14ac:dyDescent="0.25">
      <c r="G1623"/>
    </row>
    <row r="1624" spans="7:7" x14ac:dyDescent="0.25">
      <c r="G1624"/>
    </row>
    <row r="1625" spans="7:7" x14ac:dyDescent="0.25">
      <c r="G1625"/>
    </row>
    <row r="1626" spans="7:7" x14ac:dyDescent="0.25">
      <c r="G1626"/>
    </row>
    <row r="1627" spans="7:7" x14ac:dyDescent="0.25">
      <c r="G1627"/>
    </row>
    <row r="1628" spans="7:7" x14ac:dyDescent="0.25">
      <c r="G1628"/>
    </row>
    <row r="1629" spans="7:7" x14ac:dyDescent="0.25">
      <c r="G1629"/>
    </row>
    <row r="1630" spans="7:7" x14ac:dyDescent="0.25">
      <c r="G1630"/>
    </row>
    <row r="1631" spans="7:7" x14ac:dyDescent="0.25">
      <c r="G1631"/>
    </row>
    <row r="1632" spans="7:7" x14ac:dyDescent="0.25">
      <c r="G1632"/>
    </row>
    <row r="1633" spans="7:7" x14ac:dyDescent="0.25">
      <c r="G1633"/>
    </row>
    <row r="1634" spans="7:7" x14ac:dyDescent="0.25">
      <c r="G1634"/>
    </row>
    <row r="1635" spans="7:7" x14ac:dyDescent="0.25">
      <c r="G1635"/>
    </row>
    <row r="1636" spans="7:7" x14ac:dyDescent="0.25">
      <c r="G1636"/>
    </row>
    <row r="1637" spans="7:7" x14ac:dyDescent="0.25">
      <c r="G1637"/>
    </row>
    <row r="1638" spans="7:7" x14ac:dyDescent="0.25">
      <c r="G1638"/>
    </row>
    <row r="1639" spans="7:7" x14ac:dyDescent="0.25">
      <c r="G1639"/>
    </row>
    <row r="1640" spans="7:7" x14ac:dyDescent="0.25">
      <c r="G1640"/>
    </row>
    <row r="1641" spans="7:7" x14ac:dyDescent="0.25">
      <c r="G1641"/>
    </row>
    <row r="1642" spans="7:7" x14ac:dyDescent="0.25">
      <c r="G1642"/>
    </row>
    <row r="1643" spans="7:7" x14ac:dyDescent="0.25">
      <c r="G1643"/>
    </row>
    <row r="1644" spans="7:7" x14ac:dyDescent="0.25">
      <c r="G1644"/>
    </row>
    <row r="1645" spans="7:7" x14ac:dyDescent="0.25">
      <c r="G1645"/>
    </row>
    <row r="1646" spans="7:7" x14ac:dyDescent="0.25">
      <c r="G1646"/>
    </row>
    <row r="1647" spans="7:7" x14ac:dyDescent="0.25">
      <c r="G1647"/>
    </row>
    <row r="1648" spans="7:7" x14ac:dyDescent="0.25">
      <c r="G1648"/>
    </row>
    <row r="1649" spans="7:7" x14ac:dyDescent="0.25">
      <c r="G1649"/>
    </row>
    <row r="1650" spans="7:7" x14ac:dyDescent="0.25">
      <c r="G1650"/>
    </row>
    <row r="1651" spans="7:7" x14ac:dyDescent="0.25">
      <c r="G1651"/>
    </row>
    <row r="1652" spans="7:7" x14ac:dyDescent="0.25">
      <c r="G1652"/>
    </row>
    <row r="1653" spans="7:7" x14ac:dyDescent="0.25">
      <c r="G1653"/>
    </row>
    <row r="1654" spans="7:7" x14ac:dyDescent="0.25">
      <c r="G1654"/>
    </row>
    <row r="1655" spans="7:7" x14ac:dyDescent="0.25">
      <c r="G1655"/>
    </row>
    <row r="1656" spans="7:7" x14ac:dyDescent="0.25">
      <c r="G1656"/>
    </row>
    <row r="1657" spans="7:7" x14ac:dyDescent="0.25">
      <c r="G1657"/>
    </row>
    <row r="1658" spans="7:7" x14ac:dyDescent="0.25">
      <c r="G1658"/>
    </row>
    <row r="1659" spans="7:7" x14ac:dyDescent="0.25">
      <c r="G1659"/>
    </row>
    <row r="1660" spans="7:7" x14ac:dyDescent="0.25">
      <c r="G1660"/>
    </row>
    <row r="1661" spans="7:7" x14ac:dyDescent="0.25">
      <c r="G1661"/>
    </row>
    <row r="1662" spans="7:7" x14ac:dyDescent="0.25">
      <c r="G1662"/>
    </row>
    <row r="1663" spans="7:7" x14ac:dyDescent="0.25">
      <c r="G1663"/>
    </row>
    <row r="1664" spans="7:7" x14ac:dyDescent="0.25">
      <c r="G1664"/>
    </row>
    <row r="1665" spans="7:7" x14ac:dyDescent="0.25">
      <c r="G1665"/>
    </row>
    <row r="1666" spans="7:7" x14ac:dyDescent="0.25">
      <c r="G1666"/>
    </row>
    <row r="1667" spans="7:7" x14ac:dyDescent="0.25">
      <c r="G1667"/>
    </row>
    <row r="1668" spans="7:7" x14ac:dyDescent="0.25">
      <c r="G1668"/>
    </row>
    <row r="1669" spans="7:7" x14ac:dyDescent="0.25">
      <c r="G1669"/>
    </row>
    <row r="1670" spans="7:7" x14ac:dyDescent="0.25">
      <c r="G1670"/>
    </row>
    <row r="1671" spans="7:7" x14ac:dyDescent="0.25">
      <c r="G1671"/>
    </row>
    <row r="1672" spans="7:7" x14ac:dyDescent="0.25">
      <c r="G1672"/>
    </row>
    <row r="1673" spans="7:7" x14ac:dyDescent="0.25">
      <c r="G1673"/>
    </row>
    <row r="1674" spans="7:7" x14ac:dyDescent="0.25">
      <c r="G1674"/>
    </row>
    <row r="1675" spans="7:7" x14ac:dyDescent="0.25">
      <c r="G1675"/>
    </row>
    <row r="1676" spans="7:7" x14ac:dyDescent="0.25">
      <c r="G1676"/>
    </row>
    <row r="1677" spans="7:7" x14ac:dyDescent="0.25">
      <c r="G1677"/>
    </row>
    <row r="1678" spans="7:7" x14ac:dyDescent="0.25">
      <c r="G1678"/>
    </row>
    <row r="1679" spans="7:7" x14ac:dyDescent="0.25">
      <c r="G1679"/>
    </row>
    <row r="1680" spans="7:7" x14ac:dyDescent="0.25">
      <c r="G1680"/>
    </row>
    <row r="1681" spans="7:7" x14ac:dyDescent="0.25">
      <c r="G1681"/>
    </row>
    <row r="1682" spans="7:7" x14ac:dyDescent="0.25">
      <c r="G1682"/>
    </row>
    <row r="1683" spans="7:7" x14ac:dyDescent="0.25">
      <c r="G1683"/>
    </row>
    <row r="1684" spans="7:7" x14ac:dyDescent="0.25">
      <c r="G1684"/>
    </row>
    <row r="1685" spans="7:7" x14ac:dyDescent="0.25">
      <c r="G1685"/>
    </row>
    <row r="1686" spans="7:7" x14ac:dyDescent="0.25">
      <c r="G1686"/>
    </row>
    <row r="1687" spans="7:7" x14ac:dyDescent="0.25">
      <c r="G1687"/>
    </row>
    <row r="1688" spans="7:7" x14ac:dyDescent="0.25">
      <c r="G1688"/>
    </row>
    <row r="1689" spans="7:7" x14ac:dyDescent="0.25">
      <c r="G1689"/>
    </row>
    <row r="1690" spans="7:7" x14ac:dyDescent="0.25">
      <c r="G1690"/>
    </row>
    <row r="1691" spans="7:7" x14ac:dyDescent="0.25">
      <c r="G1691"/>
    </row>
    <row r="1692" spans="7:7" x14ac:dyDescent="0.25">
      <c r="G1692"/>
    </row>
    <row r="1693" spans="7:7" x14ac:dyDescent="0.25">
      <c r="G1693"/>
    </row>
    <row r="1694" spans="7:7" x14ac:dyDescent="0.25">
      <c r="G1694"/>
    </row>
    <row r="1695" spans="7:7" x14ac:dyDescent="0.25">
      <c r="G1695"/>
    </row>
    <row r="1696" spans="7:7" x14ac:dyDescent="0.25">
      <c r="G1696"/>
    </row>
    <row r="1697" spans="7:7" x14ac:dyDescent="0.25">
      <c r="G1697"/>
    </row>
    <row r="1698" spans="7:7" x14ac:dyDescent="0.25">
      <c r="G1698"/>
    </row>
    <row r="1699" spans="7:7" x14ac:dyDescent="0.25">
      <c r="G1699"/>
    </row>
    <row r="1700" spans="7:7" x14ac:dyDescent="0.25">
      <c r="G1700"/>
    </row>
    <row r="1701" spans="7:7" x14ac:dyDescent="0.25">
      <c r="G1701"/>
    </row>
    <row r="1702" spans="7:7" x14ac:dyDescent="0.25">
      <c r="G1702"/>
    </row>
    <row r="1703" spans="7:7" x14ac:dyDescent="0.25">
      <c r="G1703"/>
    </row>
    <row r="1704" spans="7:7" x14ac:dyDescent="0.25">
      <c r="G1704"/>
    </row>
    <row r="1705" spans="7:7" x14ac:dyDescent="0.25">
      <c r="G1705"/>
    </row>
    <row r="1706" spans="7:7" x14ac:dyDescent="0.25">
      <c r="G1706"/>
    </row>
    <row r="1707" spans="7:7" x14ac:dyDescent="0.25">
      <c r="G1707"/>
    </row>
    <row r="1708" spans="7:7" x14ac:dyDescent="0.25">
      <c r="G1708"/>
    </row>
    <row r="1709" spans="7:7" x14ac:dyDescent="0.25">
      <c r="G1709"/>
    </row>
    <row r="1710" spans="7:7" x14ac:dyDescent="0.25">
      <c r="G1710"/>
    </row>
    <row r="1711" spans="7:7" x14ac:dyDescent="0.25">
      <c r="G1711"/>
    </row>
    <row r="1712" spans="7:7" x14ac:dyDescent="0.25">
      <c r="G1712"/>
    </row>
    <row r="1713" spans="7:7" x14ac:dyDescent="0.25">
      <c r="G1713"/>
    </row>
    <row r="1714" spans="7:7" x14ac:dyDescent="0.25">
      <c r="G1714"/>
    </row>
    <row r="1715" spans="7:7" x14ac:dyDescent="0.25">
      <c r="G1715"/>
    </row>
    <row r="1716" spans="7:7" x14ac:dyDescent="0.25">
      <c r="G1716"/>
    </row>
    <row r="1717" spans="7:7" x14ac:dyDescent="0.25">
      <c r="G1717"/>
    </row>
    <row r="1718" spans="7:7" x14ac:dyDescent="0.25">
      <c r="G1718"/>
    </row>
    <row r="1719" spans="7:7" x14ac:dyDescent="0.25">
      <c r="G1719"/>
    </row>
    <row r="1720" spans="7:7" x14ac:dyDescent="0.25">
      <c r="G1720"/>
    </row>
    <row r="1721" spans="7:7" x14ac:dyDescent="0.25">
      <c r="G1721"/>
    </row>
    <row r="1722" spans="7:7" x14ac:dyDescent="0.25">
      <c r="G1722"/>
    </row>
    <row r="1723" spans="7:7" x14ac:dyDescent="0.25">
      <c r="G1723"/>
    </row>
    <row r="1724" spans="7:7" x14ac:dyDescent="0.25">
      <c r="G1724"/>
    </row>
    <row r="1725" spans="7:7" x14ac:dyDescent="0.25">
      <c r="G1725"/>
    </row>
    <row r="1726" spans="7:7" x14ac:dyDescent="0.25">
      <c r="G1726"/>
    </row>
    <row r="1727" spans="7:7" x14ac:dyDescent="0.25">
      <c r="G1727"/>
    </row>
    <row r="1728" spans="7:7" x14ac:dyDescent="0.25">
      <c r="G1728"/>
    </row>
    <row r="1729" spans="7:7" x14ac:dyDescent="0.25">
      <c r="G1729"/>
    </row>
    <row r="1730" spans="7:7" x14ac:dyDescent="0.25">
      <c r="G1730"/>
    </row>
    <row r="1731" spans="7:7" x14ac:dyDescent="0.25">
      <c r="G1731"/>
    </row>
    <row r="1732" spans="7:7" x14ac:dyDescent="0.25">
      <c r="G1732"/>
    </row>
    <row r="1733" spans="7:7" x14ac:dyDescent="0.25">
      <c r="G1733"/>
    </row>
    <row r="1734" spans="7:7" x14ac:dyDescent="0.25">
      <c r="G1734"/>
    </row>
    <row r="1735" spans="7:7" x14ac:dyDescent="0.25">
      <c r="G1735"/>
    </row>
    <row r="1736" spans="7:7" x14ac:dyDescent="0.25">
      <c r="G1736"/>
    </row>
    <row r="1737" spans="7:7" x14ac:dyDescent="0.25">
      <c r="G1737"/>
    </row>
    <row r="1738" spans="7:7" x14ac:dyDescent="0.25">
      <c r="G1738"/>
    </row>
    <row r="1739" spans="7:7" x14ac:dyDescent="0.25">
      <c r="G1739"/>
    </row>
    <row r="1740" spans="7:7" x14ac:dyDescent="0.25">
      <c r="G1740"/>
    </row>
    <row r="1741" spans="7:7" x14ac:dyDescent="0.25">
      <c r="G1741"/>
    </row>
    <row r="1742" spans="7:7" x14ac:dyDescent="0.25">
      <c r="G1742"/>
    </row>
    <row r="1743" spans="7:7" x14ac:dyDescent="0.25">
      <c r="G1743"/>
    </row>
    <row r="1744" spans="7:7" x14ac:dyDescent="0.25">
      <c r="G1744"/>
    </row>
    <row r="1745" spans="7:7" x14ac:dyDescent="0.25">
      <c r="G1745"/>
    </row>
    <row r="1746" spans="7:7" x14ac:dyDescent="0.25">
      <c r="G1746"/>
    </row>
    <row r="1747" spans="7:7" x14ac:dyDescent="0.25">
      <c r="G1747"/>
    </row>
    <row r="1748" spans="7:7" x14ac:dyDescent="0.25">
      <c r="G1748"/>
    </row>
    <row r="1749" spans="7:7" x14ac:dyDescent="0.25">
      <c r="G1749"/>
    </row>
    <row r="1750" spans="7:7" x14ac:dyDescent="0.25">
      <c r="G1750"/>
    </row>
    <row r="1751" spans="7:7" x14ac:dyDescent="0.25">
      <c r="G1751"/>
    </row>
    <row r="1752" spans="7:7" x14ac:dyDescent="0.25">
      <c r="G1752"/>
    </row>
    <row r="1753" spans="7:7" x14ac:dyDescent="0.25">
      <c r="G1753"/>
    </row>
    <row r="1754" spans="7:7" x14ac:dyDescent="0.25">
      <c r="G1754"/>
    </row>
    <row r="1755" spans="7:7" x14ac:dyDescent="0.25">
      <c r="G1755"/>
    </row>
    <row r="1756" spans="7:7" x14ac:dyDescent="0.25">
      <c r="G1756"/>
    </row>
    <row r="1757" spans="7:7" x14ac:dyDescent="0.25">
      <c r="G1757"/>
    </row>
    <row r="1758" spans="7:7" x14ac:dyDescent="0.25">
      <c r="G1758"/>
    </row>
    <row r="1759" spans="7:7" x14ac:dyDescent="0.25">
      <c r="G1759"/>
    </row>
    <row r="1760" spans="7:7" x14ac:dyDescent="0.25">
      <c r="G1760"/>
    </row>
    <row r="1761" spans="7:7" x14ac:dyDescent="0.25">
      <c r="G1761"/>
    </row>
    <row r="1762" spans="7:7" x14ac:dyDescent="0.25">
      <c r="G1762"/>
    </row>
    <row r="1763" spans="7:7" x14ac:dyDescent="0.25">
      <c r="G1763"/>
    </row>
    <row r="1764" spans="7:7" x14ac:dyDescent="0.25">
      <c r="G1764"/>
    </row>
    <row r="1765" spans="7:7" x14ac:dyDescent="0.25">
      <c r="G1765"/>
    </row>
    <row r="1766" spans="7:7" x14ac:dyDescent="0.25">
      <c r="G1766"/>
    </row>
    <row r="1767" spans="7:7" x14ac:dyDescent="0.25">
      <c r="G1767"/>
    </row>
    <row r="1768" spans="7:7" x14ac:dyDescent="0.25">
      <c r="G1768"/>
    </row>
    <row r="1769" spans="7:7" x14ac:dyDescent="0.25">
      <c r="G1769"/>
    </row>
    <row r="1770" spans="7:7" x14ac:dyDescent="0.25">
      <c r="G1770"/>
    </row>
    <row r="1771" spans="7:7" x14ac:dyDescent="0.25">
      <c r="G1771"/>
    </row>
    <row r="1772" spans="7:7" x14ac:dyDescent="0.25">
      <c r="G1772"/>
    </row>
    <row r="1773" spans="7:7" x14ac:dyDescent="0.25">
      <c r="G1773"/>
    </row>
    <row r="1774" spans="7:7" x14ac:dyDescent="0.25">
      <c r="G1774"/>
    </row>
    <row r="1775" spans="7:7" x14ac:dyDescent="0.25">
      <c r="G1775"/>
    </row>
    <row r="1776" spans="7:7" x14ac:dyDescent="0.25">
      <c r="G1776"/>
    </row>
    <row r="1777" spans="7:7" x14ac:dyDescent="0.25">
      <c r="G1777"/>
    </row>
    <row r="1778" spans="7:7" x14ac:dyDescent="0.25">
      <c r="G1778"/>
    </row>
    <row r="1779" spans="7:7" x14ac:dyDescent="0.25">
      <c r="G1779"/>
    </row>
    <row r="1780" spans="7:7" x14ac:dyDescent="0.25">
      <c r="G1780"/>
    </row>
    <row r="1781" spans="7:7" x14ac:dyDescent="0.25">
      <c r="G1781"/>
    </row>
    <row r="1782" spans="7:7" x14ac:dyDescent="0.25">
      <c r="G1782"/>
    </row>
    <row r="1783" spans="7:7" x14ac:dyDescent="0.25">
      <c r="G1783"/>
    </row>
    <row r="1784" spans="7:7" x14ac:dyDescent="0.25">
      <c r="G1784"/>
    </row>
    <row r="1785" spans="7:7" x14ac:dyDescent="0.25">
      <c r="G1785"/>
    </row>
    <row r="1786" spans="7:7" x14ac:dyDescent="0.25">
      <c r="G1786"/>
    </row>
    <row r="1787" spans="7:7" x14ac:dyDescent="0.25">
      <c r="G1787"/>
    </row>
    <row r="1788" spans="7:7" x14ac:dyDescent="0.25">
      <c r="G1788"/>
    </row>
    <row r="1789" spans="7:7" x14ac:dyDescent="0.25">
      <c r="G1789"/>
    </row>
    <row r="1790" spans="7:7" x14ac:dyDescent="0.25">
      <c r="G1790"/>
    </row>
    <row r="1791" spans="7:7" x14ac:dyDescent="0.25">
      <c r="G1791"/>
    </row>
    <row r="1792" spans="7:7" x14ac:dyDescent="0.25">
      <c r="G1792"/>
    </row>
    <row r="1793" spans="7:7" x14ac:dyDescent="0.25">
      <c r="G1793"/>
    </row>
    <row r="1794" spans="7:7" x14ac:dyDescent="0.25">
      <c r="G1794"/>
    </row>
    <row r="1795" spans="7:7" x14ac:dyDescent="0.25">
      <c r="G1795"/>
    </row>
    <row r="1796" spans="7:7" x14ac:dyDescent="0.25">
      <c r="G1796"/>
    </row>
    <row r="1797" spans="7:7" x14ac:dyDescent="0.25">
      <c r="G1797"/>
    </row>
    <row r="1798" spans="7:7" x14ac:dyDescent="0.25">
      <c r="G1798"/>
    </row>
    <row r="1799" spans="7:7" x14ac:dyDescent="0.25">
      <c r="G1799"/>
    </row>
    <row r="1800" spans="7:7" x14ac:dyDescent="0.25">
      <c r="G1800"/>
    </row>
    <row r="1801" spans="7:7" x14ac:dyDescent="0.25">
      <c r="G1801"/>
    </row>
    <row r="1802" spans="7:7" x14ac:dyDescent="0.25">
      <c r="G1802"/>
    </row>
    <row r="1803" spans="7:7" x14ac:dyDescent="0.25">
      <c r="G1803"/>
    </row>
    <row r="1804" spans="7:7" x14ac:dyDescent="0.25">
      <c r="G1804"/>
    </row>
    <row r="1805" spans="7:7" x14ac:dyDescent="0.25">
      <c r="G1805"/>
    </row>
    <row r="1806" spans="7:7" x14ac:dyDescent="0.25">
      <c r="G1806"/>
    </row>
    <row r="1807" spans="7:7" x14ac:dyDescent="0.25">
      <c r="G1807"/>
    </row>
    <row r="1808" spans="7:7" x14ac:dyDescent="0.25">
      <c r="G1808"/>
    </row>
    <row r="1809" spans="7:7" x14ac:dyDescent="0.25">
      <c r="G1809"/>
    </row>
    <row r="1810" spans="7:7" x14ac:dyDescent="0.25">
      <c r="G1810"/>
    </row>
    <row r="1811" spans="7:7" x14ac:dyDescent="0.25">
      <c r="G1811"/>
    </row>
    <row r="1812" spans="7:7" x14ac:dyDescent="0.25">
      <c r="G1812"/>
    </row>
    <row r="1813" spans="7:7" x14ac:dyDescent="0.25">
      <c r="G1813"/>
    </row>
    <row r="1814" spans="7:7" x14ac:dyDescent="0.25">
      <c r="G1814"/>
    </row>
    <row r="1815" spans="7:7" x14ac:dyDescent="0.25">
      <c r="G1815"/>
    </row>
    <row r="1816" spans="7:7" x14ac:dyDescent="0.25">
      <c r="G1816"/>
    </row>
    <row r="1817" spans="7:7" x14ac:dyDescent="0.25">
      <c r="G1817"/>
    </row>
    <row r="1818" spans="7:7" x14ac:dyDescent="0.25">
      <c r="G1818"/>
    </row>
    <row r="1819" spans="7:7" x14ac:dyDescent="0.25">
      <c r="G1819"/>
    </row>
    <row r="1820" spans="7:7" x14ac:dyDescent="0.25">
      <c r="G1820"/>
    </row>
    <row r="1821" spans="7:7" x14ac:dyDescent="0.25">
      <c r="G1821"/>
    </row>
    <row r="1822" spans="7:7" x14ac:dyDescent="0.25">
      <c r="G1822"/>
    </row>
    <row r="1823" spans="7:7" x14ac:dyDescent="0.25">
      <c r="G1823"/>
    </row>
    <row r="1824" spans="7:7" x14ac:dyDescent="0.25">
      <c r="G1824"/>
    </row>
    <row r="1825" spans="7:7" x14ac:dyDescent="0.25">
      <c r="G1825"/>
    </row>
    <row r="1826" spans="7:7" x14ac:dyDescent="0.25">
      <c r="G1826"/>
    </row>
    <row r="1827" spans="7:7" x14ac:dyDescent="0.25">
      <c r="G1827"/>
    </row>
    <row r="1828" spans="7:7" x14ac:dyDescent="0.25">
      <c r="G1828"/>
    </row>
    <row r="1829" spans="7:7" x14ac:dyDescent="0.25">
      <c r="G1829"/>
    </row>
    <row r="1830" spans="7:7" x14ac:dyDescent="0.25">
      <c r="G1830"/>
    </row>
    <row r="1831" spans="7:7" x14ac:dyDescent="0.25">
      <c r="G1831"/>
    </row>
    <row r="1832" spans="7:7" x14ac:dyDescent="0.25">
      <c r="G1832"/>
    </row>
    <row r="1833" spans="7:7" x14ac:dyDescent="0.25">
      <c r="G1833"/>
    </row>
    <row r="1834" spans="7:7" x14ac:dyDescent="0.25">
      <c r="G1834"/>
    </row>
    <row r="1835" spans="7:7" x14ac:dyDescent="0.25">
      <c r="G1835"/>
    </row>
    <row r="1836" spans="7:7" x14ac:dyDescent="0.25">
      <c r="G1836"/>
    </row>
    <row r="1837" spans="7:7" x14ac:dyDescent="0.25">
      <c r="G1837"/>
    </row>
    <row r="1838" spans="7:7" x14ac:dyDescent="0.25">
      <c r="G1838"/>
    </row>
    <row r="1839" spans="7:7" x14ac:dyDescent="0.25">
      <c r="G1839"/>
    </row>
    <row r="1840" spans="7:7" x14ac:dyDescent="0.25">
      <c r="G1840"/>
    </row>
    <row r="1841" spans="7:7" x14ac:dyDescent="0.25">
      <c r="G1841"/>
    </row>
    <row r="1842" spans="7:7" x14ac:dyDescent="0.25">
      <c r="G1842"/>
    </row>
    <row r="1843" spans="7:7" x14ac:dyDescent="0.25">
      <c r="G1843"/>
    </row>
    <row r="1844" spans="7:7" x14ac:dyDescent="0.25">
      <c r="G1844"/>
    </row>
    <row r="1845" spans="7:7" x14ac:dyDescent="0.25">
      <c r="G1845"/>
    </row>
    <row r="1846" spans="7:7" x14ac:dyDescent="0.25">
      <c r="G1846"/>
    </row>
    <row r="1847" spans="7:7" x14ac:dyDescent="0.25">
      <c r="G1847"/>
    </row>
    <row r="1848" spans="7:7" x14ac:dyDescent="0.25">
      <c r="G1848"/>
    </row>
    <row r="1849" spans="7:7" x14ac:dyDescent="0.25">
      <c r="G1849"/>
    </row>
    <row r="1850" spans="7:7" x14ac:dyDescent="0.25">
      <c r="G1850"/>
    </row>
    <row r="1851" spans="7:7" x14ac:dyDescent="0.25">
      <c r="G1851"/>
    </row>
    <row r="1852" spans="7:7" x14ac:dyDescent="0.25">
      <c r="G1852"/>
    </row>
    <row r="1853" spans="7:7" x14ac:dyDescent="0.25">
      <c r="G1853"/>
    </row>
    <row r="1854" spans="7:7" x14ac:dyDescent="0.25">
      <c r="G1854"/>
    </row>
    <row r="1855" spans="7:7" x14ac:dyDescent="0.25">
      <c r="G1855"/>
    </row>
    <row r="1856" spans="7:7" x14ac:dyDescent="0.25">
      <c r="G1856"/>
    </row>
    <row r="1857" spans="7:7" x14ac:dyDescent="0.25">
      <c r="G1857"/>
    </row>
    <row r="1858" spans="7:7" x14ac:dyDescent="0.25">
      <c r="G1858"/>
    </row>
    <row r="1859" spans="7:7" x14ac:dyDescent="0.25">
      <c r="G1859"/>
    </row>
    <row r="1860" spans="7:7" x14ac:dyDescent="0.25">
      <c r="G1860"/>
    </row>
    <row r="1861" spans="7:7" x14ac:dyDescent="0.25">
      <c r="G1861"/>
    </row>
    <row r="1862" spans="7:7" x14ac:dyDescent="0.25">
      <c r="G1862"/>
    </row>
    <row r="1863" spans="7:7" x14ac:dyDescent="0.25">
      <c r="G1863"/>
    </row>
    <row r="1864" spans="7:7" x14ac:dyDescent="0.25">
      <c r="G1864"/>
    </row>
    <row r="1865" spans="7:7" x14ac:dyDescent="0.25">
      <c r="G1865"/>
    </row>
    <row r="1866" spans="7:7" x14ac:dyDescent="0.25">
      <c r="G1866"/>
    </row>
    <row r="1867" spans="7:7" x14ac:dyDescent="0.25">
      <c r="G1867"/>
    </row>
    <row r="1868" spans="7:7" x14ac:dyDescent="0.25">
      <c r="G1868"/>
    </row>
    <row r="1869" spans="7:7" x14ac:dyDescent="0.25">
      <c r="G1869"/>
    </row>
    <row r="1870" spans="7:7" x14ac:dyDescent="0.25">
      <c r="G1870"/>
    </row>
    <row r="1871" spans="7:7" x14ac:dyDescent="0.25">
      <c r="G1871"/>
    </row>
    <row r="1872" spans="7:7" x14ac:dyDescent="0.25">
      <c r="G1872"/>
    </row>
    <row r="1873" spans="7:7" x14ac:dyDescent="0.25">
      <c r="G1873"/>
    </row>
    <row r="1874" spans="7:7" x14ac:dyDescent="0.25">
      <c r="G1874"/>
    </row>
    <row r="1875" spans="7:7" x14ac:dyDescent="0.25">
      <c r="G1875"/>
    </row>
    <row r="1876" spans="7:7" x14ac:dyDescent="0.25">
      <c r="G1876"/>
    </row>
    <row r="1877" spans="7:7" x14ac:dyDescent="0.25">
      <c r="G1877"/>
    </row>
    <row r="1878" spans="7:7" x14ac:dyDescent="0.25">
      <c r="G1878"/>
    </row>
    <row r="1879" spans="7:7" x14ac:dyDescent="0.25">
      <c r="G1879"/>
    </row>
    <row r="1880" spans="7:7" x14ac:dyDescent="0.25">
      <c r="G1880"/>
    </row>
    <row r="1881" spans="7:7" x14ac:dyDescent="0.25">
      <c r="G1881"/>
    </row>
    <row r="1882" spans="7:7" x14ac:dyDescent="0.25">
      <c r="G1882"/>
    </row>
    <row r="1883" spans="7:7" x14ac:dyDescent="0.25">
      <c r="G1883"/>
    </row>
    <row r="1884" spans="7:7" x14ac:dyDescent="0.25">
      <c r="G1884"/>
    </row>
    <row r="1885" spans="7:7" x14ac:dyDescent="0.25">
      <c r="G1885"/>
    </row>
    <row r="1886" spans="7:7" x14ac:dyDescent="0.25">
      <c r="G1886"/>
    </row>
    <row r="1887" spans="7:7" x14ac:dyDescent="0.25">
      <c r="G1887"/>
    </row>
    <row r="1888" spans="7:7" x14ac:dyDescent="0.25">
      <c r="G1888"/>
    </row>
    <row r="1889" spans="7:7" x14ac:dyDescent="0.25">
      <c r="G1889"/>
    </row>
    <row r="1890" spans="7:7" x14ac:dyDescent="0.25">
      <c r="G1890"/>
    </row>
    <row r="1891" spans="7:7" x14ac:dyDescent="0.25">
      <c r="G1891"/>
    </row>
    <row r="1892" spans="7:7" x14ac:dyDescent="0.25">
      <c r="G1892"/>
    </row>
    <row r="1893" spans="7:7" x14ac:dyDescent="0.25">
      <c r="G1893"/>
    </row>
    <row r="1894" spans="7:7" x14ac:dyDescent="0.25">
      <c r="G1894"/>
    </row>
    <row r="1895" spans="7:7" x14ac:dyDescent="0.25">
      <c r="G1895"/>
    </row>
    <row r="1896" spans="7:7" x14ac:dyDescent="0.25">
      <c r="G1896"/>
    </row>
    <row r="1897" spans="7:7" x14ac:dyDescent="0.25">
      <c r="G1897"/>
    </row>
    <row r="1898" spans="7:7" x14ac:dyDescent="0.25">
      <c r="G1898"/>
    </row>
    <row r="1899" spans="7:7" x14ac:dyDescent="0.25">
      <c r="G1899"/>
    </row>
    <row r="1900" spans="7:7" x14ac:dyDescent="0.25">
      <c r="G1900"/>
    </row>
    <row r="1901" spans="7:7" x14ac:dyDescent="0.25">
      <c r="G1901"/>
    </row>
    <row r="1902" spans="7:7" x14ac:dyDescent="0.25">
      <c r="G1902"/>
    </row>
    <row r="1903" spans="7:7" x14ac:dyDescent="0.25">
      <c r="G1903"/>
    </row>
    <row r="1904" spans="7:7" x14ac:dyDescent="0.25">
      <c r="G1904"/>
    </row>
    <row r="1905" spans="7:7" x14ac:dyDescent="0.25">
      <c r="G1905"/>
    </row>
    <row r="1906" spans="7:7" x14ac:dyDescent="0.25">
      <c r="G1906"/>
    </row>
    <row r="1907" spans="7:7" x14ac:dyDescent="0.25">
      <c r="G1907"/>
    </row>
    <row r="1908" spans="7:7" x14ac:dyDescent="0.25">
      <c r="G1908"/>
    </row>
    <row r="1909" spans="7:7" x14ac:dyDescent="0.25">
      <c r="G1909"/>
    </row>
    <row r="1910" spans="7:7" x14ac:dyDescent="0.25">
      <c r="G1910"/>
    </row>
    <row r="1911" spans="7:7" x14ac:dyDescent="0.25">
      <c r="G1911"/>
    </row>
    <row r="1912" spans="7:7" x14ac:dyDescent="0.25">
      <c r="G1912"/>
    </row>
    <row r="1913" spans="7:7" x14ac:dyDescent="0.25">
      <c r="G1913"/>
    </row>
    <row r="1914" spans="7:7" x14ac:dyDescent="0.25">
      <c r="G1914"/>
    </row>
    <row r="1915" spans="7:7" x14ac:dyDescent="0.25">
      <c r="G1915"/>
    </row>
    <row r="1916" spans="7:7" x14ac:dyDescent="0.25">
      <c r="G1916"/>
    </row>
    <row r="1917" spans="7:7" x14ac:dyDescent="0.25">
      <c r="G1917"/>
    </row>
    <row r="1918" spans="7:7" x14ac:dyDescent="0.25">
      <c r="G1918"/>
    </row>
    <row r="1919" spans="7:7" x14ac:dyDescent="0.25">
      <c r="G1919"/>
    </row>
    <row r="1920" spans="7:7" x14ac:dyDescent="0.25">
      <c r="G1920"/>
    </row>
    <row r="1921" spans="7:7" x14ac:dyDescent="0.25">
      <c r="G1921"/>
    </row>
    <row r="1922" spans="7:7" x14ac:dyDescent="0.25">
      <c r="G1922"/>
    </row>
    <row r="1923" spans="7:7" x14ac:dyDescent="0.25">
      <c r="G1923"/>
    </row>
    <row r="1924" spans="7:7" x14ac:dyDescent="0.25">
      <c r="G1924"/>
    </row>
    <row r="1925" spans="7:7" x14ac:dyDescent="0.25">
      <c r="G1925"/>
    </row>
    <row r="1926" spans="7:7" x14ac:dyDescent="0.25">
      <c r="G1926"/>
    </row>
    <row r="1927" spans="7:7" x14ac:dyDescent="0.25">
      <c r="G1927"/>
    </row>
    <row r="1928" spans="7:7" x14ac:dyDescent="0.25">
      <c r="G1928"/>
    </row>
    <row r="1929" spans="7:7" x14ac:dyDescent="0.25">
      <c r="G1929"/>
    </row>
    <row r="1930" spans="7:7" x14ac:dyDescent="0.25">
      <c r="G1930"/>
    </row>
    <row r="1931" spans="7:7" x14ac:dyDescent="0.25">
      <c r="G1931"/>
    </row>
    <row r="1932" spans="7:7" x14ac:dyDescent="0.25">
      <c r="G1932"/>
    </row>
    <row r="1933" spans="7:7" x14ac:dyDescent="0.25">
      <c r="G1933"/>
    </row>
    <row r="1934" spans="7:7" x14ac:dyDescent="0.25">
      <c r="G1934"/>
    </row>
    <row r="1935" spans="7:7" x14ac:dyDescent="0.25">
      <c r="G1935"/>
    </row>
    <row r="1936" spans="7:7" x14ac:dyDescent="0.25">
      <c r="G1936"/>
    </row>
    <row r="1937" spans="7:7" x14ac:dyDescent="0.25">
      <c r="G1937"/>
    </row>
    <row r="1938" spans="7:7" x14ac:dyDescent="0.25">
      <c r="G1938"/>
    </row>
    <row r="1939" spans="7:7" x14ac:dyDescent="0.25">
      <c r="G1939"/>
    </row>
    <row r="1940" spans="7:7" x14ac:dyDescent="0.25">
      <c r="G1940"/>
    </row>
    <row r="1941" spans="7:7" x14ac:dyDescent="0.25">
      <c r="G1941"/>
    </row>
    <row r="1942" spans="7:7" x14ac:dyDescent="0.25">
      <c r="G1942"/>
    </row>
    <row r="1943" spans="7:7" x14ac:dyDescent="0.25">
      <c r="G1943"/>
    </row>
    <row r="1944" spans="7:7" x14ac:dyDescent="0.25">
      <c r="G1944"/>
    </row>
    <row r="1945" spans="7:7" x14ac:dyDescent="0.25">
      <c r="G1945"/>
    </row>
    <row r="1946" spans="7:7" x14ac:dyDescent="0.25">
      <c r="G1946"/>
    </row>
    <row r="1947" spans="7:7" x14ac:dyDescent="0.25">
      <c r="G1947"/>
    </row>
    <row r="1948" spans="7:7" x14ac:dyDescent="0.25">
      <c r="G1948"/>
    </row>
    <row r="1949" spans="7:7" x14ac:dyDescent="0.25">
      <c r="G1949"/>
    </row>
    <row r="1950" spans="7:7" x14ac:dyDescent="0.25">
      <c r="G1950"/>
    </row>
    <row r="1951" spans="7:7" x14ac:dyDescent="0.25">
      <c r="G1951"/>
    </row>
    <row r="1952" spans="7:7" x14ac:dyDescent="0.25">
      <c r="G1952"/>
    </row>
    <row r="1953" spans="7:7" x14ac:dyDescent="0.25">
      <c r="G1953"/>
    </row>
    <row r="1954" spans="7:7" x14ac:dyDescent="0.25">
      <c r="G1954"/>
    </row>
    <row r="1955" spans="7:7" x14ac:dyDescent="0.25">
      <c r="G1955"/>
    </row>
    <row r="1956" spans="7:7" x14ac:dyDescent="0.25">
      <c r="G1956"/>
    </row>
    <row r="1957" spans="7:7" x14ac:dyDescent="0.25">
      <c r="G1957"/>
    </row>
    <row r="1958" spans="7:7" x14ac:dyDescent="0.25">
      <c r="G1958"/>
    </row>
    <row r="1959" spans="7:7" x14ac:dyDescent="0.25">
      <c r="G1959"/>
    </row>
    <row r="1960" spans="7:7" x14ac:dyDescent="0.25">
      <c r="G1960"/>
    </row>
    <row r="1961" spans="7:7" x14ac:dyDescent="0.25">
      <c r="G1961"/>
    </row>
    <row r="1962" spans="7:7" x14ac:dyDescent="0.25">
      <c r="G1962"/>
    </row>
    <row r="1963" spans="7:7" x14ac:dyDescent="0.25">
      <c r="G1963"/>
    </row>
    <row r="1964" spans="7:7" x14ac:dyDescent="0.25">
      <c r="G1964"/>
    </row>
    <row r="1965" spans="7:7" x14ac:dyDescent="0.25">
      <c r="G1965"/>
    </row>
    <row r="1966" spans="7:7" x14ac:dyDescent="0.25">
      <c r="G1966"/>
    </row>
    <row r="1967" spans="7:7" x14ac:dyDescent="0.25">
      <c r="G1967"/>
    </row>
    <row r="1968" spans="7:7" x14ac:dyDescent="0.25">
      <c r="G1968"/>
    </row>
    <row r="1969" spans="7:7" x14ac:dyDescent="0.25">
      <c r="G1969"/>
    </row>
    <row r="1970" spans="7:7" x14ac:dyDescent="0.25">
      <c r="G1970"/>
    </row>
    <row r="1971" spans="7:7" x14ac:dyDescent="0.25">
      <c r="G1971"/>
    </row>
    <row r="1972" spans="7:7" x14ac:dyDescent="0.25">
      <c r="G1972"/>
    </row>
    <row r="1973" spans="7:7" x14ac:dyDescent="0.25">
      <c r="G1973"/>
    </row>
    <row r="1974" spans="7:7" x14ac:dyDescent="0.25">
      <c r="G1974"/>
    </row>
    <row r="1975" spans="7:7" x14ac:dyDescent="0.25">
      <c r="G1975"/>
    </row>
    <row r="1976" spans="7:7" x14ac:dyDescent="0.25">
      <c r="G1976"/>
    </row>
    <row r="1977" spans="7:7" x14ac:dyDescent="0.25">
      <c r="G1977"/>
    </row>
    <row r="1978" spans="7:7" x14ac:dyDescent="0.25">
      <c r="G1978"/>
    </row>
    <row r="1979" spans="7:7" x14ac:dyDescent="0.25">
      <c r="G1979"/>
    </row>
    <row r="1980" spans="7:7" x14ac:dyDescent="0.25">
      <c r="G1980"/>
    </row>
    <row r="1981" spans="7:7" x14ac:dyDescent="0.25">
      <c r="G1981"/>
    </row>
    <row r="1982" spans="7:7" x14ac:dyDescent="0.25">
      <c r="G1982"/>
    </row>
    <row r="1983" spans="7:7" x14ac:dyDescent="0.25">
      <c r="G1983"/>
    </row>
    <row r="1984" spans="7:7" x14ac:dyDescent="0.25">
      <c r="G1984"/>
    </row>
    <row r="1985" spans="7:7" x14ac:dyDescent="0.25">
      <c r="G1985"/>
    </row>
    <row r="1986" spans="7:7" x14ac:dyDescent="0.25">
      <c r="G1986"/>
    </row>
    <row r="1987" spans="7:7" x14ac:dyDescent="0.25">
      <c r="G1987"/>
    </row>
    <row r="1988" spans="7:7" x14ac:dyDescent="0.25">
      <c r="G1988"/>
    </row>
    <row r="1989" spans="7:7" x14ac:dyDescent="0.25">
      <c r="G1989"/>
    </row>
    <row r="1990" spans="7:7" x14ac:dyDescent="0.25">
      <c r="G1990"/>
    </row>
    <row r="1991" spans="7:7" x14ac:dyDescent="0.25">
      <c r="G1991"/>
    </row>
    <row r="1992" spans="7:7" x14ac:dyDescent="0.25">
      <c r="G1992"/>
    </row>
    <row r="1993" spans="7:7" x14ac:dyDescent="0.25">
      <c r="G1993"/>
    </row>
    <row r="1994" spans="7:7" x14ac:dyDescent="0.25">
      <c r="G1994"/>
    </row>
    <row r="1995" spans="7:7" x14ac:dyDescent="0.25">
      <c r="G1995"/>
    </row>
    <row r="1996" spans="7:7" x14ac:dyDescent="0.25">
      <c r="G1996"/>
    </row>
    <row r="1997" spans="7:7" x14ac:dyDescent="0.25">
      <c r="G1997"/>
    </row>
    <row r="1998" spans="7:7" x14ac:dyDescent="0.25">
      <c r="G1998"/>
    </row>
    <row r="1999" spans="7:7" x14ac:dyDescent="0.25">
      <c r="G1999"/>
    </row>
    <row r="2000" spans="7:7" x14ac:dyDescent="0.25">
      <c r="G2000"/>
    </row>
    <row r="2001" spans="7:7" x14ac:dyDescent="0.25">
      <c r="G2001"/>
    </row>
    <row r="2002" spans="7:7" x14ac:dyDescent="0.25">
      <c r="G2002"/>
    </row>
    <row r="2003" spans="7:7" x14ac:dyDescent="0.25">
      <c r="G2003"/>
    </row>
    <row r="2004" spans="7:7" x14ac:dyDescent="0.25">
      <c r="G2004"/>
    </row>
    <row r="2005" spans="7:7" x14ac:dyDescent="0.25">
      <c r="G2005"/>
    </row>
    <row r="2006" spans="7:7" x14ac:dyDescent="0.25">
      <c r="G2006"/>
    </row>
    <row r="2007" spans="7:7" x14ac:dyDescent="0.25">
      <c r="G2007"/>
    </row>
    <row r="2008" spans="7:7" x14ac:dyDescent="0.25">
      <c r="G2008"/>
    </row>
    <row r="2009" spans="7:7" x14ac:dyDescent="0.25">
      <c r="G2009"/>
    </row>
    <row r="2010" spans="7:7" x14ac:dyDescent="0.25">
      <c r="G2010"/>
    </row>
    <row r="2011" spans="7:7" x14ac:dyDescent="0.25">
      <c r="G2011"/>
    </row>
    <row r="2012" spans="7:7" x14ac:dyDescent="0.25">
      <c r="G2012"/>
    </row>
    <row r="2013" spans="7:7" x14ac:dyDescent="0.25">
      <c r="G2013"/>
    </row>
    <row r="2014" spans="7:7" x14ac:dyDescent="0.25">
      <c r="G2014"/>
    </row>
    <row r="2015" spans="7:7" x14ac:dyDescent="0.25">
      <c r="G2015"/>
    </row>
    <row r="2016" spans="7:7" x14ac:dyDescent="0.25">
      <c r="G2016"/>
    </row>
    <row r="2017" spans="7:7" x14ac:dyDescent="0.25">
      <c r="G2017"/>
    </row>
    <row r="2018" spans="7:7" x14ac:dyDescent="0.25">
      <c r="G2018"/>
    </row>
    <row r="2019" spans="7:7" x14ac:dyDescent="0.25">
      <c r="G2019"/>
    </row>
    <row r="2020" spans="7:7" x14ac:dyDescent="0.25">
      <c r="G2020"/>
    </row>
    <row r="2021" spans="7:7" x14ac:dyDescent="0.25">
      <c r="G2021"/>
    </row>
    <row r="2022" spans="7:7" x14ac:dyDescent="0.25">
      <c r="G2022"/>
    </row>
    <row r="2023" spans="7:7" x14ac:dyDescent="0.25">
      <c r="G2023"/>
    </row>
    <row r="2024" spans="7:7" x14ac:dyDescent="0.25">
      <c r="G2024"/>
    </row>
    <row r="2025" spans="7:7" x14ac:dyDescent="0.25">
      <c r="G2025"/>
    </row>
    <row r="2026" spans="7:7" x14ac:dyDescent="0.25">
      <c r="G2026"/>
    </row>
    <row r="2027" spans="7:7" x14ac:dyDescent="0.25">
      <c r="G2027"/>
    </row>
    <row r="2028" spans="7:7" x14ac:dyDescent="0.25">
      <c r="G2028"/>
    </row>
    <row r="2029" spans="7:7" x14ac:dyDescent="0.25">
      <c r="G2029"/>
    </row>
    <row r="2030" spans="7:7" x14ac:dyDescent="0.25">
      <c r="G2030"/>
    </row>
    <row r="2031" spans="7:7" x14ac:dyDescent="0.25">
      <c r="G2031"/>
    </row>
    <row r="2032" spans="7:7" x14ac:dyDescent="0.25">
      <c r="G2032"/>
    </row>
    <row r="2033" spans="7:7" x14ac:dyDescent="0.25">
      <c r="G2033"/>
    </row>
    <row r="2034" spans="7:7" x14ac:dyDescent="0.25">
      <c r="G2034"/>
    </row>
    <row r="2035" spans="7:7" x14ac:dyDescent="0.25">
      <c r="G2035"/>
    </row>
    <row r="2036" spans="7:7" x14ac:dyDescent="0.25">
      <c r="G2036"/>
    </row>
    <row r="2037" spans="7:7" x14ac:dyDescent="0.25">
      <c r="G2037"/>
    </row>
    <row r="2038" spans="7:7" x14ac:dyDescent="0.25">
      <c r="G2038"/>
    </row>
    <row r="2039" spans="7:7" x14ac:dyDescent="0.25">
      <c r="G2039"/>
    </row>
    <row r="2040" spans="7:7" x14ac:dyDescent="0.25">
      <c r="G2040"/>
    </row>
    <row r="2041" spans="7:7" x14ac:dyDescent="0.25">
      <c r="G2041"/>
    </row>
    <row r="2042" spans="7:7" x14ac:dyDescent="0.25">
      <c r="G2042"/>
    </row>
    <row r="2043" spans="7:7" x14ac:dyDescent="0.25">
      <c r="G2043"/>
    </row>
    <row r="2044" spans="7:7" x14ac:dyDescent="0.25">
      <c r="G2044"/>
    </row>
    <row r="2045" spans="7:7" x14ac:dyDescent="0.25">
      <c r="G2045"/>
    </row>
    <row r="2046" spans="7:7" x14ac:dyDescent="0.25">
      <c r="G2046"/>
    </row>
    <row r="2047" spans="7:7" x14ac:dyDescent="0.25">
      <c r="G2047"/>
    </row>
    <row r="2048" spans="7:7" x14ac:dyDescent="0.25">
      <c r="G2048"/>
    </row>
    <row r="2049" spans="7:7" x14ac:dyDescent="0.25">
      <c r="G2049"/>
    </row>
    <row r="2050" spans="7:7" x14ac:dyDescent="0.25">
      <c r="G2050"/>
    </row>
    <row r="2051" spans="7:7" x14ac:dyDescent="0.25">
      <c r="G2051"/>
    </row>
    <row r="2052" spans="7:7" x14ac:dyDescent="0.25">
      <c r="G2052"/>
    </row>
    <row r="2053" spans="7:7" x14ac:dyDescent="0.25">
      <c r="G2053"/>
    </row>
    <row r="2054" spans="7:7" x14ac:dyDescent="0.25">
      <c r="G2054"/>
    </row>
    <row r="2055" spans="7:7" x14ac:dyDescent="0.25">
      <c r="G2055"/>
    </row>
    <row r="2056" spans="7:7" x14ac:dyDescent="0.25">
      <c r="G2056"/>
    </row>
    <row r="2057" spans="7:7" x14ac:dyDescent="0.25">
      <c r="G2057"/>
    </row>
    <row r="2058" spans="7:7" x14ac:dyDescent="0.25">
      <c r="G2058"/>
    </row>
    <row r="2059" spans="7:7" x14ac:dyDescent="0.25">
      <c r="G2059"/>
    </row>
    <row r="2060" spans="7:7" x14ac:dyDescent="0.25">
      <c r="G2060"/>
    </row>
    <row r="2061" spans="7:7" x14ac:dyDescent="0.25">
      <c r="G2061"/>
    </row>
    <row r="2062" spans="7:7" x14ac:dyDescent="0.25">
      <c r="G2062"/>
    </row>
    <row r="2063" spans="7:7" x14ac:dyDescent="0.25">
      <c r="G2063"/>
    </row>
    <row r="2064" spans="7:7" x14ac:dyDescent="0.25">
      <c r="G2064"/>
    </row>
    <row r="2065" spans="7:7" x14ac:dyDescent="0.25">
      <c r="G2065"/>
    </row>
    <row r="2066" spans="7:7" x14ac:dyDescent="0.25">
      <c r="G2066"/>
    </row>
    <row r="2067" spans="7:7" x14ac:dyDescent="0.25">
      <c r="G2067"/>
    </row>
    <row r="2068" spans="7:7" x14ac:dyDescent="0.25">
      <c r="G2068"/>
    </row>
    <row r="2069" spans="7:7" x14ac:dyDescent="0.25">
      <c r="G2069"/>
    </row>
    <row r="2070" spans="7:7" x14ac:dyDescent="0.25">
      <c r="G2070"/>
    </row>
    <row r="2071" spans="7:7" x14ac:dyDescent="0.25">
      <c r="G2071"/>
    </row>
    <row r="2072" spans="7:7" x14ac:dyDescent="0.25">
      <c r="G2072"/>
    </row>
    <row r="2073" spans="7:7" x14ac:dyDescent="0.25">
      <c r="G2073"/>
    </row>
    <row r="2074" spans="7:7" x14ac:dyDescent="0.25">
      <c r="G2074"/>
    </row>
    <row r="2075" spans="7:7" x14ac:dyDescent="0.25">
      <c r="G2075"/>
    </row>
    <row r="2076" spans="7:7" x14ac:dyDescent="0.25">
      <c r="G2076"/>
    </row>
    <row r="2077" spans="7:7" x14ac:dyDescent="0.25">
      <c r="G2077"/>
    </row>
    <row r="2078" spans="7:7" x14ac:dyDescent="0.25">
      <c r="G2078"/>
    </row>
    <row r="2079" spans="7:7" x14ac:dyDescent="0.25">
      <c r="G2079"/>
    </row>
    <row r="2080" spans="7:7" x14ac:dyDescent="0.25">
      <c r="G2080"/>
    </row>
    <row r="2081" spans="7:7" x14ac:dyDescent="0.25">
      <c r="G2081"/>
    </row>
    <row r="2082" spans="7:7" x14ac:dyDescent="0.25">
      <c r="G2082"/>
    </row>
    <row r="2083" spans="7:7" x14ac:dyDescent="0.25">
      <c r="G2083"/>
    </row>
    <row r="2084" spans="7:7" x14ac:dyDescent="0.25">
      <c r="G2084"/>
    </row>
    <row r="2085" spans="7:7" x14ac:dyDescent="0.25">
      <c r="G2085"/>
    </row>
    <row r="2086" spans="7:7" x14ac:dyDescent="0.25">
      <c r="G2086"/>
    </row>
    <row r="2087" spans="7:7" x14ac:dyDescent="0.25">
      <c r="G2087"/>
    </row>
    <row r="2088" spans="7:7" x14ac:dyDescent="0.25">
      <c r="G2088"/>
    </row>
    <row r="2089" spans="7:7" x14ac:dyDescent="0.25">
      <c r="G2089"/>
    </row>
    <row r="2090" spans="7:7" x14ac:dyDescent="0.25">
      <c r="G2090"/>
    </row>
    <row r="2091" spans="7:7" x14ac:dyDescent="0.25">
      <c r="G2091"/>
    </row>
    <row r="2092" spans="7:7" x14ac:dyDescent="0.25">
      <c r="G2092"/>
    </row>
    <row r="2093" spans="7:7" x14ac:dyDescent="0.25">
      <c r="G2093"/>
    </row>
    <row r="2094" spans="7:7" x14ac:dyDescent="0.25">
      <c r="G2094"/>
    </row>
    <row r="2095" spans="7:7" x14ac:dyDescent="0.25">
      <c r="G2095"/>
    </row>
    <row r="2096" spans="7:7" x14ac:dyDescent="0.25">
      <c r="G2096"/>
    </row>
    <row r="2097" spans="7:7" x14ac:dyDescent="0.25">
      <c r="G2097"/>
    </row>
    <row r="2098" spans="7:7" x14ac:dyDescent="0.25">
      <c r="G2098"/>
    </row>
    <row r="2099" spans="7:7" x14ac:dyDescent="0.25">
      <c r="G2099"/>
    </row>
    <row r="2100" spans="7:7" x14ac:dyDescent="0.25">
      <c r="G2100"/>
    </row>
    <row r="2101" spans="7:7" x14ac:dyDescent="0.25">
      <c r="G2101"/>
    </row>
    <row r="2102" spans="7:7" x14ac:dyDescent="0.25">
      <c r="G2102"/>
    </row>
    <row r="2103" spans="7:7" x14ac:dyDescent="0.25">
      <c r="G2103"/>
    </row>
    <row r="2104" spans="7:7" x14ac:dyDescent="0.25">
      <c r="G2104"/>
    </row>
    <row r="2105" spans="7:7" x14ac:dyDescent="0.25">
      <c r="G2105"/>
    </row>
    <row r="2106" spans="7:7" x14ac:dyDescent="0.25">
      <c r="G2106"/>
    </row>
    <row r="2107" spans="7:7" x14ac:dyDescent="0.25">
      <c r="G2107"/>
    </row>
    <row r="2108" spans="7:7" x14ac:dyDescent="0.25">
      <c r="G2108"/>
    </row>
    <row r="2109" spans="7:7" x14ac:dyDescent="0.25">
      <c r="G2109"/>
    </row>
    <row r="2110" spans="7:7" x14ac:dyDescent="0.25">
      <c r="G2110"/>
    </row>
    <row r="2111" spans="7:7" x14ac:dyDescent="0.25">
      <c r="G2111"/>
    </row>
    <row r="2112" spans="7:7" x14ac:dyDescent="0.25">
      <c r="G2112"/>
    </row>
    <row r="2113" spans="7:7" x14ac:dyDescent="0.25">
      <c r="G2113"/>
    </row>
    <row r="2114" spans="7:7" x14ac:dyDescent="0.25">
      <c r="G2114"/>
    </row>
    <row r="2115" spans="7:7" x14ac:dyDescent="0.25">
      <c r="G2115"/>
    </row>
    <row r="2116" spans="7:7" x14ac:dyDescent="0.25">
      <c r="G2116"/>
    </row>
    <row r="2117" spans="7:7" x14ac:dyDescent="0.25">
      <c r="G2117"/>
    </row>
    <row r="2118" spans="7:7" x14ac:dyDescent="0.25">
      <c r="G2118"/>
    </row>
    <row r="2119" spans="7:7" x14ac:dyDescent="0.25">
      <c r="G2119"/>
    </row>
    <row r="2120" spans="7:7" x14ac:dyDescent="0.25">
      <c r="G2120"/>
    </row>
    <row r="2121" spans="7:7" x14ac:dyDescent="0.25">
      <c r="G2121"/>
    </row>
    <row r="2122" spans="7:7" x14ac:dyDescent="0.25">
      <c r="G2122"/>
    </row>
    <row r="2123" spans="7:7" x14ac:dyDescent="0.25">
      <c r="G2123"/>
    </row>
    <row r="2124" spans="7:7" x14ac:dyDescent="0.25">
      <c r="G2124"/>
    </row>
    <row r="2125" spans="7:7" x14ac:dyDescent="0.25">
      <c r="G2125"/>
    </row>
    <row r="2126" spans="7:7" x14ac:dyDescent="0.25">
      <c r="G2126"/>
    </row>
    <row r="2127" spans="7:7" x14ac:dyDescent="0.25">
      <c r="G2127"/>
    </row>
    <row r="2128" spans="7:7" x14ac:dyDescent="0.25">
      <c r="G2128"/>
    </row>
    <row r="2129" spans="7:7" x14ac:dyDescent="0.25">
      <c r="G2129"/>
    </row>
    <row r="2130" spans="7:7" x14ac:dyDescent="0.25">
      <c r="G2130"/>
    </row>
    <row r="2131" spans="7:7" x14ac:dyDescent="0.25">
      <c r="G2131"/>
    </row>
    <row r="2132" spans="7:7" x14ac:dyDescent="0.25">
      <c r="G2132"/>
    </row>
    <row r="2133" spans="7:7" x14ac:dyDescent="0.25">
      <c r="G2133"/>
    </row>
    <row r="2134" spans="7:7" x14ac:dyDescent="0.25">
      <c r="G2134"/>
    </row>
    <row r="2135" spans="7:7" x14ac:dyDescent="0.25">
      <c r="G2135"/>
    </row>
    <row r="2136" spans="7:7" x14ac:dyDescent="0.25">
      <c r="G2136"/>
    </row>
    <row r="2137" spans="7:7" x14ac:dyDescent="0.25">
      <c r="G2137"/>
    </row>
    <row r="2138" spans="7:7" x14ac:dyDescent="0.25">
      <c r="G2138"/>
    </row>
    <row r="2139" spans="7:7" x14ac:dyDescent="0.25">
      <c r="G2139"/>
    </row>
    <row r="2140" spans="7:7" x14ac:dyDescent="0.25">
      <c r="G2140"/>
    </row>
    <row r="2141" spans="7:7" x14ac:dyDescent="0.25">
      <c r="G2141"/>
    </row>
    <row r="2142" spans="7:7" x14ac:dyDescent="0.25">
      <c r="G2142"/>
    </row>
    <row r="2143" spans="7:7" x14ac:dyDescent="0.25">
      <c r="G2143"/>
    </row>
    <row r="2144" spans="7:7" x14ac:dyDescent="0.25">
      <c r="G2144"/>
    </row>
    <row r="2145" spans="7:7" x14ac:dyDescent="0.25">
      <c r="G2145"/>
    </row>
    <row r="2146" spans="7:7" x14ac:dyDescent="0.25">
      <c r="G2146"/>
    </row>
    <row r="2147" spans="7:7" x14ac:dyDescent="0.25">
      <c r="G2147"/>
    </row>
    <row r="2148" spans="7:7" x14ac:dyDescent="0.25">
      <c r="G2148"/>
    </row>
    <row r="2149" spans="7:7" x14ac:dyDescent="0.25">
      <c r="G2149"/>
    </row>
    <row r="2150" spans="7:7" x14ac:dyDescent="0.25">
      <c r="G2150"/>
    </row>
    <row r="2151" spans="7:7" x14ac:dyDescent="0.25">
      <c r="G2151"/>
    </row>
    <row r="2152" spans="7:7" x14ac:dyDescent="0.25">
      <c r="G2152"/>
    </row>
    <row r="2153" spans="7:7" x14ac:dyDescent="0.25">
      <c r="G2153"/>
    </row>
    <row r="2154" spans="7:7" x14ac:dyDescent="0.25">
      <c r="G2154"/>
    </row>
    <row r="2155" spans="7:7" x14ac:dyDescent="0.25">
      <c r="G2155"/>
    </row>
    <row r="2156" spans="7:7" x14ac:dyDescent="0.25">
      <c r="G2156"/>
    </row>
    <row r="2157" spans="7:7" x14ac:dyDescent="0.25">
      <c r="G2157"/>
    </row>
    <row r="2158" spans="7:7" x14ac:dyDescent="0.25">
      <c r="G2158"/>
    </row>
    <row r="2159" spans="7:7" x14ac:dyDescent="0.25">
      <c r="G2159"/>
    </row>
    <row r="2160" spans="7:7" x14ac:dyDescent="0.25">
      <c r="G2160"/>
    </row>
    <row r="2161" spans="7:7" x14ac:dyDescent="0.25">
      <c r="G2161"/>
    </row>
    <row r="2162" spans="7:7" x14ac:dyDescent="0.25">
      <c r="G2162"/>
    </row>
    <row r="2163" spans="7:7" x14ac:dyDescent="0.25">
      <c r="G2163"/>
    </row>
    <row r="2164" spans="7:7" x14ac:dyDescent="0.25">
      <c r="G2164"/>
    </row>
    <row r="2165" spans="7:7" x14ac:dyDescent="0.25">
      <c r="G2165"/>
    </row>
    <row r="2166" spans="7:7" x14ac:dyDescent="0.25">
      <c r="G2166"/>
    </row>
    <row r="2167" spans="7:7" x14ac:dyDescent="0.25">
      <c r="G2167"/>
    </row>
    <row r="2168" spans="7:7" x14ac:dyDescent="0.25">
      <c r="G2168"/>
    </row>
    <row r="2169" spans="7:7" x14ac:dyDescent="0.25">
      <c r="G2169"/>
    </row>
    <row r="2170" spans="7:7" x14ac:dyDescent="0.25">
      <c r="G2170"/>
    </row>
    <row r="2171" spans="7:7" x14ac:dyDescent="0.25">
      <c r="G2171"/>
    </row>
    <row r="2172" spans="7:7" x14ac:dyDescent="0.25">
      <c r="G2172"/>
    </row>
    <row r="2173" spans="7:7" x14ac:dyDescent="0.25">
      <c r="G2173"/>
    </row>
    <row r="2174" spans="7:7" x14ac:dyDescent="0.25">
      <c r="G2174"/>
    </row>
    <row r="2175" spans="7:7" x14ac:dyDescent="0.25">
      <c r="G2175"/>
    </row>
    <row r="2176" spans="7:7" x14ac:dyDescent="0.25">
      <c r="G2176"/>
    </row>
    <row r="2177" spans="7:7" x14ac:dyDescent="0.25">
      <c r="G2177"/>
    </row>
    <row r="2178" spans="7:7" x14ac:dyDescent="0.25">
      <c r="G2178"/>
    </row>
    <row r="2179" spans="7:7" x14ac:dyDescent="0.25">
      <c r="G2179"/>
    </row>
    <row r="2180" spans="7:7" x14ac:dyDescent="0.25">
      <c r="G2180"/>
    </row>
    <row r="2181" spans="7:7" x14ac:dyDescent="0.25">
      <c r="G2181"/>
    </row>
    <row r="2182" spans="7:7" x14ac:dyDescent="0.25">
      <c r="G2182"/>
    </row>
    <row r="2183" spans="7:7" x14ac:dyDescent="0.25">
      <c r="G2183"/>
    </row>
    <row r="2184" spans="7:7" x14ac:dyDescent="0.25">
      <c r="G2184"/>
    </row>
    <row r="2185" spans="7:7" x14ac:dyDescent="0.25">
      <c r="G2185"/>
    </row>
    <row r="2186" spans="7:7" x14ac:dyDescent="0.25">
      <c r="G2186"/>
    </row>
    <row r="2187" spans="7:7" x14ac:dyDescent="0.25">
      <c r="G2187"/>
    </row>
    <row r="2188" spans="7:7" x14ac:dyDescent="0.25">
      <c r="G2188"/>
    </row>
    <row r="2189" spans="7:7" x14ac:dyDescent="0.25">
      <c r="G2189"/>
    </row>
    <row r="2190" spans="7:7" x14ac:dyDescent="0.25">
      <c r="G2190"/>
    </row>
    <row r="2191" spans="7:7" x14ac:dyDescent="0.25">
      <c r="G2191"/>
    </row>
    <row r="2192" spans="7:7" x14ac:dyDescent="0.25">
      <c r="G2192"/>
    </row>
    <row r="2193" spans="7:7" x14ac:dyDescent="0.25">
      <c r="G2193"/>
    </row>
    <row r="2194" spans="7:7" x14ac:dyDescent="0.25">
      <c r="G2194"/>
    </row>
    <row r="2195" spans="7:7" x14ac:dyDescent="0.25">
      <c r="G2195"/>
    </row>
    <row r="2196" spans="7:7" x14ac:dyDescent="0.25">
      <c r="G2196"/>
    </row>
    <row r="2197" spans="7:7" x14ac:dyDescent="0.25">
      <c r="G2197"/>
    </row>
    <row r="2198" spans="7:7" x14ac:dyDescent="0.25">
      <c r="G2198"/>
    </row>
    <row r="2199" spans="7:7" x14ac:dyDescent="0.25">
      <c r="G2199"/>
    </row>
    <row r="2200" spans="7:7" x14ac:dyDescent="0.25">
      <c r="G2200"/>
    </row>
    <row r="2201" spans="7:7" x14ac:dyDescent="0.25">
      <c r="G2201"/>
    </row>
    <row r="2202" spans="7:7" x14ac:dyDescent="0.25">
      <c r="G2202"/>
    </row>
    <row r="2203" spans="7:7" x14ac:dyDescent="0.25">
      <c r="G2203"/>
    </row>
    <row r="2204" spans="7:7" x14ac:dyDescent="0.25">
      <c r="G2204"/>
    </row>
    <row r="2205" spans="7:7" x14ac:dyDescent="0.25">
      <c r="G2205"/>
    </row>
    <row r="2206" spans="7:7" x14ac:dyDescent="0.25">
      <c r="G2206"/>
    </row>
    <row r="2207" spans="7:7" x14ac:dyDescent="0.25">
      <c r="G2207"/>
    </row>
    <row r="2208" spans="7:7" x14ac:dyDescent="0.25">
      <c r="G2208"/>
    </row>
    <row r="2209" spans="7:7" x14ac:dyDescent="0.25">
      <c r="G2209"/>
    </row>
    <row r="2210" spans="7:7" x14ac:dyDescent="0.25">
      <c r="G2210"/>
    </row>
    <row r="2211" spans="7:7" x14ac:dyDescent="0.25">
      <c r="G2211"/>
    </row>
    <row r="2212" spans="7:7" x14ac:dyDescent="0.25">
      <c r="G2212"/>
    </row>
    <row r="2213" spans="7:7" x14ac:dyDescent="0.25">
      <c r="G2213"/>
    </row>
    <row r="2214" spans="7:7" x14ac:dyDescent="0.25">
      <c r="G2214"/>
    </row>
    <row r="2215" spans="7:7" x14ac:dyDescent="0.25">
      <c r="G2215"/>
    </row>
    <row r="2216" spans="7:7" x14ac:dyDescent="0.25">
      <c r="G2216"/>
    </row>
    <row r="2217" spans="7:7" x14ac:dyDescent="0.25">
      <c r="G2217"/>
    </row>
    <row r="2218" spans="7:7" x14ac:dyDescent="0.25">
      <c r="G2218"/>
    </row>
    <row r="2219" spans="7:7" x14ac:dyDescent="0.25">
      <c r="G2219"/>
    </row>
    <row r="2220" spans="7:7" x14ac:dyDescent="0.25">
      <c r="G2220"/>
    </row>
    <row r="2221" spans="7:7" x14ac:dyDescent="0.25">
      <c r="G2221"/>
    </row>
    <row r="2222" spans="7:7" x14ac:dyDescent="0.25">
      <c r="G2222"/>
    </row>
    <row r="2223" spans="7:7" x14ac:dyDescent="0.25">
      <c r="G2223"/>
    </row>
    <row r="2224" spans="7:7" x14ac:dyDescent="0.25">
      <c r="G2224"/>
    </row>
    <row r="2225" spans="7:7" x14ac:dyDescent="0.25">
      <c r="G2225"/>
    </row>
    <row r="2226" spans="7:7" x14ac:dyDescent="0.25">
      <c r="G2226"/>
    </row>
    <row r="2227" spans="7:7" x14ac:dyDescent="0.25">
      <c r="G2227"/>
    </row>
    <row r="2228" spans="7:7" x14ac:dyDescent="0.25">
      <c r="G2228"/>
    </row>
    <row r="2229" spans="7:7" x14ac:dyDescent="0.25">
      <c r="G2229"/>
    </row>
    <row r="2230" spans="7:7" x14ac:dyDescent="0.25">
      <c r="G2230"/>
    </row>
    <row r="2231" spans="7:7" x14ac:dyDescent="0.25">
      <c r="G2231"/>
    </row>
    <row r="2232" spans="7:7" x14ac:dyDescent="0.25">
      <c r="G2232"/>
    </row>
    <row r="2233" spans="7:7" x14ac:dyDescent="0.25">
      <c r="G2233"/>
    </row>
    <row r="2234" spans="7:7" x14ac:dyDescent="0.25">
      <c r="G2234"/>
    </row>
    <row r="2235" spans="7:7" x14ac:dyDescent="0.25">
      <c r="G2235"/>
    </row>
    <row r="2236" spans="7:7" x14ac:dyDescent="0.25">
      <c r="G2236"/>
    </row>
    <row r="2237" spans="7:7" x14ac:dyDescent="0.25">
      <c r="G2237"/>
    </row>
    <row r="2238" spans="7:7" x14ac:dyDescent="0.25">
      <c r="G2238"/>
    </row>
    <row r="2239" spans="7:7" x14ac:dyDescent="0.25">
      <c r="G2239"/>
    </row>
    <row r="2240" spans="7:7" x14ac:dyDescent="0.25">
      <c r="G2240"/>
    </row>
    <row r="2241" spans="7:7" x14ac:dyDescent="0.25">
      <c r="G2241"/>
    </row>
    <row r="2242" spans="7:7" x14ac:dyDescent="0.25">
      <c r="G2242"/>
    </row>
    <row r="2243" spans="7:7" x14ac:dyDescent="0.25">
      <c r="G2243"/>
    </row>
    <row r="2244" spans="7:7" x14ac:dyDescent="0.25">
      <c r="G2244"/>
    </row>
    <row r="2245" spans="7:7" x14ac:dyDescent="0.25">
      <c r="G2245"/>
    </row>
    <row r="2246" spans="7:7" x14ac:dyDescent="0.25">
      <c r="G2246"/>
    </row>
    <row r="2247" spans="7:7" x14ac:dyDescent="0.25">
      <c r="G2247"/>
    </row>
    <row r="2248" spans="7:7" x14ac:dyDescent="0.25">
      <c r="G2248"/>
    </row>
    <row r="2249" spans="7:7" x14ac:dyDescent="0.25">
      <c r="G2249"/>
    </row>
    <row r="2250" spans="7:7" x14ac:dyDescent="0.25">
      <c r="G2250"/>
    </row>
    <row r="2251" spans="7:7" x14ac:dyDescent="0.25">
      <c r="G2251"/>
    </row>
    <row r="2252" spans="7:7" x14ac:dyDescent="0.25">
      <c r="G2252"/>
    </row>
    <row r="2253" spans="7:7" x14ac:dyDescent="0.25">
      <c r="G2253"/>
    </row>
    <row r="2254" spans="7:7" x14ac:dyDescent="0.25">
      <c r="G2254"/>
    </row>
    <row r="2255" spans="7:7" x14ac:dyDescent="0.25">
      <c r="G2255"/>
    </row>
    <row r="2256" spans="7:7" x14ac:dyDescent="0.25">
      <c r="G2256"/>
    </row>
    <row r="2257" spans="7:7" x14ac:dyDescent="0.25">
      <c r="G2257"/>
    </row>
    <row r="2258" spans="7:7" x14ac:dyDescent="0.25">
      <c r="G2258"/>
    </row>
    <row r="2259" spans="7:7" x14ac:dyDescent="0.25">
      <c r="G2259"/>
    </row>
    <row r="2260" spans="7:7" x14ac:dyDescent="0.25">
      <c r="G2260"/>
    </row>
    <row r="2261" spans="7:7" x14ac:dyDescent="0.25">
      <c r="G2261"/>
    </row>
    <row r="2262" spans="7:7" x14ac:dyDescent="0.25">
      <c r="G2262"/>
    </row>
    <row r="2263" spans="7:7" x14ac:dyDescent="0.25">
      <c r="G2263"/>
    </row>
    <row r="2264" spans="7:7" x14ac:dyDescent="0.25">
      <c r="G2264"/>
    </row>
    <row r="2265" spans="7:7" x14ac:dyDescent="0.25">
      <c r="G2265"/>
    </row>
    <row r="2266" spans="7:7" x14ac:dyDescent="0.25">
      <c r="G2266"/>
    </row>
    <row r="2267" spans="7:7" x14ac:dyDescent="0.25">
      <c r="G2267"/>
    </row>
    <row r="2268" spans="7:7" x14ac:dyDescent="0.25">
      <c r="G2268"/>
    </row>
    <row r="2269" spans="7:7" x14ac:dyDescent="0.25">
      <c r="G2269"/>
    </row>
    <row r="2270" spans="7:7" x14ac:dyDescent="0.25">
      <c r="G2270"/>
    </row>
    <row r="2271" spans="7:7" x14ac:dyDescent="0.25">
      <c r="G2271"/>
    </row>
    <row r="2272" spans="7:7" x14ac:dyDescent="0.25">
      <c r="G2272"/>
    </row>
    <row r="2273" spans="7:7" x14ac:dyDescent="0.25">
      <c r="G2273"/>
    </row>
    <row r="2274" spans="7:7" x14ac:dyDescent="0.25">
      <c r="G2274"/>
    </row>
    <row r="2275" spans="7:7" x14ac:dyDescent="0.25">
      <c r="G2275"/>
    </row>
    <row r="2276" spans="7:7" x14ac:dyDescent="0.25">
      <c r="G2276"/>
    </row>
    <row r="2277" spans="7:7" x14ac:dyDescent="0.25">
      <c r="G2277"/>
    </row>
    <row r="2278" spans="7:7" x14ac:dyDescent="0.25">
      <c r="G2278"/>
    </row>
    <row r="2279" spans="7:7" x14ac:dyDescent="0.25">
      <c r="G2279"/>
    </row>
    <row r="2280" spans="7:7" x14ac:dyDescent="0.25">
      <c r="G2280"/>
    </row>
    <row r="2281" spans="7:7" x14ac:dyDescent="0.25">
      <c r="G2281"/>
    </row>
    <row r="2282" spans="7:7" x14ac:dyDescent="0.25">
      <c r="G2282"/>
    </row>
    <row r="2283" spans="7:7" x14ac:dyDescent="0.25">
      <c r="G2283"/>
    </row>
    <row r="2284" spans="7:7" x14ac:dyDescent="0.25">
      <c r="G2284"/>
    </row>
    <row r="2285" spans="7:7" x14ac:dyDescent="0.25">
      <c r="G2285"/>
    </row>
    <row r="2286" spans="7:7" x14ac:dyDescent="0.25">
      <c r="G2286"/>
    </row>
    <row r="2287" spans="7:7" x14ac:dyDescent="0.25">
      <c r="G2287"/>
    </row>
    <row r="2288" spans="7:7" x14ac:dyDescent="0.25">
      <c r="G2288"/>
    </row>
    <row r="2289" spans="7:7" x14ac:dyDescent="0.25">
      <c r="G2289"/>
    </row>
    <row r="2290" spans="7:7" x14ac:dyDescent="0.25">
      <c r="G2290"/>
    </row>
    <row r="2291" spans="7:7" x14ac:dyDescent="0.25">
      <c r="G2291"/>
    </row>
    <row r="2292" spans="7:7" x14ac:dyDescent="0.25">
      <c r="G2292"/>
    </row>
    <row r="2293" spans="7:7" x14ac:dyDescent="0.25">
      <c r="G2293"/>
    </row>
    <row r="2294" spans="7:7" x14ac:dyDescent="0.25">
      <c r="G2294"/>
    </row>
    <row r="2295" spans="7:7" x14ac:dyDescent="0.25">
      <c r="G2295"/>
    </row>
    <row r="2296" spans="7:7" x14ac:dyDescent="0.25">
      <c r="G2296"/>
    </row>
    <row r="2297" spans="7:7" x14ac:dyDescent="0.25">
      <c r="G2297"/>
    </row>
    <row r="2298" spans="7:7" x14ac:dyDescent="0.25">
      <c r="G2298"/>
    </row>
    <row r="2299" spans="7:7" x14ac:dyDescent="0.25">
      <c r="G2299"/>
    </row>
    <row r="2300" spans="7:7" x14ac:dyDescent="0.25">
      <c r="G2300"/>
    </row>
    <row r="2301" spans="7:7" x14ac:dyDescent="0.25">
      <c r="G2301"/>
    </row>
    <row r="2302" spans="7:7" x14ac:dyDescent="0.25">
      <c r="G2302"/>
    </row>
    <row r="2303" spans="7:7" x14ac:dyDescent="0.25">
      <c r="G2303"/>
    </row>
    <row r="2304" spans="7:7" x14ac:dyDescent="0.25">
      <c r="G2304"/>
    </row>
    <row r="2305" spans="7:7" x14ac:dyDescent="0.25">
      <c r="G2305"/>
    </row>
    <row r="2306" spans="7:7" x14ac:dyDescent="0.25">
      <c r="G2306"/>
    </row>
    <row r="2307" spans="7:7" x14ac:dyDescent="0.25">
      <c r="G2307"/>
    </row>
    <row r="2308" spans="7:7" x14ac:dyDescent="0.25">
      <c r="G2308"/>
    </row>
    <row r="2309" spans="7:7" x14ac:dyDescent="0.25">
      <c r="G2309"/>
    </row>
    <row r="2310" spans="7:7" x14ac:dyDescent="0.25">
      <c r="G2310"/>
    </row>
    <row r="2311" spans="7:7" x14ac:dyDescent="0.25">
      <c r="G2311"/>
    </row>
    <row r="2312" spans="7:7" x14ac:dyDescent="0.25">
      <c r="G2312"/>
    </row>
    <row r="2313" spans="7:7" x14ac:dyDescent="0.25">
      <c r="G2313"/>
    </row>
    <row r="2314" spans="7:7" x14ac:dyDescent="0.25">
      <c r="G2314"/>
    </row>
    <row r="2315" spans="7:7" x14ac:dyDescent="0.25">
      <c r="G2315"/>
    </row>
    <row r="2316" spans="7:7" x14ac:dyDescent="0.25">
      <c r="G2316"/>
    </row>
    <row r="2317" spans="7:7" x14ac:dyDescent="0.25">
      <c r="G2317"/>
    </row>
    <row r="2318" spans="7:7" x14ac:dyDescent="0.25">
      <c r="G2318"/>
    </row>
    <row r="2319" spans="7:7" x14ac:dyDescent="0.25">
      <c r="G2319"/>
    </row>
    <row r="2320" spans="7:7" x14ac:dyDescent="0.25">
      <c r="G2320"/>
    </row>
    <row r="2321" spans="7:7" x14ac:dyDescent="0.25">
      <c r="G2321"/>
    </row>
    <row r="2322" spans="7:7" x14ac:dyDescent="0.25">
      <c r="G2322"/>
    </row>
    <row r="2323" spans="7:7" x14ac:dyDescent="0.25">
      <c r="G2323"/>
    </row>
    <row r="2324" spans="7:7" x14ac:dyDescent="0.25">
      <c r="G2324"/>
    </row>
    <row r="2325" spans="7:7" x14ac:dyDescent="0.25">
      <c r="G2325"/>
    </row>
    <row r="2326" spans="7:7" x14ac:dyDescent="0.25">
      <c r="G2326"/>
    </row>
    <row r="2327" spans="7:7" x14ac:dyDescent="0.25">
      <c r="G2327"/>
    </row>
    <row r="2328" spans="7:7" x14ac:dyDescent="0.25">
      <c r="G2328"/>
    </row>
    <row r="2329" spans="7:7" x14ac:dyDescent="0.25">
      <c r="G2329"/>
    </row>
    <row r="2330" spans="7:7" x14ac:dyDescent="0.25">
      <c r="G2330"/>
    </row>
    <row r="2331" spans="7:7" x14ac:dyDescent="0.25">
      <c r="G2331"/>
    </row>
    <row r="2332" spans="7:7" x14ac:dyDescent="0.25">
      <c r="G2332"/>
    </row>
    <row r="2333" spans="7:7" x14ac:dyDescent="0.25">
      <c r="G2333"/>
    </row>
    <row r="2334" spans="7:7" x14ac:dyDescent="0.25">
      <c r="G2334"/>
    </row>
    <row r="2335" spans="7:7" x14ac:dyDescent="0.25">
      <c r="G2335"/>
    </row>
    <row r="2336" spans="7:7" x14ac:dyDescent="0.25">
      <c r="G2336"/>
    </row>
    <row r="2337" spans="7:7" x14ac:dyDescent="0.25">
      <c r="G2337"/>
    </row>
    <row r="2338" spans="7:7" x14ac:dyDescent="0.25">
      <c r="G2338"/>
    </row>
    <row r="2339" spans="7:7" x14ac:dyDescent="0.25">
      <c r="G2339"/>
    </row>
    <row r="2340" spans="7:7" x14ac:dyDescent="0.25">
      <c r="G2340"/>
    </row>
    <row r="2341" spans="7:7" x14ac:dyDescent="0.25">
      <c r="G2341"/>
    </row>
    <row r="2342" spans="7:7" x14ac:dyDescent="0.25">
      <c r="G2342"/>
    </row>
    <row r="2343" spans="7:7" x14ac:dyDescent="0.25">
      <c r="G2343"/>
    </row>
    <row r="2344" spans="7:7" x14ac:dyDescent="0.25">
      <c r="G2344"/>
    </row>
    <row r="2345" spans="7:7" x14ac:dyDescent="0.25">
      <c r="G2345"/>
    </row>
    <row r="2346" spans="7:7" x14ac:dyDescent="0.25">
      <c r="G2346"/>
    </row>
    <row r="2347" spans="7:7" x14ac:dyDescent="0.25">
      <c r="G2347"/>
    </row>
    <row r="2348" spans="7:7" x14ac:dyDescent="0.25">
      <c r="G2348"/>
    </row>
    <row r="2349" spans="7:7" x14ac:dyDescent="0.25">
      <c r="G2349"/>
    </row>
    <row r="2350" spans="7:7" x14ac:dyDescent="0.25">
      <c r="G2350"/>
    </row>
    <row r="2351" spans="7:7" x14ac:dyDescent="0.25">
      <c r="G2351"/>
    </row>
    <row r="2352" spans="7:7" x14ac:dyDescent="0.25">
      <c r="G2352"/>
    </row>
    <row r="2353" spans="7:7" x14ac:dyDescent="0.25">
      <c r="G2353"/>
    </row>
    <row r="2354" spans="7:7" x14ac:dyDescent="0.25">
      <c r="G2354"/>
    </row>
    <row r="2355" spans="7:7" x14ac:dyDescent="0.25">
      <c r="G2355"/>
    </row>
    <row r="2356" spans="7:7" x14ac:dyDescent="0.25">
      <c r="G2356"/>
    </row>
    <row r="2357" spans="7:7" x14ac:dyDescent="0.25">
      <c r="G2357"/>
    </row>
    <row r="2358" spans="7:7" x14ac:dyDescent="0.25">
      <c r="G2358"/>
    </row>
    <row r="2359" spans="7:7" x14ac:dyDescent="0.25">
      <c r="G2359"/>
    </row>
    <row r="2360" spans="7:7" x14ac:dyDescent="0.25">
      <c r="G2360"/>
    </row>
    <row r="2361" spans="7:7" x14ac:dyDescent="0.25">
      <c r="G2361"/>
    </row>
    <row r="2362" spans="7:7" x14ac:dyDescent="0.25">
      <c r="G2362"/>
    </row>
    <row r="2363" spans="7:7" x14ac:dyDescent="0.25">
      <c r="G2363"/>
    </row>
    <row r="2364" spans="7:7" x14ac:dyDescent="0.25">
      <c r="G2364"/>
    </row>
    <row r="2365" spans="7:7" x14ac:dyDescent="0.25">
      <c r="G2365"/>
    </row>
    <row r="2366" spans="7:7" x14ac:dyDescent="0.25">
      <c r="G2366"/>
    </row>
    <row r="2367" spans="7:7" x14ac:dyDescent="0.25">
      <c r="G2367"/>
    </row>
    <row r="2368" spans="7:7" x14ac:dyDescent="0.25">
      <c r="G2368"/>
    </row>
    <row r="2369" spans="7:7" x14ac:dyDescent="0.25">
      <c r="G2369"/>
    </row>
    <row r="2370" spans="7:7" x14ac:dyDescent="0.25">
      <c r="G2370"/>
    </row>
    <row r="2371" spans="7:7" x14ac:dyDescent="0.25">
      <c r="G2371"/>
    </row>
    <row r="2372" spans="7:7" x14ac:dyDescent="0.25">
      <c r="G2372"/>
    </row>
    <row r="2373" spans="7:7" x14ac:dyDescent="0.25">
      <c r="G2373"/>
    </row>
    <row r="2374" spans="7:7" x14ac:dyDescent="0.25">
      <c r="G2374"/>
    </row>
    <row r="2375" spans="7:7" x14ac:dyDescent="0.25">
      <c r="G2375"/>
    </row>
    <row r="2376" spans="7:7" x14ac:dyDescent="0.25">
      <c r="G2376"/>
    </row>
    <row r="2377" spans="7:7" x14ac:dyDescent="0.25">
      <c r="G2377"/>
    </row>
    <row r="2378" spans="7:7" x14ac:dyDescent="0.25">
      <c r="G2378"/>
    </row>
    <row r="2379" spans="7:7" x14ac:dyDescent="0.25">
      <c r="G2379"/>
    </row>
    <row r="2380" spans="7:7" x14ac:dyDescent="0.25">
      <c r="G2380"/>
    </row>
    <row r="2381" spans="7:7" x14ac:dyDescent="0.25">
      <c r="G2381"/>
    </row>
    <row r="2382" spans="7:7" x14ac:dyDescent="0.25">
      <c r="G2382"/>
    </row>
    <row r="2383" spans="7:7" x14ac:dyDescent="0.25">
      <c r="G2383"/>
    </row>
    <row r="2384" spans="7:7" x14ac:dyDescent="0.25">
      <c r="G2384"/>
    </row>
    <row r="2385" spans="7:7" x14ac:dyDescent="0.25">
      <c r="G2385"/>
    </row>
    <row r="2386" spans="7:7" x14ac:dyDescent="0.25">
      <c r="G2386"/>
    </row>
    <row r="2387" spans="7:7" x14ac:dyDescent="0.25">
      <c r="G2387"/>
    </row>
    <row r="2388" spans="7:7" x14ac:dyDescent="0.25">
      <c r="G2388"/>
    </row>
    <row r="2389" spans="7:7" x14ac:dyDescent="0.25">
      <c r="G2389"/>
    </row>
    <row r="2390" spans="7:7" x14ac:dyDescent="0.25">
      <c r="G2390"/>
    </row>
    <row r="2391" spans="7:7" x14ac:dyDescent="0.25">
      <c r="G2391"/>
    </row>
    <row r="2392" spans="7:7" x14ac:dyDescent="0.25">
      <c r="G2392"/>
    </row>
    <row r="2393" spans="7:7" x14ac:dyDescent="0.25">
      <c r="G2393"/>
    </row>
    <row r="2394" spans="7:7" x14ac:dyDescent="0.25">
      <c r="G2394"/>
    </row>
    <row r="2395" spans="7:7" x14ac:dyDescent="0.25">
      <c r="G2395"/>
    </row>
    <row r="2396" spans="7:7" x14ac:dyDescent="0.25">
      <c r="G2396"/>
    </row>
    <row r="2397" spans="7:7" x14ac:dyDescent="0.25">
      <c r="G2397"/>
    </row>
    <row r="2398" spans="7:7" x14ac:dyDescent="0.25">
      <c r="G2398"/>
    </row>
    <row r="2399" spans="7:7" x14ac:dyDescent="0.25">
      <c r="G2399"/>
    </row>
    <row r="2400" spans="7:7" x14ac:dyDescent="0.25">
      <c r="G2400"/>
    </row>
    <row r="2401" spans="7:7" x14ac:dyDescent="0.25">
      <c r="G2401"/>
    </row>
    <row r="2402" spans="7:7" x14ac:dyDescent="0.25">
      <c r="G2402"/>
    </row>
    <row r="2403" spans="7:7" x14ac:dyDescent="0.25">
      <c r="G2403"/>
    </row>
    <row r="2404" spans="7:7" x14ac:dyDescent="0.25">
      <c r="G2404"/>
    </row>
    <row r="2405" spans="7:7" x14ac:dyDescent="0.25">
      <c r="G2405"/>
    </row>
    <row r="2406" spans="7:7" x14ac:dyDescent="0.25">
      <c r="G2406"/>
    </row>
    <row r="2407" spans="7:7" x14ac:dyDescent="0.25">
      <c r="G2407"/>
    </row>
    <row r="2408" spans="7:7" x14ac:dyDescent="0.25">
      <c r="G2408"/>
    </row>
    <row r="2409" spans="7:7" x14ac:dyDescent="0.25">
      <c r="G2409"/>
    </row>
    <row r="2410" spans="7:7" x14ac:dyDescent="0.25">
      <c r="G2410"/>
    </row>
    <row r="2411" spans="7:7" x14ac:dyDescent="0.25">
      <c r="G2411"/>
    </row>
    <row r="2412" spans="7:7" x14ac:dyDescent="0.25">
      <c r="G2412"/>
    </row>
    <row r="2413" spans="7:7" x14ac:dyDescent="0.25">
      <c r="G2413"/>
    </row>
    <row r="2414" spans="7:7" x14ac:dyDescent="0.25">
      <c r="G2414"/>
    </row>
    <row r="2415" spans="7:7" x14ac:dyDescent="0.25">
      <c r="G2415"/>
    </row>
    <row r="2416" spans="7:7" x14ac:dyDescent="0.25">
      <c r="G2416"/>
    </row>
    <row r="2417" spans="7:7" x14ac:dyDescent="0.25">
      <c r="G2417"/>
    </row>
    <row r="2418" spans="7:7" x14ac:dyDescent="0.25">
      <c r="G2418"/>
    </row>
    <row r="2419" spans="7:7" x14ac:dyDescent="0.25">
      <c r="G2419"/>
    </row>
    <row r="2420" spans="7:7" x14ac:dyDescent="0.25">
      <c r="G2420"/>
    </row>
    <row r="2421" spans="7:7" x14ac:dyDescent="0.25">
      <c r="G2421"/>
    </row>
    <row r="2422" spans="7:7" x14ac:dyDescent="0.25">
      <c r="G2422"/>
    </row>
    <row r="2423" spans="7:7" x14ac:dyDescent="0.25">
      <c r="G2423"/>
    </row>
    <row r="2424" spans="7:7" x14ac:dyDescent="0.25">
      <c r="G2424"/>
    </row>
    <row r="2425" spans="7:7" x14ac:dyDescent="0.25">
      <c r="G2425"/>
    </row>
    <row r="2426" spans="7:7" x14ac:dyDescent="0.25">
      <c r="G2426"/>
    </row>
    <row r="2427" spans="7:7" x14ac:dyDescent="0.25">
      <c r="G2427"/>
    </row>
    <row r="2428" spans="7:7" x14ac:dyDescent="0.25">
      <c r="G2428"/>
    </row>
    <row r="2429" spans="7:7" x14ac:dyDescent="0.25">
      <c r="G2429"/>
    </row>
    <row r="2430" spans="7:7" x14ac:dyDescent="0.25">
      <c r="G2430"/>
    </row>
    <row r="2431" spans="7:7" x14ac:dyDescent="0.25">
      <c r="G2431"/>
    </row>
    <row r="2432" spans="7:7" x14ac:dyDescent="0.25">
      <c r="G2432"/>
    </row>
    <row r="2433" spans="7:7" x14ac:dyDescent="0.25">
      <c r="G2433"/>
    </row>
    <row r="2434" spans="7:7" x14ac:dyDescent="0.25">
      <c r="G2434"/>
    </row>
    <row r="2435" spans="7:7" x14ac:dyDescent="0.25">
      <c r="G2435"/>
    </row>
    <row r="2436" spans="7:7" x14ac:dyDescent="0.25">
      <c r="G2436"/>
    </row>
    <row r="2437" spans="7:7" x14ac:dyDescent="0.25">
      <c r="G2437"/>
    </row>
    <row r="2438" spans="7:7" x14ac:dyDescent="0.25">
      <c r="G2438"/>
    </row>
    <row r="2439" spans="7:7" x14ac:dyDescent="0.25">
      <c r="G2439"/>
    </row>
    <row r="2440" spans="7:7" x14ac:dyDescent="0.25">
      <c r="G2440"/>
    </row>
    <row r="2441" spans="7:7" x14ac:dyDescent="0.25">
      <c r="G2441"/>
    </row>
    <row r="2442" spans="7:7" x14ac:dyDescent="0.25">
      <c r="G2442"/>
    </row>
    <row r="2443" spans="7:7" x14ac:dyDescent="0.25">
      <c r="G2443"/>
    </row>
    <row r="2444" spans="7:7" x14ac:dyDescent="0.25">
      <c r="G2444"/>
    </row>
    <row r="2445" spans="7:7" x14ac:dyDescent="0.25">
      <c r="G2445"/>
    </row>
    <row r="2446" spans="7:7" x14ac:dyDescent="0.25">
      <c r="G2446"/>
    </row>
    <row r="2447" spans="7:7" x14ac:dyDescent="0.25">
      <c r="G2447"/>
    </row>
    <row r="2448" spans="7:7" x14ac:dyDescent="0.25">
      <c r="G2448"/>
    </row>
    <row r="2449" spans="7:7" x14ac:dyDescent="0.25">
      <c r="G2449"/>
    </row>
    <row r="2450" spans="7:7" x14ac:dyDescent="0.25">
      <c r="G2450"/>
    </row>
    <row r="2451" spans="7:7" x14ac:dyDescent="0.25">
      <c r="G2451"/>
    </row>
    <row r="2452" spans="7:7" x14ac:dyDescent="0.25">
      <c r="G2452"/>
    </row>
    <row r="2453" spans="7:7" x14ac:dyDescent="0.25">
      <c r="G2453"/>
    </row>
    <row r="2454" spans="7:7" x14ac:dyDescent="0.25">
      <c r="G2454"/>
    </row>
    <row r="2455" spans="7:7" x14ac:dyDescent="0.25">
      <c r="G2455"/>
    </row>
    <row r="2456" spans="7:7" x14ac:dyDescent="0.25">
      <c r="G2456"/>
    </row>
    <row r="2457" spans="7:7" x14ac:dyDescent="0.25">
      <c r="G2457"/>
    </row>
    <row r="2458" spans="7:7" x14ac:dyDescent="0.25">
      <c r="G2458"/>
    </row>
    <row r="2459" spans="7:7" x14ac:dyDescent="0.25">
      <c r="G2459"/>
    </row>
    <row r="2460" spans="7:7" x14ac:dyDescent="0.25">
      <c r="G2460"/>
    </row>
    <row r="2461" spans="7:7" x14ac:dyDescent="0.25">
      <c r="G2461"/>
    </row>
    <row r="2462" spans="7:7" x14ac:dyDescent="0.25">
      <c r="G2462"/>
    </row>
    <row r="2463" spans="7:7" x14ac:dyDescent="0.25">
      <c r="G2463"/>
    </row>
    <row r="2464" spans="7:7" x14ac:dyDescent="0.25">
      <c r="G2464"/>
    </row>
    <row r="2465" spans="7:7" x14ac:dyDescent="0.25">
      <c r="G2465"/>
    </row>
    <row r="2466" spans="7:7" x14ac:dyDescent="0.25">
      <c r="G2466"/>
    </row>
    <row r="2467" spans="7:7" x14ac:dyDescent="0.25">
      <c r="G2467"/>
    </row>
    <row r="2468" spans="7:7" x14ac:dyDescent="0.25">
      <c r="G2468"/>
    </row>
    <row r="2469" spans="7:7" x14ac:dyDescent="0.25">
      <c r="G2469"/>
    </row>
    <row r="2470" spans="7:7" x14ac:dyDescent="0.25">
      <c r="G2470"/>
    </row>
    <row r="2471" spans="7:7" x14ac:dyDescent="0.25">
      <c r="G2471"/>
    </row>
    <row r="2472" spans="7:7" x14ac:dyDescent="0.25">
      <c r="G2472"/>
    </row>
    <row r="2473" spans="7:7" x14ac:dyDescent="0.25">
      <c r="G2473"/>
    </row>
    <row r="2474" spans="7:7" x14ac:dyDescent="0.25">
      <c r="G2474"/>
    </row>
    <row r="2475" spans="7:7" x14ac:dyDescent="0.25">
      <c r="G2475"/>
    </row>
    <row r="2476" spans="7:7" x14ac:dyDescent="0.25">
      <c r="G2476"/>
    </row>
    <row r="2477" spans="7:7" x14ac:dyDescent="0.25">
      <c r="G2477"/>
    </row>
    <row r="2478" spans="7:7" x14ac:dyDescent="0.25">
      <c r="G2478"/>
    </row>
    <row r="2479" spans="7:7" x14ac:dyDescent="0.25">
      <c r="G2479"/>
    </row>
    <row r="2480" spans="7:7" x14ac:dyDescent="0.25">
      <c r="G2480"/>
    </row>
    <row r="2481" spans="7:7" x14ac:dyDescent="0.25">
      <c r="G2481"/>
    </row>
    <row r="2482" spans="7:7" x14ac:dyDescent="0.25">
      <c r="G2482"/>
    </row>
    <row r="2483" spans="7:7" x14ac:dyDescent="0.25">
      <c r="G2483"/>
    </row>
    <row r="2484" spans="7:7" x14ac:dyDescent="0.25">
      <c r="G2484"/>
    </row>
    <row r="2485" spans="7:7" x14ac:dyDescent="0.25">
      <c r="G2485"/>
    </row>
    <row r="2486" spans="7:7" x14ac:dyDescent="0.25">
      <c r="G2486"/>
    </row>
  </sheetData>
  <conditionalFormatting sqref="A2:A56">
    <cfRule type="containsText" dxfId="92" priority="5" operator="containsText" text="Partner Acct">
      <formula>NOT(ISERROR(SEARCH("Partner Acct",A2)))</formula>
    </cfRule>
  </conditionalFormatting>
  <conditionalFormatting pivot="1" sqref="D2:D424">
    <cfRule type="cellIs" dxfId="91" priority="4" operator="lessThan">
      <formula>0</formula>
    </cfRule>
  </conditionalFormatting>
  <conditionalFormatting pivot="1" sqref="H2:H424">
    <cfRule type="cellIs" dxfId="90" priority="3" operator="lessThan">
      <formula>0</formula>
    </cfRule>
  </conditionalFormatting>
  <conditionalFormatting pivot="1" sqref="E2:E424">
    <cfRule type="cellIs" dxfId="89" priority="2" operator="lessThan">
      <formula>0</formula>
    </cfRule>
  </conditionalFormatting>
  <conditionalFormatting pivot="1" sqref="I2:I424">
    <cfRule type="cellIs" dxfId="88" priority="1" operator="lessThan">
      <formula>0</formula>
    </cfRule>
  </conditionalFormatting>
  <pageMargins left="0.7" right="0.7" top="0.75" bottom="0.75" header="0.3" footer="0.3"/>
  <pageSetup scale="85" orientation="landscape" r:id="rId2"/>
  <customProperties>
    <customPr name="_pios_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644"/>
  <sheetViews>
    <sheetView zoomScaleNormal="100" workbookViewId="0"/>
  </sheetViews>
  <sheetFormatPr defaultRowHeight="12.5" x14ac:dyDescent="0.25"/>
  <cols>
    <col min="1" max="1" width="24.6328125" bestFit="1" customWidth="1"/>
    <col min="2" max="3" width="9.90625" bestFit="1" customWidth="1"/>
    <col min="4" max="4" width="10.26953125" bestFit="1" customWidth="1"/>
    <col min="5" max="5" width="7.90625" bestFit="1" customWidth="1"/>
    <col min="6" max="6" width="9.90625" bestFit="1" customWidth="1"/>
    <col min="7" max="7" width="9.90625" style="1" bestFit="1" customWidth="1"/>
    <col min="8" max="8" width="9.54296875" bestFit="1" customWidth="1"/>
    <col min="9" max="9" width="7.90625" bestFit="1" customWidth="1"/>
    <col min="10" max="10" width="7.1796875" customWidth="1"/>
    <col min="11" max="11" width="8" customWidth="1"/>
    <col min="12" max="12" width="8.1796875" customWidth="1"/>
  </cols>
  <sheetData>
    <row r="1" spans="1:11" s="33" customFormat="1" ht="52" x14ac:dyDescent="0.3">
      <c r="A1" s="57" t="s">
        <v>73</v>
      </c>
      <c r="B1" s="37" t="s">
        <v>920</v>
      </c>
      <c r="C1" s="38" t="s">
        <v>915</v>
      </c>
      <c r="D1" s="38" t="s">
        <v>916</v>
      </c>
      <c r="E1" s="39" t="s">
        <v>917</v>
      </c>
      <c r="F1" s="37" t="s">
        <v>921</v>
      </c>
      <c r="G1" s="38" t="s">
        <v>644</v>
      </c>
      <c r="H1" s="38" t="s">
        <v>918</v>
      </c>
      <c r="I1" s="39" t="s">
        <v>919</v>
      </c>
      <c r="J1"/>
      <c r="K1"/>
    </row>
    <row r="2" spans="1:11" x14ac:dyDescent="0.25">
      <c r="A2" s="21" t="s">
        <v>61</v>
      </c>
      <c r="B2" s="27">
        <v>2591193.5699999998</v>
      </c>
      <c r="C2" s="27">
        <v>2760137.32</v>
      </c>
      <c r="D2" s="28">
        <v>-168943.75</v>
      </c>
      <c r="E2" s="30">
        <v>-6.1208458280619174E-2</v>
      </c>
      <c r="F2" s="40">
        <v>5578347.4390000012</v>
      </c>
      <c r="G2" s="29">
        <v>6203483.8689999999</v>
      </c>
      <c r="H2" s="29">
        <v>-625136.42999999877</v>
      </c>
      <c r="I2" s="41">
        <v>-0.10077183131303452</v>
      </c>
    </row>
    <row r="3" spans="1:11" x14ac:dyDescent="0.25">
      <c r="A3" s="21" t="s">
        <v>19</v>
      </c>
      <c r="B3" s="27">
        <v>1024460.4299999999</v>
      </c>
      <c r="C3" s="27">
        <v>1026883.3099999995</v>
      </c>
      <c r="D3" s="28">
        <v>-2422.879999999539</v>
      </c>
      <c r="E3" s="30">
        <v>-2.3594501696590437E-3</v>
      </c>
      <c r="F3" s="40">
        <v>4310686.3480000002</v>
      </c>
      <c r="G3" s="29">
        <v>4493343.978000002</v>
      </c>
      <c r="H3" s="29">
        <v>-182657.63000000175</v>
      </c>
      <c r="I3" s="41">
        <v>-4.0650711562328037E-2</v>
      </c>
    </row>
    <row r="4" spans="1:11" x14ac:dyDescent="0.25">
      <c r="A4" s="21" t="s">
        <v>18</v>
      </c>
      <c r="B4" s="27">
        <v>891273.64000000013</v>
      </c>
      <c r="C4" s="27">
        <v>1204697.1900000004</v>
      </c>
      <c r="D4" s="28">
        <v>-313423.55000000028</v>
      </c>
      <c r="E4" s="30">
        <v>-0.26016790991269778</v>
      </c>
      <c r="F4" s="40">
        <v>3211991.1030000006</v>
      </c>
      <c r="G4" s="29">
        <v>4601442.2680000002</v>
      </c>
      <c r="H4" s="29">
        <v>-1389451.1649999996</v>
      </c>
      <c r="I4" s="41">
        <v>-0.30195992562217222</v>
      </c>
    </row>
    <row r="5" spans="1:11" x14ac:dyDescent="0.25">
      <c r="A5" s="21" t="s">
        <v>70</v>
      </c>
      <c r="B5" s="27">
        <v>172380.61</v>
      </c>
      <c r="C5" s="27">
        <v>224768.34000000003</v>
      </c>
      <c r="D5" s="28">
        <v>-52387.73000000004</v>
      </c>
      <c r="E5" s="30">
        <v>-0.23307432888457527</v>
      </c>
      <c r="F5" s="40">
        <v>432687.2</v>
      </c>
      <c r="G5" s="29">
        <v>731963.1</v>
      </c>
      <c r="H5" s="29">
        <v>-299275.89999999997</v>
      </c>
      <c r="I5" s="41">
        <v>-0.40886746886557529</v>
      </c>
    </row>
    <row r="6" spans="1:11" x14ac:dyDescent="0.25">
      <c r="A6" s="21" t="s">
        <v>63</v>
      </c>
      <c r="B6" s="27">
        <v>124761.26</v>
      </c>
      <c r="C6" s="27">
        <v>123700.98999999999</v>
      </c>
      <c r="D6" s="28">
        <v>1060.2700000000041</v>
      </c>
      <c r="E6" s="30">
        <v>8.5712329383944644E-3</v>
      </c>
      <c r="F6" s="40">
        <v>455531.0610000001</v>
      </c>
      <c r="G6" s="29">
        <v>482408.49100000004</v>
      </c>
      <c r="H6" s="29">
        <v>-26877.429999999935</v>
      </c>
      <c r="I6" s="41">
        <v>-5.5715084832534449E-2</v>
      </c>
    </row>
    <row r="7" spans="1:11" x14ac:dyDescent="0.25">
      <c r="A7" s="21" t="s">
        <v>65</v>
      </c>
      <c r="B7" s="27">
        <v>120830.76000000001</v>
      </c>
      <c r="C7" s="27">
        <v>50586.149999999994</v>
      </c>
      <c r="D7" s="28">
        <v>70244.610000000015</v>
      </c>
      <c r="E7" s="30">
        <v>1.3886134841255962</v>
      </c>
      <c r="F7" s="40">
        <v>109999.77</v>
      </c>
      <c r="G7" s="29">
        <v>52363.979999999996</v>
      </c>
      <c r="H7" s="29">
        <v>57635.790000000008</v>
      </c>
      <c r="I7" s="41">
        <v>1.1006762663953353</v>
      </c>
    </row>
    <row r="8" spans="1:11" x14ac:dyDescent="0.25">
      <c r="A8" s="21" t="s">
        <v>79</v>
      </c>
      <c r="B8" s="27">
        <v>91188.359999999986</v>
      </c>
      <c r="C8" s="27">
        <v>65933.760000000009</v>
      </c>
      <c r="D8" s="28">
        <v>25254.599999999977</v>
      </c>
      <c r="E8" s="30">
        <v>0.38302987725863008</v>
      </c>
      <c r="F8" s="40">
        <v>249337.43999999997</v>
      </c>
      <c r="G8" s="29">
        <v>204949.26</v>
      </c>
      <c r="H8" s="29">
        <v>44388.179999999964</v>
      </c>
      <c r="I8" s="41">
        <v>0.21658131383348231</v>
      </c>
    </row>
    <row r="9" spans="1:11" x14ac:dyDescent="0.25">
      <c r="A9" s="21" t="s">
        <v>55</v>
      </c>
      <c r="B9" s="27">
        <v>66748.66</v>
      </c>
      <c r="C9" s="27">
        <v>58267.33</v>
      </c>
      <c r="D9" s="28">
        <v>8481.3300000000017</v>
      </c>
      <c r="E9" s="30">
        <v>0.14555892641725648</v>
      </c>
      <c r="F9" s="40">
        <v>220557.14</v>
      </c>
      <c r="G9" s="29">
        <v>199089.19699999999</v>
      </c>
      <c r="H9" s="29">
        <v>21467.943000000028</v>
      </c>
      <c r="I9" s="41">
        <v>0.10783077798038448</v>
      </c>
    </row>
    <row r="10" spans="1:11" x14ac:dyDescent="0.25">
      <c r="A10" s="21" t="s">
        <v>58</v>
      </c>
      <c r="B10" s="27">
        <v>36863.949999999997</v>
      </c>
      <c r="C10" s="27">
        <v>43572.770000000004</v>
      </c>
      <c r="D10" s="28">
        <v>-6708.820000000007</v>
      </c>
      <c r="E10" s="30">
        <v>-0.1539681778321646</v>
      </c>
      <c r="F10" s="40">
        <v>71846.58100000002</v>
      </c>
      <c r="G10" s="29">
        <v>85839.1</v>
      </c>
      <c r="H10" s="29">
        <v>-13992.518999999986</v>
      </c>
      <c r="I10" s="41">
        <v>-0.16300868718334635</v>
      </c>
    </row>
    <row r="11" spans="1:11" x14ac:dyDescent="0.25">
      <c r="A11" s="21" t="s">
        <v>62</v>
      </c>
      <c r="B11" s="27">
        <v>28550.509999999995</v>
      </c>
      <c r="C11" s="27">
        <v>78258.14</v>
      </c>
      <c r="D11" s="28">
        <v>-49707.630000000005</v>
      </c>
      <c r="E11" s="30">
        <v>-0.63517520349959766</v>
      </c>
      <c r="F11" s="40">
        <v>60338.759999999987</v>
      </c>
      <c r="G11" s="29">
        <v>224338.63100000005</v>
      </c>
      <c r="H11" s="29">
        <v>-163999.87100000007</v>
      </c>
      <c r="I11" s="41">
        <v>-0.73103713911849644</v>
      </c>
    </row>
    <row r="12" spans="1:11" x14ac:dyDescent="0.25">
      <c r="A12" s="21" t="s">
        <v>59</v>
      </c>
      <c r="B12" s="27">
        <v>26153.380000000005</v>
      </c>
      <c r="C12" s="27">
        <v>43609.81</v>
      </c>
      <c r="D12" s="28">
        <v>-17456.429999999993</v>
      </c>
      <c r="E12" s="30">
        <v>-0.40028677033905891</v>
      </c>
      <c r="F12" s="40">
        <v>23983.799999999996</v>
      </c>
      <c r="G12" s="29">
        <v>41734.790000000008</v>
      </c>
      <c r="H12" s="29">
        <v>-17750.990000000013</v>
      </c>
      <c r="I12" s="41">
        <v>-0.42532836513613725</v>
      </c>
    </row>
    <row r="13" spans="1:11" x14ac:dyDescent="0.25">
      <c r="A13" s="21" t="s">
        <v>400</v>
      </c>
      <c r="B13" s="27">
        <v>25590.71</v>
      </c>
      <c r="C13" s="27">
        <v>127473.78000000001</v>
      </c>
      <c r="D13" s="28">
        <v>-101883.07</v>
      </c>
      <c r="E13" s="30">
        <v>-0.79924726481006525</v>
      </c>
      <c r="F13" s="40">
        <v>34535.160000000003</v>
      </c>
      <c r="G13" s="29">
        <v>190102.68</v>
      </c>
      <c r="H13" s="29">
        <v>-155567.51999999999</v>
      </c>
      <c r="I13" s="41">
        <v>-0.81833417603581393</v>
      </c>
    </row>
    <row r="14" spans="1:11" x14ac:dyDescent="0.25">
      <c r="A14" s="21" t="s">
        <v>56</v>
      </c>
      <c r="B14" s="27">
        <v>22484.559999999998</v>
      </c>
      <c r="C14" s="27">
        <v>44298.259999999995</v>
      </c>
      <c r="D14" s="28">
        <v>-21813.699999999997</v>
      </c>
      <c r="E14" s="30">
        <v>-0.49242791929073509</v>
      </c>
      <c r="F14" s="40">
        <v>115571.58399999999</v>
      </c>
      <c r="G14" s="29">
        <v>222908.23499999999</v>
      </c>
      <c r="H14" s="29">
        <v>-107336.651</v>
      </c>
      <c r="I14" s="41">
        <v>-0.48152842356855952</v>
      </c>
    </row>
    <row r="15" spans="1:11" x14ac:dyDescent="0.25">
      <c r="A15" s="21" t="s">
        <v>54</v>
      </c>
      <c r="B15" s="27">
        <v>22163.32</v>
      </c>
      <c r="C15" s="27">
        <v>105034.81</v>
      </c>
      <c r="D15" s="28">
        <v>-82871.489999999991</v>
      </c>
      <c r="E15" s="30">
        <v>-0.78899071650627062</v>
      </c>
      <c r="F15" s="40">
        <v>20480</v>
      </c>
      <c r="G15" s="29">
        <v>106003.42</v>
      </c>
      <c r="H15" s="29">
        <v>-85523.42</v>
      </c>
      <c r="I15" s="41">
        <v>-0.80679868630653617</v>
      </c>
    </row>
    <row r="16" spans="1:11" x14ac:dyDescent="0.25">
      <c r="A16" s="21" t="s">
        <v>23</v>
      </c>
      <c r="B16" s="27">
        <v>16151.240000000002</v>
      </c>
      <c r="C16" s="27">
        <v>11763.220000000001</v>
      </c>
      <c r="D16" s="28">
        <v>4388.0200000000004</v>
      </c>
      <c r="E16" s="30">
        <v>0.37302881353915002</v>
      </c>
      <c r="F16" s="40">
        <v>24342.630000000005</v>
      </c>
      <c r="G16" s="29">
        <v>19531.210000000003</v>
      </c>
      <c r="H16" s="29">
        <v>4811.4200000000019</v>
      </c>
      <c r="I16" s="41">
        <v>0.24634520851498709</v>
      </c>
    </row>
    <row r="17" spans="1:9" x14ac:dyDescent="0.25">
      <c r="A17" s="21" t="s">
        <v>76</v>
      </c>
      <c r="B17" s="27">
        <v>15529.31</v>
      </c>
      <c r="C17" s="27">
        <v>41005.97</v>
      </c>
      <c r="D17" s="28">
        <v>-25476.660000000003</v>
      </c>
      <c r="E17" s="30">
        <v>-0.62129148511789878</v>
      </c>
      <c r="F17" s="40">
        <v>53525.976000000002</v>
      </c>
      <c r="G17" s="29">
        <v>136316.016</v>
      </c>
      <c r="H17" s="29">
        <v>-82790.040000000008</v>
      </c>
      <c r="I17" s="41">
        <v>-0.60733905251456299</v>
      </c>
    </row>
    <row r="18" spans="1:9" x14ac:dyDescent="0.25">
      <c r="A18" s="21" t="s">
        <v>67</v>
      </c>
      <c r="B18" s="27">
        <v>14383.51</v>
      </c>
      <c r="C18" s="27">
        <v>10749.5</v>
      </c>
      <c r="D18" s="28">
        <v>3634.01</v>
      </c>
      <c r="E18" s="30">
        <v>0.33806316572863854</v>
      </c>
      <c r="F18" s="40">
        <v>9054.7520000000004</v>
      </c>
      <c r="G18" s="29">
        <v>7425.9840000000004</v>
      </c>
      <c r="H18" s="29">
        <v>1628.768</v>
      </c>
      <c r="I18" s="41">
        <v>0.21933362635847317</v>
      </c>
    </row>
    <row r="19" spans="1:9" x14ac:dyDescent="0.25">
      <c r="A19" s="21" t="s">
        <v>1151</v>
      </c>
      <c r="B19" s="27">
        <v>9107.2799999999988</v>
      </c>
      <c r="C19" s="27">
        <v>115.51</v>
      </c>
      <c r="D19" s="28">
        <v>8991.7699999999986</v>
      </c>
      <c r="E19" s="30">
        <v>77.844082763397097</v>
      </c>
      <c r="F19" s="40">
        <v>0</v>
      </c>
      <c r="G19" s="29">
        <v>0</v>
      </c>
      <c r="H19" s="29">
        <v>0</v>
      </c>
      <c r="I19" s="41">
        <v>0</v>
      </c>
    </row>
    <row r="20" spans="1:9" x14ac:dyDescent="0.25">
      <c r="A20" s="21" t="s">
        <v>21</v>
      </c>
      <c r="B20" s="27">
        <v>9107.2300000000014</v>
      </c>
      <c r="C20" s="27">
        <v>13343.83</v>
      </c>
      <c r="D20" s="28">
        <v>-4236.5999999999985</v>
      </c>
      <c r="E20" s="30">
        <v>-0.31749505202029693</v>
      </c>
      <c r="F20" s="40">
        <v>10835.899999999996</v>
      </c>
      <c r="G20" s="29">
        <v>16461.93</v>
      </c>
      <c r="H20" s="29">
        <v>-5626.0300000000043</v>
      </c>
      <c r="I20" s="41">
        <v>-0.34176004879136312</v>
      </c>
    </row>
    <row r="21" spans="1:9" x14ac:dyDescent="0.25">
      <c r="A21" s="21" t="s">
        <v>1016</v>
      </c>
      <c r="B21" s="27">
        <v>6704.84</v>
      </c>
      <c r="C21" s="27">
        <v>1810.51</v>
      </c>
      <c r="D21" s="28">
        <v>4894.33</v>
      </c>
      <c r="E21" s="30">
        <v>2.7032880238164938</v>
      </c>
      <c r="F21" s="40">
        <v>3864.46</v>
      </c>
      <c r="G21" s="29">
        <v>1136.5999999999999</v>
      </c>
      <c r="H21" s="29">
        <v>2727.86</v>
      </c>
      <c r="I21" s="41">
        <v>2.4000175963399615</v>
      </c>
    </row>
    <row r="22" spans="1:9" x14ac:dyDescent="0.25">
      <c r="A22" s="21" t="s">
        <v>1431</v>
      </c>
      <c r="B22" s="27">
        <v>6500.74</v>
      </c>
      <c r="C22" s="27"/>
      <c r="D22" s="28">
        <v>6500.74</v>
      </c>
      <c r="E22" s="30">
        <v>1</v>
      </c>
      <c r="F22" s="40">
        <v>31412.928</v>
      </c>
      <c r="G22" s="29"/>
      <c r="H22" s="29">
        <v>31412.928</v>
      </c>
      <c r="I22" s="41">
        <v>1</v>
      </c>
    </row>
    <row r="23" spans="1:9" x14ac:dyDescent="0.25">
      <c r="A23" s="21" t="s">
        <v>84</v>
      </c>
      <c r="B23" s="27">
        <v>5110.78</v>
      </c>
      <c r="C23" s="27">
        <v>3632.67</v>
      </c>
      <c r="D23" s="28">
        <v>1478.1099999999997</v>
      </c>
      <c r="E23" s="30">
        <v>0.40689355212557143</v>
      </c>
      <c r="F23" s="40">
        <v>7555.68</v>
      </c>
      <c r="G23" s="29">
        <v>4782.3</v>
      </c>
      <c r="H23" s="29">
        <v>2773.38</v>
      </c>
      <c r="I23" s="41">
        <v>0.57992597704033622</v>
      </c>
    </row>
    <row r="24" spans="1:9" x14ac:dyDescent="0.25">
      <c r="A24" s="21" t="s">
        <v>449</v>
      </c>
      <c r="B24" s="27">
        <v>5106.4900000000007</v>
      </c>
      <c r="C24" s="27">
        <v>3747.19</v>
      </c>
      <c r="D24" s="28">
        <v>1359.3000000000006</v>
      </c>
      <c r="E24" s="30">
        <v>0.36275182203197615</v>
      </c>
      <c r="F24" s="40">
        <v>3466.63</v>
      </c>
      <c r="G24" s="29">
        <v>2822.59</v>
      </c>
      <c r="H24" s="29">
        <v>644.04</v>
      </c>
      <c r="I24" s="41">
        <v>0.22817341519668105</v>
      </c>
    </row>
    <row r="25" spans="1:9" x14ac:dyDescent="0.25">
      <c r="A25" s="21" t="s">
        <v>1091</v>
      </c>
      <c r="B25" s="27">
        <v>5002.91</v>
      </c>
      <c r="C25" s="27">
        <v>2259.6999999999998</v>
      </c>
      <c r="D25" s="28">
        <v>2743.21</v>
      </c>
      <c r="E25" s="30">
        <v>1.2139708810904104</v>
      </c>
      <c r="F25" s="40">
        <v>932.12</v>
      </c>
      <c r="G25" s="29">
        <v>534.26</v>
      </c>
      <c r="H25" s="29">
        <v>397.86</v>
      </c>
      <c r="I25" s="41">
        <v>0.74469359487889797</v>
      </c>
    </row>
    <row r="26" spans="1:9" x14ac:dyDescent="0.25">
      <c r="A26" s="21" t="s">
        <v>1164</v>
      </c>
      <c r="B26" s="27">
        <v>4618.9399999999996</v>
      </c>
      <c r="C26" s="27"/>
      <c r="D26" s="28">
        <v>4618.9399999999996</v>
      </c>
      <c r="E26" s="30">
        <v>1</v>
      </c>
      <c r="F26" s="40">
        <v>2727.6480000000001</v>
      </c>
      <c r="G26" s="29"/>
      <c r="H26" s="29">
        <v>2727.6480000000001</v>
      </c>
      <c r="I26" s="41">
        <v>1</v>
      </c>
    </row>
    <row r="27" spans="1:9" x14ac:dyDescent="0.25">
      <c r="A27" s="21" t="s">
        <v>1182</v>
      </c>
      <c r="B27" s="27">
        <v>4292</v>
      </c>
      <c r="C27" s="27"/>
      <c r="D27" s="28">
        <v>4292</v>
      </c>
      <c r="E27" s="30">
        <v>1</v>
      </c>
      <c r="F27" s="40">
        <v>2046.0400000000002</v>
      </c>
      <c r="G27" s="29"/>
      <c r="H27" s="29">
        <v>2046.0400000000002</v>
      </c>
      <c r="I27" s="41">
        <v>1</v>
      </c>
    </row>
    <row r="28" spans="1:9" x14ac:dyDescent="0.25">
      <c r="A28" s="21" t="s">
        <v>205</v>
      </c>
      <c r="B28" s="27">
        <v>2454.8799999999997</v>
      </c>
      <c r="C28" s="27">
        <v>452.07</v>
      </c>
      <c r="D28" s="28">
        <v>2002.8099999999997</v>
      </c>
      <c r="E28" s="30">
        <v>4.4303094653482864</v>
      </c>
      <c r="F28" s="40">
        <v>4.0000000000000001E-3</v>
      </c>
      <c r="G28" s="29">
        <v>8.0000000000000002E-3</v>
      </c>
      <c r="H28" s="29">
        <v>-4.0000000000000001E-3</v>
      </c>
      <c r="I28" s="41">
        <v>-0.5</v>
      </c>
    </row>
    <row r="29" spans="1:9" x14ac:dyDescent="0.25">
      <c r="A29" s="21" t="s">
        <v>52</v>
      </c>
      <c r="B29" s="27">
        <v>2169.7600000000002</v>
      </c>
      <c r="C29" s="27">
        <v>4045.8500000000004</v>
      </c>
      <c r="D29" s="28">
        <v>-1876.0900000000001</v>
      </c>
      <c r="E29" s="30">
        <v>-0.46370725558288123</v>
      </c>
      <c r="F29" s="40">
        <v>909.36</v>
      </c>
      <c r="G29" s="29">
        <v>1818.72</v>
      </c>
      <c r="H29" s="29">
        <v>-909.36</v>
      </c>
      <c r="I29" s="41">
        <v>-0.5</v>
      </c>
    </row>
    <row r="30" spans="1:9" x14ac:dyDescent="0.25">
      <c r="A30" s="21" t="s">
        <v>550</v>
      </c>
      <c r="B30" s="27">
        <v>2052.87</v>
      </c>
      <c r="C30" s="27">
        <v>3019.41</v>
      </c>
      <c r="D30" s="28">
        <v>-966.54</v>
      </c>
      <c r="E30" s="30">
        <v>-0.32010889544646137</v>
      </c>
      <c r="F30" s="40">
        <v>2273.04</v>
      </c>
      <c r="G30" s="29">
        <v>3410.1</v>
      </c>
      <c r="H30" s="29">
        <v>-1137.06</v>
      </c>
      <c r="I30" s="41">
        <v>-0.33343890208498284</v>
      </c>
    </row>
    <row r="31" spans="1:9" x14ac:dyDescent="0.25">
      <c r="A31" s="21" t="s">
        <v>1208</v>
      </c>
      <c r="B31" s="27">
        <v>1953.06</v>
      </c>
      <c r="C31" s="27">
        <v>4680.4799999999996</v>
      </c>
      <c r="D31" s="28">
        <v>-2727.4199999999996</v>
      </c>
      <c r="E31" s="30">
        <v>-0.58272228489385702</v>
      </c>
      <c r="F31" s="40">
        <v>826.68</v>
      </c>
      <c r="G31" s="29">
        <v>2445.6099999999997</v>
      </c>
      <c r="H31" s="29">
        <v>-1618.9299999999998</v>
      </c>
      <c r="I31" s="41">
        <v>-0.66197390426110458</v>
      </c>
    </row>
    <row r="32" spans="1:9" x14ac:dyDescent="0.25">
      <c r="A32" s="21" t="s">
        <v>742</v>
      </c>
      <c r="B32" s="27">
        <v>1675.02</v>
      </c>
      <c r="C32" s="27"/>
      <c r="D32" s="28">
        <v>1675.02</v>
      </c>
      <c r="E32" s="30">
        <v>1</v>
      </c>
      <c r="F32" s="40">
        <v>0</v>
      </c>
      <c r="G32" s="29"/>
      <c r="H32" s="29">
        <v>0</v>
      </c>
      <c r="I32" s="41">
        <v>0</v>
      </c>
    </row>
    <row r="33" spans="1:9" x14ac:dyDescent="0.25">
      <c r="A33" s="21" t="s">
        <v>109</v>
      </c>
      <c r="B33" s="27">
        <v>1649.18</v>
      </c>
      <c r="C33" s="27">
        <v>8869.83</v>
      </c>
      <c r="D33" s="28">
        <v>-7220.65</v>
      </c>
      <c r="E33" s="30">
        <v>-0.8140685898151373</v>
      </c>
      <c r="F33" s="40">
        <v>2684</v>
      </c>
      <c r="G33" s="29">
        <v>15262.05</v>
      </c>
      <c r="H33" s="29">
        <v>-12578.05</v>
      </c>
      <c r="I33" s="41">
        <v>-0.82413895905202772</v>
      </c>
    </row>
    <row r="34" spans="1:9" x14ac:dyDescent="0.25">
      <c r="A34" s="21" t="s">
        <v>38</v>
      </c>
      <c r="B34" s="27">
        <v>1561.0499999999997</v>
      </c>
      <c r="C34" s="27">
        <v>1127.3</v>
      </c>
      <c r="D34" s="28">
        <v>433.74999999999977</v>
      </c>
      <c r="E34" s="30">
        <v>0.38476891688104303</v>
      </c>
      <c r="F34" s="40">
        <v>947.16000000000008</v>
      </c>
      <c r="G34" s="29">
        <v>738.82799999999997</v>
      </c>
      <c r="H34" s="29">
        <v>208.33200000000011</v>
      </c>
      <c r="I34" s="41">
        <v>0.28197631925157157</v>
      </c>
    </row>
    <row r="35" spans="1:9" x14ac:dyDescent="0.25">
      <c r="A35" s="21" t="s">
        <v>1054</v>
      </c>
      <c r="B35" s="27">
        <v>1545.39</v>
      </c>
      <c r="C35" s="27">
        <v>615.98</v>
      </c>
      <c r="D35" s="28">
        <v>929.41000000000008</v>
      </c>
      <c r="E35" s="30">
        <v>1.5088314555667393</v>
      </c>
      <c r="F35" s="40">
        <v>1756.44</v>
      </c>
      <c r="G35" s="29">
        <v>752.76</v>
      </c>
      <c r="H35" s="29">
        <v>1003.6800000000001</v>
      </c>
      <c r="I35" s="41">
        <v>1.3333333333333335</v>
      </c>
    </row>
    <row r="36" spans="1:9" x14ac:dyDescent="0.25">
      <c r="A36" s="21" t="s">
        <v>1205</v>
      </c>
      <c r="B36" s="27">
        <v>1406.6</v>
      </c>
      <c r="C36" s="27">
        <v>1340.06</v>
      </c>
      <c r="D36" s="28">
        <v>66.539999999999964</v>
      </c>
      <c r="E36" s="30">
        <v>4.9654493082399269E-2</v>
      </c>
      <c r="F36" s="40">
        <v>757.8</v>
      </c>
      <c r="G36" s="29">
        <v>757.8</v>
      </c>
      <c r="H36" s="29">
        <v>0</v>
      </c>
      <c r="I36" s="41">
        <v>0</v>
      </c>
    </row>
    <row r="37" spans="1:9" x14ac:dyDescent="0.25">
      <c r="A37" s="21" t="s">
        <v>1129</v>
      </c>
      <c r="B37" s="27">
        <v>1254.53</v>
      </c>
      <c r="C37" s="27">
        <v>684.29</v>
      </c>
      <c r="D37" s="28">
        <v>570.24</v>
      </c>
      <c r="E37" s="30">
        <v>0.83333089771880353</v>
      </c>
      <c r="F37" s="40">
        <v>1375.4</v>
      </c>
      <c r="G37" s="29">
        <v>825.24</v>
      </c>
      <c r="H37" s="29">
        <v>550.16000000000008</v>
      </c>
      <c r="I37" s="41">
        <v>0.66666666666666674</v>
      </c>
    </row>
    <row r="38" spans="1:9" x14ac:dyDescent="0.25">
      <c r="A38" s="21" t="s">
        <v>22</v>
      </c>
      <c r="B38" s="27">
        <v>1175.8199999999997</v>
      </c>
      <c r="C38" s="27">
        <v>1643.72</v>
      </c>
      <c r="D38" s="28">
        <v>-467.90000000000032</v>
      </c>
      <c r="E38" s="30">
        <v>-0.28465918769620147</v>
      </c>
      <c r="F38" s="40">
        <v>763.68</v>
      </c>
      <c r="G38" s="29">
        <v>1136.6399999999999</v>
      </c>
      <c r="H38" s="29">
        <v>-372.95999999999992</v>
      </c>
      <c r="I38" s="41">
        <v>-0.32812499999999994</v>
      </c>
    </row>
    <row r="39" spans="1:9" x14ac:dyDescent="0.25">
      <c r="A39" s="21" t="s">
        <v>380</v>
      </c>
      <c r="B39" s="27">
        <v>1130.98</v>
      </c>
      <c r="C39" s="27"/>
      <c r="D39" s="28">
        <v>1130.98</v>
      </c>
      <c r="E39" s="30">
        <v>1</v>
      </c>
      <c r="F39" s="40">
        <v>275.52</v>
      </c>
      <c r="G39" s="29"/>
      <c r="H39" s="29">
        <v>275.52</v>
      </c>
      <c r="I39" s="41">
        <v>1</v>
      </c>
    </row>
    <row r="40" spans="1:9" x14ac:dyDescent="0.25">
      <c r="A40" s="21" t="s">
        <v>1021</v>
      </c>
      <c r="B40" s="27">
        <v>1066.3499999999999</v>
      </c>
      <c r="C40" s="27">
        <v>2330.86</v>
      </c>
      <c r="D40" s="28">
        <v>-1264.5100000000002</v>
      </c>
      <c r="E40" s="30">
        <v>-0.54250791553332256</v>
      </c>
      <c r="F40" s="40">
        <v>144</v>
      </c>
      <c r="G40" s="29">
        <v>360</v>
      </c>
      <c r="H40" s="29">
        <v>-216</v>
      </c>
      <c r="I40" s="41">
        <v>-0.6</v>
      </c>
    </row>
    <row r="41" spans="1:9" x14ac:dyDescent="0.25">
      <c r="A41" s="21" t="s">
        <v>827</v>
      </c>
      <c r="B41" s="27">
        <v>1026.43</v>
      </c>
      <c r="C41" s="27"/>
      <c r="D41" s="28">
        <v>1026.43</v>
      </c>
      <c r="E41" s="30">
        <v>1</v>
      </c>
      <c r="F41" s="40">
        <v>1136.52</v>
      </c>
      <c r="G41" s="29"/>
      <c r="H41" s="29">
        <v>1136.52</v>
      </c>
      <c r="I41" s="41">
        <v>1</v>
      </c>
    </row>
    <row r="42" spans="1:9" x14ac:dyDescent="0.25">
      <c r="A42" s="21" t="s">
        <v>1350</v>
      </c>
      <c r="B42" s="27">
        <v>892.43</v>
      </c>
      <c r="C42" s="27">
        <v>811.17</v>
      </c>
      <c r="D42" s="28">
        <v>81.259999999999991</v>
      </c>
      <c r="E42" s="30">
        <v>0.10017628857082979</v>
      </c>
      <c r="F42" s="40">
        <v>137.77600000000001</v>
      </c>
      <c r="G42" s="29">
        <v>137.77600000000001</v>
      </c>
      <c r="H42" s="29">
        <v>0</v>
      </c>
      <c r="I42" s="41">
        <v>0</v>
      </c>
    </row>
    <row r="43" spans="1:9" x14ac:dyDescent="0.25">
      <c r="A43" s="21" t="s">
        <v>1647</v>
      </c>
      <c r="B43" s="27">
        <v>830.77</v>
      </c>
      <c r="C43" s="27"/>
      <c r="D43" s="28">
        <v>830.77</v>
      </c>
      <c r="E43" s="30">
        <v>1</v>
      </c>
      <c r="F43" s="40">
        <v>511.47</v>
      </c>
      <c r="G43" s="29"/>
      <c r="H43" s="29">
        <v>511.47</v>
      </c>
      <c r="I43" s="41">
        <v>1</v>
      </c>
    </row>
    <row r="44" spans="1:9" x14ac:dyDescent="0.25">
      <c r="A44" s="21" t="s">
        <v>451</v>
      </c>
      <c r="B44" s="27">
        <v>776.85</v>
      </c>
      <c r="C44" s="27"/>
      <c r="D44" s="28">
        <v>776.85</v>
      </c>
      <c r="E44" s="30">
        <v>1</v>
      </c>
      <c r="F44" s="40">
        <v>831.81000000000006</v>
      </c>
      <c r="G44" s="29"/>
      <c r="H44" s="29">
        <v>831.81000000000006</v>
      </c>
      <c r="I44" s="41">
        <v>1</v>
      </c>
    </row>
    <row r="45" spans="1:9" x14ac:dyDescent="0.25">
      <c r="A45" s="21" t="s">
        <v>204</v>
      </c>
      <c r="B45" s="27">
        <v>749.85</v>
      </c>
      <c r="C45" s="27">
        <v>1062.18</v>
      </c>
      <c r="D45" s="28">
        <v>-312.33000000000004</v>
      </c>
      <c r="E45" s="30">
        <v>-0.29404620685759481</v>
      </c>
      <c r="F45" s="40">
        <v>0</v>
      </c>
      <c r="G45" s="29">
        <v>0</v>
      </c>
      <c r="H45" s="29">
        <v>0</v>
      </c>
      <c r="I45" s="41">
        <v>0</v>
      </c>
    </row>
    <row r="46" spans="1:9" x14ac:dyDescent="0.25">
      <c r="A46" s="21" t="s">
        <v>72</v>
      </c>
      <c r="B46" s="27">
        <v>686.67000000000007</v>
      </c>
      <c r="C46" s="27">
        <v>70286.36</v>
      </c>
      <c r="D46" s="28">
        <v>-69599.69</v>
      </c>
      <c r="E46" s="30">
        <v>-0.99023039463133389</v>
      </c>
      <c r="F46" s="40">
        <v>258.33600000000001</v>
      </c>
      <c r="G46" s="29">
        <v>33165.734000000004</v>
      </c>
      <c r="H46" s="29">
        <v>-32907.398000000001</v>
      </c>
      <c r="I46" s="41">
        <v>-0.99221075583612883</v>
      </c>
    </row>
    <row r="47" spans="1:9" x14ac:dyDescent="0.25">
      <c r="A47" s="21" t="s">
        <v>509</v>
      </c>
      <c r="B47" s="27">
        <v>460.46</v>
      </c>
      <c r="C47" s="27">
        <v>422.69</v>
      </c>
      <c r="D47" s="28">
        <v>37.769999999999982</v>
      </c>
      <c r="E47" s="30">
        <v>8.9356265821287431E-2</v>
      </c>
      <c r="F47" s="40">
        <v>1091.232</v>
      </c>
      <c r="G47" s="29">
        <v>1091.232</v>
      </c>
      <c r="H47" s="29">
        <v>0</v>
      </c>
      <c r="I47" s="41">
        <v>0</v>
      </c>
    </row>
    <row r="48" spans="1:9" x14ac:dyDescent="0.25">
      <c r="A48" s="21" t="s">
        <v>88</v>
      </c>
      <c r="B48" s="27">
        <v>421.98</v>
      </c>
      <c r="C48" s="27">
        <v>888.51</v>
      </c>
      <c r="D48" s="28">
        <v>-466.53</v>
      </c>
      <c r="E48" s="30">
        <v>-0.52507006111354959</v>
      </c>
      <c r="F48" s="40">
        <v>227.32</v>
      </c>
      <c r="G48" s="29">
        <v>511.47</v>
      </c>
      <c r="H48" s="29">
        <v>-284.15000000000003</v>
      </c>
      <c r="I48" s="41">
        <v>-0.55555555555555558</v>
      </c>
    </row>
    <row r="49" spans="1:9" x14ac:dyDescent="0.25">
      <c r="A49" s="21" t="s">
        <v>1059</v>
      </c>
      <c r="B49" s="27">
        <v>337.39</v>
      </c>
      <c r="C49" s="27">
        <v>1457.92</v>
      </c>
      <c r="D49" s="28">
        <v>-1120.5300000000002</v>
      </c>
      <c r="E49" s="30">
        <v>-0.76858126646180869</v>
      </c>
      <c r="F49" s="40">
        <v>227.31200000000001</v>
      </c>
      <c r="G49" s="29">
        <v>985.08799999999997</v>
      </c>
      <c r="H49" s="29">
        <v>-757.77599999999995</v>
      </c>
      <c r="I49" s="41">
        <v>-0.76924701143451146</v>
      </c>
    </row>
    <row r="50" spans="1:9" x14ac:dyDescent="0.25">
      <c r="A50" s="21" t="s">
        <v>900</v>
      </c>
      <c r="B50" s="27">
        <v>337.26</v>
      </c>
      <c r="C50" s="27"/>
      <c r="D50" s="28">
        <v>337.26</v>
      </c>
      <c r="E50" s="30">
        <v>1</v>
      </c>
      <c r="F50" s="40">
        <v>0</v>
      </c>
      <c r="G50" s="29"/>
      <c r="H50" s="29">
        <v>0</v>
      </c>
      <c r="I50" s="41">
        <v>0</v>
      </c>
    </row>
    <row r="51" spans="1:9" x14ac:dyDescent="0.25">
      <c r="A51" s="21" t="s">
        <v>20</v>
      </c>
      <c r="B51" s="27">
        <v>318.62</v>
      </c>
      <c r="C51" s="27">
        <v>2353.19</v>
      </c>
      <c r="D51" s="28">
        <v>-2034.5700000000002</v>
      </c>
      <c r="E51" s="30">
        <v>-0.8646008184634475</v>
      </c>
      <c r="F51" s="40">
        <v>416.75999999999993</v>
      </c>
      <c r="G51" s="29">
        <v>3296.5199999999995</v>
      </c>
      <c r="H51" s="29">
        <v>-2879.7599999999998</v>
      </c>
      <c r="I51" s="41">
        <v>-0.8735757708128572</v>
      </c>
    </row>
    <row r="52" spans="1:9" x14ac:dyDescent="0.25">
      <c r="A52" s="21" t="s">
        <v>669</v>
      </c>
      <c r="B52" s="27">
        <v>262.31</v>
      </c>
      <c r="C52" s="27">
        <v>210.04</v>
      </c>
      <c r="D52" s="28">
        <v>52.27000000000001</v>
      </c>
      <c r="E52" s="30">
        <v>0.24885736050276144</v>
      </c>
      <c r="F52" s="40">
        <v>170.5</v>
      </c>
      <c r="G52" s="29">
        <v>170.5</v>
      </c>
      <c r="H52" s="29">
        <v>0</v>
      </c>
      <c r="I52" s="41">
        <v>0</v>
      </c>
    </row>
    <row r="53" spans="1:9" x14ac:dyDescent="0.25">
      <c r="A53" s="21" t="s">
        <v>147</v>
      </c>
      <c r="B53" s="27">
        <v>240.21</v>
      </c>
      <c r="C53" s="27">
        <v>1896.05</v>
      </c>
      <c r="D53" s="28">
        <v>-1655.84</v>
      </c>
      <c r="E53" s="30">
        <v>-0.87331030299833867</v>
      </c>
      <c r="F53" s="40">
        <v>413.28</v>
      </c>
      <c r="G53" s="29">
        <v>4133.3760000000002</v>
      </c>
      <c r="H53" s="29">
        <v>-3720.0960000000005</v>
      </c>
      <c r="I53" s="41">
        <v>-0.90001393534002239</v>
      </c>
    </row>
    <row r="54" spans="1:9" x14ac:dyDescent="0.25">
      <c r="A54" s="21" t="s">
        <v>468</v>
      </c>
      <c r="B54" s="27">
        <v>201.37</v>
      </c>
      <c r="C54" s="27">
        <v>39135.93</v>
      </c>
      <c r="D54" s="28">
        <v>-38934.559999999998</v>
      </c>
      <c r="E54" s="30">
        <v>-0.99485460036340001</v>
      </c>
      <c r="F54" s="40">
        <v>103.33</v>
      </c>
      <c r="G54" s="29">
        <v>22743.258999999998</v>
      </c>
      <c r="H54" s="29">
        <v>-22639.928999999996</v>
      </c>
      <c r="I54" s="41">
        <v>-0.99545667575609975</v>
      </c>
    </row>
    <row r="55" spans="1:9" x14ac:dyDescent="0.25">
      <c r="A55" s="21" t="s">
        <v>1662</v>
      </c>
      <c r="B55" s="27">
        <v>194.34</v>
      </c>
      <c r="C55" s="27"/>
      <c r="D55" s="28">
        <v>194.34</v>
      </c>
      <c r="E55" s="30">
        <v>1</v>
      </c>
      <c r="F55" s="40">
        <v>0</v>
      </c>
      <c r="G55" s="29"/>
      <c r="H55" s="29">
        <v>0</v>
      </c>
      <c r="I55" s="41">
        <v>0</v>
      </c>
    </row>
    <row r="56" spans="1:9" x14ac:dyDescent="0.25">
      <c r="A56" s="21" t="s">
        <v>344</v>
      </c>
      <c r="B56" s="27">
        <v>129.88</v>
      </c>
      <c r="C56" s="27">
        <v>74.13</v>
      </c>
      <c r="D56" s="28">
        <v>55.75</v>
      </c>
      <c r="E56" s="30">
        <v>0.75205719681640371</v>
      </c>
      <c r="F56" s="40">
        <v>0</v>
      </c>
      <c r="G56" s="29">
        <v>0</v>
      </c>
      <c r="H56" s="29">
        <v>0</v>
      </c>
      <c r="I56" s="41">
        <v>0</v>
      </c>
    </row>
    <row r="57" spans="1:9" x14ac:dyDescent="0.25">
      <c r="A57" s="21" t="s">
        <v>1496</v>
      </c>
      <c r="B57" s="27">
        <v>49.9</v>
      </c>
      <c r="C57" s="27"/>
      <c r="D57" s="28">
        <v>49.9</v>
      </c>
      <c r="E57" s="30">
        <v>1</v>
      </c>
      <c r="F57" s="40">
        <v>56.83</v>
      </c>
      <c r="G57" s="29"/>
      <c r="H57" s="29">
        <v>56.83</v>
      </c>
      <c r="I57" s="41">
        <v>1</v>
      </c>
    </row>
    <row r="58" spans="1:9" x14ac:dyDescent="0.25">
      <c r="A58" s="21" t="s">
        <v>1078</v>
      </c>
      <c r="B58" s="27"/>
      <c r="C58" s="27">
        <v>5940.01</v>
      </c>
      <c r="D58" s="28">
        <v>-5940.01</v>
      </c>
      <c r="E58" s="30">
        <v>-1</v>
      </c>
      <c r="F58" s="40"/>
      <c r="G58" s="29">
        <v>444.4</v>
      </c>
      <c r="H58" s="29">
        <v>-444.4</v>
      </c>
      <c r="I58" s="41">
        <v>-1</v>
      </c>
    </row>
    <row r="59" spans="1:9" x14ac:dyDescent="0.25">
      <c r="A59" s="21" t="s">
        <v>1354</v>
      </c>
      <c r="B59" s="27"/>
      <c r="C59" s="27">
        <v>907.3900000000001</v>
      </c>
      <c r="D59" s="28">
        <v>-907.3900000000001</v>
      </c>
      <c r="E59" s="30">
        <v>-1</v>
      </c>
      <c r="F59" s="40"/>
      <c r="G59" s="29">
        <v>396.05799999999999</v>
      </c>
      <c r="H59" s="29">
        <v>-396.05799999999999</v>
      </c>
      <c r="I59" s="41">
        <v>-1</v>
      </c>
    </row>
    <row r="60" spans="1:9" x14ac:dyDescent="0.25">
      <c r="A60" s="21" t="s">
        <v>1763</v>
      </c>
      <c r="B60" s="27"/>
      <c r="C60" s="27">
        <v>491.04999999999995</v>
      </c>
      <c r="D60" s="28">
        <v>-491.04999999999995</v>
      </c>
      <c r="E60" s="30">
        <v>-1</v>
      </c>
      <c r="F60" s="40"/>
      <c r="G60" s="29">
        <v>378.9</v>
      </c>
      <c r="H60" s="29">
        <v>-378.9</v>
      </c>
      <c r="I60" s="41">
        <v>-1</v>
      </c>
    </row>
    <row r="61" spans="1:9" x14ac:dyDescent="0.25">
      <c r="A61" s="21" t="s">
        <v>1698</v>
      </c>
      <c r="B61" s="27"/>
      <c r="C61" s="27">
        <v>481.73</v>
      </c>
      <c r="D61" s="28">
        <v>-481.73</v>
      </c>
      <c r="E61" s="30">
        <v>-1</v>
      </c>
      <c r="F61" s="40"/>
      <c r="G61" s="29">
        <v>0</v>
      </c>
      <c r="H61" s="29">
        <v>0</v>
      </c>
      <c r="I61" s="41">
        <v>0</v>
      </c>
    </row>
    <row r="62" spans="1:9" x14ac:dyDescent="0.25">
      <c r="A62" s="21" t="s">
        <v>1070</v>
      </c>
      <c r="B62" s="27"/>
      <c r="C62" s="27">
        <v>1549.94</v>
      </c>
      <c r="D62" s="28">
        <v>-1549.94</v>
      </c>
      <c r="E62" s="30">
        <v>-1</v>
      </c>
      <c r="F62" s="40"/>
      <c r="G62" s="29">
        <v>378.89299999999997</v>
      </c>
      <c r="H62" s="29">
        <v>-378.89299999999997</v>
      </c>
      <c r="I62" s="41">
        <v>-1</v>
      </c>
    </row>
    <row r="63" spans="1:9" x14ac:dyDescent="0.25">
      <c r="A63" s="21" t="s">
        <v>515</v>
      </c>
      <c r="B63" s="27"/>
      <c r="C63" s="27">
        <v>42380</v>
      </c>
      <c r="D63" s="28">
        <v>-42380</v>
      </c>
      <c r="E63" s="30">
        <v>-1</v>
      </c>
      <c r="F63" s="40"/>
      <c r="G63" s="29">
        <v>78391.176000000007</v>
      </c>
      <c r="H63" s="29">
        <v>-78391.176000000007</v>
      </c>
      <c r="I63" s="41">
        <v>-1</v>
      </c>
    </row>
    <row r="64" spans="1:9" x14ac:dyDescent="0.25">
      <c r="A64" s="21" t="s">
        <v>979</v>
      </c>
      <c r="B64" s="27"/>
      <c r="C64" s="27">
        <v>722.78</v>
      </c>
      <c r="D64" s="28">
        <v>-722.78</v>
      </c>
      <c r="E64" s="30">
        <v>-1</v>
      </c>
      <c r="F64" s="40"/>
      <c r="G64" s="29">
        <v>253.51299999999998</v>
      </c>
      <c r="H64" s="29">
        <v>-253.51299999999998</v>
      </c>
      <c r="I64" s="41">
        <v>-1</v>
      </c>
    </row>
    <row r="65" spans="1:9" x14ac:dyDescent="0.25">
      <c r="A65" s="21" t="s">
        <v>968</v>
      </c>
      <c r="B65" s="27"/>
      <c r="C65" s="27">
        <v>2548.2600000000002</v>
      </c>
      <c r="D65" s="28">
        <v>-2548.2600000000002</v>
      </c>
      <c r="E65" s="30">
        <v>-1</v>
      </c>
      <c r="F65" s="40"/>
      <c r="G65" s="29">
        <v>2954.25</v>
      </c>
      <c r="H65" s="29">
        <v>-2954.25</v>
      </c>
      <c r="I65" s="41">
        <v>-1</v>
      </c>
    </row>
    <row r="66" spans="1:9" x14ac:dyDescent="0.25">
      <c r="A66" s="21" t="s">
        <v>1073</v>
      </c>
      <c r="B66" s="27"/>
      <c r="C66" s="27">
        <v>692.6</v>
      </c>
      <c r="D66" s="28">
        <v>-692.6</v>
      </c>
      <c r="E66" s="30">
        <v>-1</v>
      </c>
      <c r="F66" s="40"/>
      <c r="G66" s="29">
        <v>378.9</v>
      </c>
      <c r="H66" s="29">
        <v>-378.9</v>
      </c>
      <c r="I66" s="41">
        <v>-1</v>
      </c>
    </row>
    <row r="67" spans="1:9" x14ac:dyDescent="0.25">
      <c r="A67" s="21" t="s">
        <v>649</v>
      </c>
      <c r="B67" s="27"/>
      <c r="C67" s="27">
        <v>9560.43</v>
      </c>
      <c r="D67" s="28">
        <v>-9560.43</v>
      </c>
      <c r="E67" s="30">
        <v>-1</v>
      </c>
      <c r="F67" s="40"/>
      <c r="G67" s="29">
        <v>16544.094000000001</v>
      </c>
      <c r="H67" s="29">
        <v>-16544.094000000001</v>
      </c>
      <c r="I67" s="41">
        <v>-1</v>
      </c>
    </row>
    <row r="68" spans="1:9" x14ac:dyDescent="0.25">
      <c r="A68" s="21" t="s">
        <v>334</v>
      </c>
      <c r="B68" s="27">
        <v>-469.49000000000007</v>
      </c>
      <c r="C68" s="27">
        <v>3028.13</v>
      </c>
      <c r="D68" s="28">
        <v>-3497.6200000000003</v>
      </c>
      <c r="E68" s="30">
        <v>-1.1550428812501445</v>
      </c>
      <c r="F68" s="40">
        <v>-303.12</v>
      </c>
      <c r="G68" s="29">
        <v>2349.1800000000003</v>
      </c>
      <c r="H68" s="29">
        <v>-2652.3</v>
      </c>
      <c r="I68" s="41">
        <v>-1.129032258064516</v>
      </c>
    </row>
    <row r="69" spans="1:9" x14ac:dyDescent="0.25">
      <c r="A69" s="42" t="s">
        <v>32</v>
      </c>
      <c r="B69" s="49">
        <v>5374801.7099999981</v>
      </c>
      <c r="C69" s="43">
        <v>6261360.3999999976</v>
      </c>
      <c r="D69" s="44">
        <v>-886558.68999999948</v>
      </c>
      <c r="E69" s="45">
        <v>-0.14159202367587714</v>
      </c>
      <c r="F69" s="46">
        <v>15063650.590000002</v>
      </c>
      <c r="G69" s="47">
        <v>18225193.964000002</v>
      </c>
      <c r="H69" s="47">
        <v>-3161543.3739999849</v>
      </c>
      <c r="I69" s="48">
        <v>-0.17347104125448246</v>
      </c>
    </row>
    <row r="70" spans="1:9" x14ac:dyDescent="0.25">
      <c r="G70"/>
    </row>
    <row r="71" spans="1:9" x14ac:dyDescent="0.25">
      <c r="G71"/>
    </row>
    <row r="72" spans="1:9" x14ac:dyDescent="0.25">
      <c r="G72"/>
    </row>
    <row r="73" spans="1:9" x14ac:dyDescent="0.25">
      <c r="G73"/>
    </row>
    <row r="74" spans="1:9" x14ac:dyDescent="0.25">
      <c r="G74"/>
    </row>
    <row r="75" spans="1:9" x14ac:dyDescent="0.25">
      <c r="G75"/>
    </row>
    <row r="76" spans="1:9" x14ac:dyDescent="0.25">
      <c r="G76"/>
    </row>
    <row r="77" spans="1:9" x14ac:dyDescent="0.25">
      <c r="G77"/>
    </row>
    <row r="78" spans="1:9" x14ac:dyDescent="0.25">
      <c r="G78"/>
    </row>
    <row r="79" spans="1:9" x14ac:dyDescent="0.25">
      <c r="G79"/>
    </row>
    <row r="80" spans="1:9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  <row r="87" spans="7:7" x14ac:dyDescent="0.25">
      <c r="G87"/>
    </row>
    <row r="88" spans="7:7" x14ac:dyDescent="0.25">
      <c r="G88"/>
    </row>
    <row r="89" spans="7:7" x14ac:dyDescent="0.25">
      <c r="G89"/>
    </row>
    <row r="90" spans="7:7" x14ac:dyDescent="0.25">
      <c r="G90"/>
    </row>
    <row r="91" spans="7:7" x14ac:dyDescent="0.25">
      <c r="G91"/>
    </row>
    <row r="92" spans="7:7" x14ac:dyDescent="0.25">
      <c r="G92"/>
    </row>
    <row r="93" spans="7:7" x14ac:dyDescent="0.25">
      <c r="G93"/>
    </row>
    <row r="94" spans="7:7" x14ac:dyDescent="0.25">
      <c r="G94"/>
    </row>
    <row r="95" spans="7:7" x14ac:dyDescent="0.25">
      <c r="G95"/>
    </row>
    <row r="96" spans="7:7" x14ac:dyDescent="0.25"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  <row r="100" spans="7:7" x14ac:dyDescent="0.25">
      <c r="G100"/>
    </row>
    <row r="101" spans="7:7" x14ac:dyDescent="0.25">
      <c r="G101"/>
    </row>
    <row r="102" spans="7:7" x14ac:dyDescent="0.25">
      <c r="G102"/>
    </row>
    <row r="103" spans="7:7" x14ac:dyDescent="0.25">
      <c r="G103"/>
    </row>
    <row r="104" spans="7:7" x14ac:dyDescent="0.25">
      <c r="G104"/>
    </row>
    <row r="105" spans="7:7" x14ac:dyDescent="0.25">
      <c r="G105"/>
    </row>
    <row r="106" spans="7:7" x14ac:dyDescent="0.25">
      <c r="G106"/>
    </row>
    <row r="107" spans="7:7" x14ac:dyDescent="0.25">
      <c r="G107"/>
    </row>
    <row r="108" spans="7:7" x14ac:dyDescent="0.25">
      <c r="G108"/>
    </row>
    <row r="109" spans="7:7" x14ac:dyDescent="0.25">
      <c r="G109"/>
    </row>
    <row r="110" spans="7:7" x14ac:dyDescent="0.25">
      <c r="G110"/>
    </row>
    <row r="111" spans="7:7" x14ac:dyDescent="0.25">
      <c r="G111"/>
    </row>
    <row r="112" spans="7:7" x14ac:dyDescent="0.25">
      <c r="G112"/>
    </row>
    <row r="113" spans="7:7" x14ac:dyDescent="0.25">
      <c r="G113"/>
    </row>
    <row r="114" spans="7:7" x14ac:dyDescent="0.25">
      <c r="G114"/>
    </row>
    <row r="115" spans="7:7" x14ac:dyDescent="0.25">
      <c r="G115"/>
    </row>
    <row r="116" spans="7:7" x14ac:dyDescent="0.25">
      <c r="G116"/>
    </row>
    <row r="117" spans="7:7" x14ac:dyDescent="0.25">
      <c r="G117"/>
    </row>
    <row r="118" spans="7:7" x14ac:dyDescent="0.25">
      <c r="G118"/>
    </row>
    <row r="119" spans="7:7" x14ac:dyDescent="0.25">
      <c r="G119"/>
    </row>
    <row r="120" spans="7:7" x14ac:dyDescent="0.25">
      <c r="G120"/>
    </row>
    <row r="121" spans="7:7" x14ac:dyDescent="0.25">
      <c r="G121"/>
    </row>
    <row r="122" spans="7:7" x14ac:dyDescent="0.25">
      <c r="G122"/>
    </row>
    <row r="123" spans="7:7" x14ac:dyDescent="0.25">
      <c r="G123"/>
    </row>
    <row r="124" spans="7:7" x14ac:dyDescent="0.25">
      <c r="G124"/>
    </row>
    <row r="125" spans="7:7" x14ac:dyDescent="0.25">
      <c r="G125"/>
    </row>
    <row r="126" spans="7:7" x14ac:dyDescent="0.25">
      <c r="G126"/>
    </row>
    <row r="127" spans="7:7" x14ac:dyDescent="0.25">
      <c r="G127"/>
    </row>
    <row r="128" spans="7:7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  <row r="170" spans="7:7" x14ac:dyDescent="0.25">
      <c r="G170"/>
    </row>
    <row r="171" spans="7:7" x14ac:dyDescent="0.25">
      <c r="G171"/>
    </row>
    <row r="172" spans="7:7" x14ac:dyDescent="0.25">
      <c r="G172"/>
    </row>
    <row r="173" spans="7:7" x14ac:dyDescent="0.25">
      <c r="G173"/>
    </row>
    <row r="174" spans="7:7" x14ac:dyDescent="0.25">
      <c r="G174"/>
    </row>
    <row r="175" spans="7:7" x14ac:dyDescent="0.25">
      <c r="G175"/>
    </row>
    <row r="176" spans="7:7" x14ac:dyDescent="0.25">
      <c r="G176"/>
    </row>
    <row r="177" spans="7:7" x14ac:dyDescent="0.25">
      <c r="G177"/>
    </row>
    <row r="178" spans="7:7" x14ac:dyDescent="0.25">
      <c r="G178"/>
    </row>
    <row r="179" spans="7:7" x14ac:dyDescent="0.25">
      <c r="G179"/>
    </row>
    <row r="180" spans="7:7" x14ac:dyDescent="0.25">
      <c r="G180"/>
    </row>
    <row r="181" spans="7:7" x14ac:dyDescent="0.25">
      <c r="G181"/>
    </row>
    <row r="182" spans="7:7" x14ac:dyDescent="0.25">
      <c r="G182"/>
    </row>
    <row r="183" spans="7:7" x14ac:dyDescent="0.25">
      <c r="G183"/>
    </row>
    <row r="184" spans="7:7" x14ac:dyDescent="0.25">
      <c r="G184"/>
    </row>
    <row r="185" spans="7:7" x14ac:dyDescent="0.25">
      <c r="G185"/>
    </row>
    <row r="186" spans="7:7" x14ac:dyDescent="0.25">
      <c r="G186"/>
    </row>
    <row r="187" spans="7:7" x14ac:dyDescent="0.25">
      <c r="G187"/>
    </row>
    <row r="188" spans="7:7" x14ac:dyDescent="0.25">
      <c r="G188"/>
    </row>
    <row r="189" spans="7:7" x14ac:dyDescent="0.25">
      <c r="G189"/>
    </row>
    <row r="190" spans="7:7" x14ac:dyDescent="0.25">
      <c r="G190"/>
    </row>
    <row r="191" spans="7:7" x14ac:dyDescent="0.25">
      <c r="G191"/>
    </row>
    <row r="192" spans="7:7" x14ac:dyDescent="0.25">
      <c r="G192"/>
    </row>
    <row r="193" spans="7:7" x14ac:dyDescent="0.25">
      <c r="G193"/>
    </row>
    <row r="194" spans="7:7" x14ac:dyDescent="0.25">
      <c r="G194"/>
    </row>
    <row r="195" spans="7:7" x14ac:dyDescent="0.25">
      <c r="G195"/>
    </row>
    <row r="196" spans="7:7" x14ac:dyDescent="0.25">
      <c r="G196"/>
    </row>
    <row r="197" spans="7:7" x14ac:dyDescent="0.25">
      <c r="G197"/>
    </row>
    <row r="198" spans="7:7" x14ac:dyDescent="0.25">
      <c r="G198"/>
    </row>
    <row r="199" spans="7:7" x14ac:dyDescent="0.25">
      <c r="G199"/>
    </row>
    <row r="200" spans="7:7" x14ac:dyDescent="0.25">
      <c r="G200"/>
    </row>
    <row r="201" spans="7:7" x14ac:dyDescent="0.25">
      <c r="G201"/>
    </row>
    <row r="202" spans="7:7" x14ac:dyDescent="0.25">
      <c r="G202"/>
    </row>
    <row r="203" spans="7:7" x14ac:dyDescent="0.25">
      <c r="G203"/>
    </row>
    <row r="204" spans="7:7" x14ac:dyDescent="0.25">
      <c r="G204"/>
    </row>
    <row r="205" spans="7:7" x14ac:dyDescent="0.25">
      <c r="G205"/>
    </row>
    <row r="206" spans="7:7" x14ac:dyDescent="0.25">
      <c r="G206"/>
    </row>
    <row r="207" spans="7:7" x14ac:dyDescent="0.25">
      <c r="G207"/>
    </row>
    <row r="208" spans="7:7" x14ac:dyDescent="0.25">
      <c r="G208"/>
    </row>
    <row r="209" spans="7:7" x14ac:dyDescent="0.25">
      <c r="G209"/>
    </row>
    <row r="210" spans="7:7" x14ac:dyDescent="0.25">
      <c r="G210"/>
    </row>
    <row r="211" spans="7:7" x14ac:dyDescent="0.25">
      <c r="G211"/>
    </row>
    <row r="212" spans="7:7" x14ac:dyDescent="0.25">
      <c r="G212"/>
    </row>
    <row r="213" spans="7:7" x14ac:dyDescent="0.25">
      <c r="G213"/>
    </row>
    <row r="214" spans="7:7" x14ac:dyDescent="0.25">
      <c r="G214"/>
    </row>
    <row r="215" spans="7:7" x14ac:dyDescent="0.25">
      <c r="G215"/>
    </row>
    <row r="216" spans="7:7" x14ac:dyDescent="0.25">
      <c r="G216"/>
    </row>
    <row r="217" spans="7:7" x14ac:dyDescent="0.25">
      <c r="G217"/>
    </row>
    <row r="218" spans="7:7" x14ac:dyDescent="0.25">
      <c r="G218"/>
    </row>
    <row r="219" spans="7:7" x14ac:dyDescent="0.25">
      <c r="G219"/>
    </row>
    <row r="220" spans="7:7" x14ac:dyDescent="0.25">
      <c r="G220"/>
    </row>
    <row r="221" spans="7:7" x14ac:dyDescent="0.25">
      <c r="G221"/>
    </row>
    <row r="222" spans="7:7" x14ac:dyDescent="0.25">
      <c r="G222"/>
    </row>
    <row r="223" spans="7:7" x14ac:dyDescent="0.25">
      <c r="G223"/>
    </row>
    <row r="224" spans="7:7" x14ac:dyDescent="0.25">
      <c r="G224"/>
    </row>
    <row r="225" spans="7:7" x14ac:dyDescent="0.25">
      <c r="G225"/>
    </row>
    <row r="226" spans="7:7" x14ac:dyDescent="0.25">
      <c r="G226"/>
    </row>
    <row r="227" spans="7:7" x14ac:dyDescent="0.25">
      <c r="G227"/>
    </row>
    <row r="228" spans="7:7" x14ac:dyDescent="0.25">
      <c r="G228"/>
    </row>
    <row r="229" spans="7:7" x14ac:dyDescent="0.25">
      <c r="G229"/>
    </row>
    <row r="230" spans="7:7" x14ac:dyDescent="0.25">
      <c r="G230"/>
    </row>
    <row r="231" spans="7:7" x14ac:dyDescent="0.25">
      <c r="G231"/>
    </row>
    <row r="232" spans="7:7" x14ac:dyDescent="0.25">
      <c r="G232"/>
    </row>
    <row r="233" spans="7:7" x14ac:dyDescent="0.25">
      <c r="G233"/>
    </row>
    <row r="234" spans="7:7" x14ac:dyDescent="0.25">
      <c r="G234"/>
    </row>
    <row r="235" spans="7:7" x14ac:dyDescent="0.25">
      <c r="G235"/>
    </row>
    <row r="236" spans="7:7" x14ac:dyDescent="0.25">
      <c r="G236"/>
    </row>
    <row r="237" spans="7:7" x14ac:dyDescent="0.25">
      <c r="G237"/>
    </row>
    <row r="238" spans="7:7" x14ac:dyDescent="0.25">
      <c r="G238"/>
    </row>
    <row r="239" spans="7:7" x14ac:dyDescent="0.25">
      <c r="G239"/>
    </row>
    <row r="240" spans="7:7" x14ac:dyDescent="0.25">
      <c r="G240"/>
    </row>
    <row r="241" spans="7:7" x14ac:dyDescent="0.25">
      <c r="G241"/>
    </row>
    <row r="242" spans="7:7" x14ac:dyDescent="0.25">
      <c r="G242"/>
    </row>
    <row r="243" spans="7:7" x14ac:dyDescent="0.25">
      <c r="G243"/>
    </row>
    <row r="244" spans="7:7" x14ac:dyDescent="0.25">
      <c r="G244"/>
    </row>
    <row r="245" spans="7:7" x14ac:dyDescent="0.25">
      <c r="G245"/>
    </row>
    <row r="246" spans="7:7" x14ac:dyDescent="0.25">
      <c r="G246"/>
    </row>
    <row r="247" spans="7:7" x14ac:dyDescent="0.25">
      <c r="G247"/>
    </row>
    <row r="248" spans="7:7" x14ac:dyDescent="0.25">
      <c r="G248"/>
    </row>
    <row r="249" spans="7:7" x14ac:dyDescent="0.25">
      <c r="G249"/>
    </row>
    <row r="250" spans="7:7" x14ac:dyDescent="0.25">
      <c r="G250"/>
    </row>
    <row r="251" spans="7:7" x14ac:dyDescent="0.25">
      <c r="G251"/>
    </row>
    <row r="252" spans="7:7" x14ac:dyDescent="0.25">
      <c r="G252"/>
    </row>
    <row r="253" spans="7:7" x14ac:dyDescent="0.25">
      <c r="G253"/>
    </row>
    <row r="254" spans="7:7" x14ac:dyDescent="0.25">
      <c r="G254"/>
    </row>
    <row r="255" spans="7:7" x14ac:dyDescent="0.25">
      <c r="G255"/>
    </row>
    <row r="256" spans="7:7" x14ac:dyDescent="0.25">
      <c r="G256"/>
    </row>
    <row r="257" spans="7:7" x14ac:dyDescent="0.25">
      <c r="G257"/>
    </row>
    <row r="258" spans="7:7" x14ac:dyDescent="0.25">
      <c r="G258"/>
    </row>
    <row r="259" spans="7:7" x14ac:dyDescent="0.25">
      <c r="G259"/>
    </row>
    <row r="260" spans="7:7" x14ac:dyDescent="0.25">
      <c r="G260"/>
    </row>
    <row r="261" spans="7:7" x14ac:dyDescent="0.25">
      <c r="G261"/>
    </row>
    <row r="262" spans="7:7" x14ac:dyDescent="0.25">
      <c r="G262"/>
    </row>
    <row r="263" spans="7:7" x14ac:dyDescent="0.25">
      <c r="G263"/>
    </row>
    <row r="264" spans="7:7" x14ac:dyDescent="0.25">
      <c r="G264"/>
    </row>
    <row r="265" spans="7:7" x14ac:dyDescent="0.25">
      <c r="G265"/>
    </row>
    <row r="266" spans="7:7" x14ac:dyDescent="0.25">
      <c r="G266"/>
    </row>
    <row r="267" spans="7:7" x14ac:dyDescent="0.25">
      <c r="G267"/>
    </row>
    <row r="268" spans="7:7" x14ac:dyDescent="0.25">
      <c r="G268"/>
    </row>
    <row r="269" spans="7:7" x14ac:dyDescent="0.25">
      <c r="G269"/>
    </row>
    <row r="270" spans="7:7" x14ac:dyDescent="0.25">
      <c r="G270"/>
    </row>
    <row r="271" spans="7:7" x14ac:dyDescent="0.25">
      <c r="G271"/>
    </row>
    <row r="272" spans="7:7" x14ac:dyDescent="0.25">
      <c r="G272"/>
    </row>
    <row r="273" spans="7:7" x14ac:dyDescent="0.25">
      <c r="G273"/>
    </row>
    <row r="274" spans="7:7" x14ac:dyDescent="0.25">
      <c r="G274"/>
    </row>
    <row r="275" spans="7:7" x14ac:dyDescent="0.25">
      <c r="G275"/>
    </row>
    <row r="276" spans="7:7" x14ac:dyDescent="0.25">
      <c r="G276"/>
    </row>
    <row r="277" spans="7:7" x14ac:dyDescent="0.25">
      <c r="G277"/>
    </row>
    <row r="278" spans="7:7" x14ac:dyDescent="0.25">
      <c r="G278"/>
    </row>
    <row r="279" spans="7:7" x14ac:dyDescent="0.25">
      <c r="G279"/>
    </row>
    <row r="280" spans="7:7" x14ac:dyDescent="0.25">
      <c r="G280"/>
    </row>
    <row r="281" spans="7:7" x14ac:dyDescent="0.25">
      <c r="G281"/>
    </row>
    <row r="282" spans="7:7" x14ac:dyDescent="0.25">
      <c r="G282"/>
    </row>
    <row r="283" spans="7:7" x14ac:dyDescent="0.25">
      <c r="G283"/>
    </row>
    <row r="284" spans="7:7" x14ac:dyDescent="0.25">
      <c r="G284"/>
    </row>
    <row r="285" spans="7:7" x14ac:dyDescent="0.25">
      <c r="G285"/>
    </row>
    <row r="286" spans="7:7" x14ac:dyDescent="0.25">
      <c r="G286"/>
    </row>
    <row r="287" spans="7:7" x14ac:dyDescent="0.25">
      <c r="G287"/>
    </row>
    <row r="288" spans="7:7" x14ac:dyDescent="0.25">
      <c r="G288"/>
    </row>
    <row r="289" spans="7:7" x14ac:dyDescent="0.25">
      <c r="G289"/>
    </row>
    <row r="290" spans="7:7" x14ac:dyDescent="0.25">
      <c r="G290"/>
    </row>
    <row r="291" spans="7:7" x14ac:dyDescent="0.25">
      <c r="G291"/>
    </row>
    <row r="292" spans="7:7" x14ac:dyDescent="0.25">
      <c r="G292"/>
    </row>
    <row r="293" spans="7:7" x14ac:dyDescent="0.25">
      <c r="G293"/>
    </row>
    <row r="294" spans="7:7" x14ac:dyDescent="0.25">
      <c r="G294"/>
    </row>
    <row r="295" spans="7:7" x14ac:dyDescent="0.25">
      <c r="G295"/>
    </row>
    <row r="296" spans="7:7" x14ac:dyDescent="0.25">
      <c r="G296"/>
    </row>
    <row r="297" spans="7:7" x14ac:dyDescent="0.25">
      <c r="G297"/>
    </row>
    <row r="298" spans="7:7" x14ac:dyDescent="0.25">
      <c r="G298"/>
    </row>
    <row r="299" spans="7:7" x14ac:dyDescent="0.25">
      <c r="G299"/>
    </row>
    <row r="300" spans="7:7" x14ac:dyDescent="0.25">
      <c r="G300"/>
    </row>
    <row r="301" spans="7:7" x14ac:dyDescent="0.25">
      <c r="G301"/>
    </row>
    <row r="302" spans="7:7" x14ac:dyDescent="0.25">
      <c r="G302"/>
    </row>
    <row r="303" spans="7:7" x14ac:dyDescent="0.25">
      <c r="G303"/>
    </row>
    <row r="304" spans="7:7" x14ac:dyDescent="0.25">
      <c r="G304"/>
    </row>
    <row r="305" spans="7:7" x14ac:dyDescent="0.25">
      <c r="G305"/>
    </row>
    <row r="306" spans="7:7" x14ac:dyDescent="0.25">
      <c r="G306"/>
    </row>
    <row r="307" spans="7:7" x14ac:dyDescent="0.25">
      <c r="G307"/>
    </row>
    <row r="308" spans="7:7" x14ac:dyDescent="0.25">
      <c r="G308"/>
    </row>
    <row r="309" spans="7:7" x14ac:dyDescent="0.25">
      <c r="G309"/>
    </row>
    <row r="310" spans="7:7" x14ac:dyDescent="0.25">
      <c r="G310"/>
    </row>
    <row r="311" spans="7:7" x14ac:dyDescent="0.25">
      <c r="G311"/>
    </row>
    <row r="312" spans="7:7" x14ac:dyDescent="0.25">
      <c r="G312"/>
    </row>
    <row r="313" spans="7:7" x14ac:dyDescent="0.25">
      <c r="G313"/>
    </row>
    <row r="314" spans="7:7" x14ac:dyDescent="0.25">
      <c r="G314"/>
    </row>
    <row r="315" spans="7:7" x14ac:dyDescent="0.25">
      <c r="G315"/>
    </row>
    <row r="316" spans="7:7" x14ac:dyDescent="0.25">
      <c r="G316"/>
    </row>
    <row r="317" spans="7:7" x14ac:dyDescent="0.25">
      <c r="G317"/>
    </row>
    <row r="318" spans="7:7" x14ac:dyDescent="0.25">
      <c r="G318"/>
    </row>
    <row r="319" spans="7:7" x14ac:dyDescent="0.25">
      <c r="G319"/>
    </row>
    <row r="320" spans="7:7" x14ac:dyDescent="0.25">
      <c r="G320"/>
    </row>
    <row r="321" spans="7:7" x14ac:dyDescent="0.25">
      <c r="G321"/>
    </row>
    <row r="322" spans="7:7" x14ac:dyDescent="0.25">
      <c r="G322"/>
    </row>
    <row r="323" spans="7:7" x14ac:dyDescent="0.25">
      <c r="G323"/>
    </row>
    <row r="324" spans="7:7" x14ac:dyDescent="0.25">
      <c r="G324"/>
    </row>
    <row r="325" spans="7:7" x14ac:dyDescent="0.25">
      <c r="G325"/>
    </row>
    <row r="326" spans="7:7" x14ac:dyDescent="0.25">
      <c r="G326"/>
    </row>
    <row r="327" spans="7:7" x14ac:dyDescent="0.25">
      <c r="G327"/>
    </row>
    <row r="328" spans="7:7" x14ac:dyDescent="0.25">
      <c r="G328"/>
    </row>
    <row r="329" spans="7:7" x14ac:dyDescent="0.25">
      <c r="G329"/>
    </row>
    <row r="330" spans="7:7" x14ac:dyDescent="0.25">
      <c r="G330"/>
    </row>
    <row r="331" spans="7:7" x14ac:dyDescent="0.25">
      <c r="G331"/>
    </row>
    <row r="332" spans="7:7" x14ac:dyDescent="0.25">
      <c r="G332"/>
    </row>
    <row r="333" spans="7:7" x14ac:dyDescent="0.25">
      <c r="G333"/>
    </row>
    <row r="334" spans="7:7" x14ac:dyDescent="0.25">
      <c r="G334"/>
    </row>
    <row r="335" spans="7:7" x14ac:dyDescent="0.25">
      <c r="G335"/>
    </row>
    <row r="336" spans="7:7" x14ac:dyDescent="0.25">
      <c r="G336"/>
    </row>
    <row r="337" spans="7:7" x14ac:dyDescent="0.25">
      <c r="G337"/>
    </row>
    <row r="338" spans="7:7" x14ac:dyDescent="0.25">
      <c r="G338"/>
    </row>
    <row r="339" spans="7:7" x14ac:dyDescent="0.25">
      <c r="G339"/>
    </row>
    <row r="340" spans="7:7" x14ac:dyDescent="0.25">
      <c r="G340"/>
    </row>
    <row r="341" spans="7:7" x14ac:dyDescent="0.25">
      <c r="G341"/>
    </row>
    <row r="342" spans="7:7" x14ac:dyDescent="0.25">
      <c r="G342"/>
    </row>
    <row r="343" spans="7:7" x14ac:dyDescent="0.25">
      <c r="G343"/>
    </row>
    <row r="344" spans="7:7" x14ac:dyDescent="0.25">
      <c r="G344"/>
    </row>
    <row r="345" spans="7:7" x14ac:dyDescent="0.25">
      <c r="G345"/>
    </row>
    <row r="346" spans="7:7" x14ac:dyDescent="0.25">
      <c r="G346"/>
    </row>
    <row r="347" spans="7:7" x14ac:dyDescent="0.25">
      <c r="G347"/>
    </row>
    <row r="348" spans="7:7" x14ac:dyDescent="0.25">
      <c r="G348"/>
    </row>
    <row r="349" spans="7:7" x14ac:dyDescent="0.25">
      <c r="G349"/>
    </row>
    <row r="350" spans="7:7" x14ac:dyDescent="0.25">
      <c r="G350"/>
    </row>
    <row r="351" spans="7:7" x14ac:dyDescent="0.25">
      <c r="G351"/>
    </row>
    <row r="352" spans="7:7" x14ac:dyDescent="0.25">
      <c r="G352"/>
    </row>
    <row r="353" spans="7:7" x14ac:dyDescent="0.25">
      <c r="G353"/>
    </row>
    <row r="354" spans="7:7" x14ac:dyDescent="0.25">
      <c r="G354"/>
    </row>
    <row r="355" spans="7:7" x14ac:dyDescent="0.25">
      <c r="G355"/>
    </row>
    <row r="356" spans="7:7" x14ac:dyDescent="0.25">
      <c r="G356"/>
    </row>
    <row r="357" spans="7:7" x14ac:dyDescent="0.25">
      <c r="G357"/>
    </row>
    <row r="358" spans="7:7" x14ac:dyDescent="0.25">
      <c r="G358"/>
    </row>
    <row r="359" spans="7:7" x14ac:dyDescent="0.25">
      <c r="G359"/>
    </row>
    <row r="360" spans="7:7" x14ac:dyDescent="0.25">
      <c r="G360"/>
    </row>
    <row r="361" spans="7:7" x14ac:dyDescent="0.25">
      <c r="G361"/>
    </row>
    <row r="362" spans="7:7" x14ac:dyDescent="0.25">
      <c r="G362"/>
    </row>
    <row r="363" spans="7:7" x14ac:dyDescent="0.25">
      <c r="G363"/>
    </row>
    <row r="364" spans="7:7" x14ac:dyDescent="0.25">
      <c r="G364"/>
    </row>
    <row r="365" spans="7:7" x14ac:dyDescent="0.25">
      <c r="G365"/>
    </row>
    <row r="366" spans="7:7" x14ac:dyDescent="0.25">
      <c r="G366"/>
    </row>
    <row r="367" spans="7:7" x14ac:dyDescent="0.25">
      <c r="G367"/>
    </row>
    <row r="368" spans="7:7" x14ac:dyDescent="0.25">
      <c r="G368"/>
    </row>
    <row r="369" spans="7:7" x14ac:dyDescent="0.25">
      <c r="G369"/>
    </row>
    <row r="370" spans="7:7" x14ac:dyDescent="0.25">
      <c r="G370"/>
    </row>
    <row r="371" spans="7:7" x14ac:dyDescent="0.25">
      <c r="G371"/>
    </row>
    <row r="372" spans="7:7" x14ac:dyDescent="0.25">
      <c r="G372"/>
    </row>
    <row r="373" spans="7:7" x14ac:dyDescent="0.25">
      <c r="G373"/>
    </row>
    <row r="374" spans="7:7" x14ac:dyDescent="0.25">
      <c r="G374"/>
    </row>
    <row r="375" spans="7:7" x14ac:dyDescent="0.25">
      <c r="G375"/>
    </row>
    <row r="376" spans="7:7" x14ac:dyDescent="0.25">
      <c r="G376"/>
    </row>
    <row r="377" spans="7:7" x14ac:dyDescent="0.25">
      <c r="G377"/>
    </row>
    <row r="378" spans="7:7" x14ac:dyDescent="0.25">
      <c r="G378"/>
    </row>
    <row r="379" spans="7:7" x14ac:dyDescent="0.25">
      <c r="G379"/>
    </row>
    <row r="380" spans="7:7" x14ac:dyDescent="0.25">
      <c r="G380"/>
    </row>
    <row r="381" spans="7:7" x14ac:dyDescent="0.25">
      <c r="G381"/>
    </row>
    <row r="382" spans="7:7" x14ac:dyDescent="0.25">
      <c r="G382"/>
    </row>
    <row r="383" spans="7:7" x14ac:dyDescent="0.25">
      <c r="G383"/>
    </row>
    <row r="384" spans="7:7" x14ac:dyDescent="0.25">
      <c r="G384"/>
    </row>
    <row r="385" spans="7:7" x14ac:dyDescent="0.25">
      <c r="G385"/>
    </row>
    <row r="386" spans="7:7" x14ac:dyDescent="0.25">
      <c r="G386"/>
    </row>
    <row r="387" spans="7:7" x14ac:dyDescent="0.25">
      <c r="G387"/>
    </row>
    <row r="388" spans="7:7" x14ac:dyDescent="0.25">
      <c r="G388"/>
    </row>
    <row r="389" spans="7:7" x14ac:dyDescent="0.25">
      <c r="G389"/>
    </row>
    <row r="390" spans="7:7" x14ac:dyDescent="0.25">
      <c r="G390"/>
    </row>
    <row r="391" spans="7:7" x14ac:dyDescent="0.25">
      <c r="G391"/>
    </row>
    <row r="392" spans="7:7" x14ac:dyDescent="0.25">
      <c r="G392"/>
    </row>
    <row r="393" spans="7:7" x14ac:dyDescent="0.25">
      <c r="G393"/>
    </row>
    <row r="394" spans="7:7" x14ac:dyDescent="0.25">
      <c r="G394"/>
    </row>
    <row r="395" spans="7:7" x14ac:dyDescent="0.25">
      <c r="G395"/>
    </row>
    <row r="396" spans="7:7" x14ac:dyDescent="0.25">
      <c r="G396"/>
    </row>
    <row r="397" spans="7:7" x14ac:dyDescent="0.25">
      <c r="G397"/>
    </row>
    <row r="398" spans="7:7" x14ac:dyDescent="0.25">
      <c r="G398"/>
    </row>
    <row r="399" spans="7:7" x14ac:dyDescent="0.25">
      <c r="G399"/>
    </row>
    <row r="400" spans="7:7" x14ac:dyDescent="0.25">
      <c r="G400"/>
    </row>
    <row r="401" spans="7:7" x14ac:dyDescent="0.25">
      <c r="G401"/>
    </row>
    <row r="402" spans="7:7" x14ac:dyDescent="0.25">
      <c r="G402"/>
    </row>
    <row r="403" spans="7:7" x14ac:dyDescent="0.25">
      <c r="G403"/>
    </row>
    <row r="404" spans="7:7" x14ac:dyDescent="0.25">
      <c r="G404"/>
    </row>
    <row r="405" spans="7:7" x14ac:dyDescent="0.25">
      <c r="G405"/>
    </row>
    <row r="406" spans="7:7" x14ac:dyDescent="0.25">
      <c r="G406"/>
    </row>
    <row r="407" spans="7:7" x14ac:dyDescent="0.25">
      <c r="G407"/>
    </row>
    <row r="408" spans="7:7" x14ac:dyDescent="0.25">
      <c r="G408"/>
    </row>
    <row r="409" spans="7:7" x14ac:dyDescent="0.25">
      <c r="G409"/>
    </row>
    <row r="410" spans="7:7" x14ac:dyDescent="0.25">
      <c r="G410"/>
    </row>
    <row r="411" spans="7:7" x14ac:dyDescent="0.25">
      <c r="G411"/>
    </row>
    <row r="412" spans="7:7" x14ac:dyDescent="0.25">
      <c r="G412"/>
    </row>
    <row r="413" spans="7:7" x14ac:dyDescent="0.25">
      <c r="G413"/>
    </row>
    <row r="414" spans="7:7" x14ac:dyDescent="0.25">
      <c r="G414"/>
    </row>
    <row r="415" spans="7:7" x14ac:dyDescent="0.25">
      <c r="G415"/>
    </row>
    <row r="416" spans="7:7" x14ac:dyDescent="0.25">
      <c r="G416"/>
    </row>
    <row r="417" spans="7:7" x14ac:dyDescent="0.25">
      <c r="G417"/>
    </row>
    <row r="418" spans="7:7" x14ac:dyDescent="0.25">
      <c r="G418"/>
    </row>
    <row r="419" spans="7:7" x14ac:dyDescent="0.25">
      <c r="G419"/>
    </row>
    <row r="420" spans="7:7" x14ac:dyDescent="0.25">
      <c r="G420"/>
    </row>
    <row r="421" spans="7:7" x14ac:dyDescent="0.25">
      <c r="G421"/>
    </row>
    <row r="422" spans="7:7" x14ac:dyDescent="0.25">
      <c r="G422"/>
    </row>
    <row r="423" spans="7:7" x14ac:dyDescent="0.25">
      <c r="G423"/>
    </row>
    <row r="424" spans="7:7" x14ac:dyDescent="0.25">
      <c r="G424"/>
    </row>
    <row r="425" spans="7:7" x14ac:dyDescent="0.25">
      <c r="G425"/>
    </row>
    <row r="426" spans="7:7" x14ac:dyDescent="0.25">
      <c r="G426"/>
    </row>
    <row r="427" spans="7:7" x14ac:dyDescent="0.25">
      <c r="G427"/>
    </row>
    <row r="428" spans="7:7" x14ac:dyDescent="0.25">
      <c r="G428"/>
    </row>
    <row r="429" spans="7:7" x14ac:dyDescent="0.25">
      <c r="G429"/>
    </row>
    <row r="430" spans="7:7" x14ac:dyDescent="0.25">
      <c r="G430"/>
    </row>
    <row r="431" spans="7:7" x14ac:dyDescent="0.25">
      <c r="G431"/>
    </row>
    <row r="432" spans="7:7" x14ac:dyDescent="0.25">
      <c r="G432"/>
    </row>
    <row r="433" spans="7:7" x14ac:dyDescent="0.25">
      <c r="G433"/>
    </row>
    <row r="434" spans="7:7" x14ac:dyDescent="0.25">
      <c r="G434"/>
    </row>
    <row r="435" spans="7:7" x14ac:dyDescent="0.25">
      <c r="G435"/>
    </row>
    <row r="436" spans="7:7" x14ac:dyDescent="0.25">
      <c r="G436"/>
    </row>
    <row r="437" spans="7:7" x14ac:dyDescent="0.25">
      <c r="G437"/>
    </row>
    <row r="438" spans="7:7" x14ac:dyDescent="0.25">
      <c r="G438"/>
    </row>
    <row r="439" spans="7:7" x14ac:dyDescent="0.25">
      <c r="G439"/>
    </row>
    <row r="440" spans="7:7" x14ac:dyDescent="0.25">
      <c r="G440"/>
    </row>
    <row r="441" spans="7:7" x14ac:dyDescent="0.25">
      <c r="G441"/>
    </row>
    <row r="442" spans="7:7" x14ac:dyDescent="0.25">
      <c r="G442"/>
    </row>
    <row r="443" spans="7:7" x14ac:dyDescent="0.25">
      <c r="G443"/>
    </row>
    <row r="444" spans="7:7" x14ac:dyDescent="0.25">
      <c r="G444"/>
    </row>
    <row r="445" spans="7:7" x14ac:dyDescent="0.25">
      <c r="G445"/>
    </row>
    <row r="446" spans="7:7" x14ac:dyDescent="0.25">
      <c r="G446"/>
    </row>
    <row r="447" spans="7:7" x14ac:dyDescent="0.25">
      <c r="G447"/>
    </row>
    <row r="448" spans="7:7" x14ac:dyDescent="0.25">
      <c r="G448"/>
    </row>
    <row r="449" spans="7:7" x14ac:dyDescent="0.25">
      <c r="G449"/>
    </row>
    <row r="450" spans="7:7" x14ac:dyDescent="0.25">
      <c r="G450"/>
    </row>
    <row r="451" spans="7:7" x14ac:dyDescent="0.25">
      <c r="G451"/>
    </row>
    <row r="452" spans="7:7" x14ac:dyDescent="0.25">
      <c r="G452"/>
    </row>
    <row r="453" spans="7:7" x14ac:dyDescent="0.25">
      <c r="G453"/>
    </row>
    <row r="454" spans="7:7" x14ac:dyDescent="0.25">
      <c r="G454"/>
    </row>
    <row r="455" spans="7:7" x14ac:dyDescent="0.25">
      <c r="G455"/>
    </row>
    <row r="456" spans="7:7" x14ac:dyDescent="0.25">
      <c r="G456"/>
    </row>
    <row r="457" spans="7:7" x14ac:dyDescent="0.25">
      <c r="G457"/>
    </row>
    <row r="458" spans="7:7" x14ac:dyDescent="0.25">
      <c r="G458"/>
    </row>
    <row r="459" spans="7:7" x14ac:dyDescent="0.25">
      <c r="G459"/>
    </row>
    <row r="460" spans="7:7" x14ac:dyDescent="0.25">
      <c r="G460"/>
    </row>
    <row r="461" spans="7:7" x14ac:dyDescent="0.25">
      <c r="G461"/>
    </row>
    <row r="462" spans="7:7" x14ac:dyDescent="0.25">
      <c r="G462"/>
    </row>
    <row r="463" spans="7:7" x14ac:dyDescent="0.25">
      <c r="G463"/>
    </row>
    <row r="464" spans="7:7" x14ac:dyDescent="0.25">
      <c r="G464"/>
    </row>
    <row r="465" spans="7:7" x14ac:dyDescent="0.25">
      <c r="G465"/>
    </row>
    <row r="466" spans="7:7" x14ac:dyDescent="0.25">
      <c r="G466"/>
    </row>
    <row r="467" spans="7:7" x14ac:dyDescent="0.25">
      <c r="G467"/>
    </row>
    <row r="468" spans="7:7" x14ac:dyDescent="0.25">
      <c r="G468"/>
    </row>
    <row r="469" spans="7:7" x14ac:dyDescent="0.25">
      <c r="G469"/>
    </row>
    <row r="470" spans="7:7" x14ac:dyDescent="0.25">
      <c r="G470"/>
    </row>
    <row r="471" spans="7:7" x14ac:dyDescent="0.25">
      <c r="G471"/>
    </row>
    <row r="472" spans="7:7" x14ac:dyDescent="0.25">
      <c r="G472"/>
    </row>
    <row r="473" spans="7:7" x14ac:dyDescent="0.25">
      <c r="G473"/>
    </row>
    <row r="474" spans="7:7" x14ac:dyDescent="0.25">
      <c r="G474"/>
    </row>
    <row r="475" spans="7:7" x14ac:dyDescent="0.25">
      <c r="G475"/>
    </row>
    <row r="476" spans="7:7" x14ac:dyDescent="0.25">
      <c r="G476"/>
    </row>
    <row r="477" spans="7:7" x14ac:dyDescent="0.25">
      <c r="G477"/>
    </row>
    <row r="478" spans="7:7" x14ac:dyDescent="0.25">
      <c r="G478"/>
    </row>
    <row r="479" spans="7:7" x14ac:dyDescent="0.25">
      <c r="G479"/>
    </row>
    <row r="480" spans="7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  <row r="492" spans="7:7" x14ac:dyDescent="0.25">
      <c r="G492"/>
    </row>
    <row r="493" spans="7:7" x14ac:dyDescent="0.25">
      <c r="G493"/>
    </row>
    <row r="494" spans="7:7" x14ac:dyDescent="0.25">
      <c r="G494"/>
    </row>
    <row r="495" spans="7:7" x14ac:dyDescent="0.25">
      <c r="G495"/>
    </row>
    <row r="496" spans="7:7" x14ac:dyDescent="0.25">
      <c r="G496"/>
    </row>
    <row r="497" spans="7:7" x14ac:dyDescent="0.25">
      <c r="G497"/>
    </row>
    <row r="498" spans="7:7" x14ac:dyDescent="0.25">
      <c r="G498"/>
    </row>
    <row r="499" spans="7:7" x14ac:dyDescent="0.25">
      <c r="G499"/>
    </row>
    <row r="500" spans="7:7" x14ac:dyDescent="0.25">
      <c r="G500"/>
    </row>
    <row r="501" spans="7:7" x14ac:dyDescent="0.25">
      <c r="G501"/>
    </row>
    <row r="502" spans="7:7" x14ac:dyDescent="0.25">
      <c r="G502"/>
    </row>
    <row r="503" spans="7:7" x14ac:dyDescent="0.25">
      <c r="G503"/>
    </row>
    <row r="504" spans="7:7" x14ac:dyDescent="0.25">
      <c r="G504"/>
    </row>
    <row r="505" spans="7:7" x14ac:dyDescent="0.25">
      <c r="G505"/>
    </row>
    <row r="506" spans="7:7" x14ac:dyDescent="0.25">
      <c r="G506"/>
    </row>
    <row r="507" spans="7:7" x14ac:dyDescent="0.25">
      <c r="G507"/>
    </row>
    <row r="508" spans="7:7" x14ac:dyDescent="0.25">
      <c r="G508"/>
    </row>
    <row r="509" spans="7:7" x14ac:dyDescent="0.25">
      <c r="G509"/>
    </row>
    <row r="510" spans="7:7" x14ac:dyDescent="0.25">
      <c r="G510"/>
    </row>
    <row r="511" spans="7:7" x14ac:dyDescent="0.25">
      <c r="G511"/>
    </row>
    <row r="512" spans="7:7" x14ac:dyDescent="0.25">
      <c r="G512"/>
    </row>
    <row r="513" spans="7:7" x14ac:dyDescent="0.25">
      <c r="G513"/>
    </row>
    <row r="514" spans="7:7" x14ac:dyDescent="0.25">
      <c r="G514"/>
    </row>
    <row r="515" spans="7:7" x14ac:dyDescent="0.25">
      <c r="G515"/>
    </row>
    <row r="516" spans="7:7" x14ac:dyDescent="0.25">
      <c r="G516"/>
    </row>
    <row r="517" spans="7:7" x14ac:dyDescent="0.25">
      <c r="G517"/>
    </row>
    <row r="518" spans="7:7" x14ac:dyDescent="0.25">
      <c r="G518"/>
    </row>
    <row r="519" spans="7:7" x14ac:dyDescent="0.25">
      <c r="G519"/>
    </row>
    <row r="520" spans="7:7" x14ac:dyDescent="0.25">
      <c r="G520"/>
    </row>
    <row r="521" spans="7:7" x14ac:dyDescent="0.25">
      <c r="G521"/>
    </row>
    <row r="522" spans="7:7" x14ac:dyDescent="0.25">
      <c r="G522"/>
    </row>
    <row r="523" spans="7:7" x14ac:dyDescent="0.25">
      <c r="G523"/>
    </row>
    <row r="524" spans="7:7" x14ac:dyDescent="0.25">
      <c r="G524"/>
    </row>
    <row r="525" spans="7:7" x14ac:dyDescent="0.25">
      <c r="G525"/>
    </row>
    <row r="526" spans="7:7" x14ac:dyDescent="0.25">
      <c r="G526"/>
    </row>
    <row r="527" spans="7:7" x14ac:dyDescent="0.25">
      <c r="G527"/>
    </row>
    <row r="528" spans="7:7" x14ac:dyDescent="0.25">
      <c r="G528"/>
    </row>
    <row r="529" spans="7:7" x14ac:dyDescent="0.25">
      <c r="G529"/>
    </row>
    <row r="530" spans="7:7" x14ac:dyDescent="0.25">
      <c r="G530"/>
    </row>
    <row r="531" spans="7:7" x14ac:dyDescent="0.25">
      <c r="G531"/>
    </row>
    <row r="532" spans="7:7" x14ac:dyDescent="0.25">
      <c r="G532"/>
    </row>
    <row r="533" spans="7:7" x14ac:dyDescent="0.25">
      <c r="G533"/>
    </row>
    <row r="534" spans="7:7" x14ac:dyDescent="0.25">
      <c r="G534"/>
    </row>
    <row r="535" spans="7:7" x14ac:dyDescent="0.25">
      <c r="G535"/>
    </row>
    <row r="536" spans="7:7" x14ac:dyDescent="0.25">
      <c r="G536"/>
    </row>
    <row r="537" spans="7:7" x14ac:dyDescent="0.25">
      <c r="G537"/>
    </row>
    <row r="538" spans="7:7" x14ac:dyDescent="0.25">
      <c r="G538"/>
    </row>
    <row r="539" spans="7:7" x14ac:dyDescent="0.25">
      <c r="G539"/>
    </row>
    <row r="540" spans="7:7" x14ac:dyDescent="0.25">
      <c r="G540"/>
    </row>
    <row r="541" spans="7:7" x14ac:dyDescent="0.25">
      <c r="G541"/>
    </row>
    <row r="542" spans="7:7" x14ac:dyDescent="0.25">
      <c r="G542"/>
    </row>
    <row r="543" spans="7:7" x14ac:dyDescent="0.25">
      <c r="G543"/>
    </row>
    <row r="544" spans="7:7" x14ac:dyDescent="0.25">
      <c r="G544"/>
    </row>
    <row r="545" spans="7:7" x14ac:dyDescent="0.25">
      <c r="G545"/>
    </row>
    <row r="546" spans="7:7" x14ac:dyDescent="0.25">
      <c r="G546"/>
    </row>
    <row r="547" spans="7:7" x14ac:dyDescent="0.25">
      <c r="G547"/>
    </row>
    <row r="548" spans="7:7" x14ac:dyDescent="0.25">
      <c r="G548"/>
    </row>
    <row r="549" spans="7:7" x14ac:dyDescent="0.25">
      <c r="G549"/>
    </row>
    <row r="550" spans="7:7" x14ac:dyDescent="0.25">
      <c r="G550"/>
    </row>
    <row r="551" spans="7:7" x14ac:dyDescent="0.25">
      <c r="G551"/>
    </row>
    <row r="552" spans="7:7" x14ac:dyDescent="0.25">
      <c r="G552"/>
    </row>
    <row r="553" spans="7:7" x14ac:dyDescent="0.25">
      <c r="G553"/>
    </row>
    <row r="554" spans="7:7" x14ac:dyDescent="0.25">
      <c r="G554"/>
    </row>
    <row r="555" spans="7:7" x14ac:dyDescent="0.25">
      <c r="G555"/>
    </row>
    <row r="556" spans="7:7" x14ac:dyDescent="0.25">
      <c r="G556"/>
    </row>
    <row r="557" spans="7:7" x14ac:dyDescent="0.25">
      <c r="G557"/>
    </row>
    <row r="558" spans="7:7" x14ac:dyDescent="0.25">
      <c r="G558"/>
    </row>
    <row r="559" spans="7:7" x14ac:dyDescent="0.25">
      <c r="G559"/>
    </row>
    <row r="560" spans="7:7" x14ac:dyDescent="0.25">
      <c r="G560"/>
    </row>
    <row r="561" spans="7:7" x14ac:dyDescent="0.25">
      <c r="G561"/>
    </row>
    <row r="562" spans="7:7" x14ac:dyDescent="0.25">
      <c r="G562"/>
    </row>
    <row r="563" spans="7:7" x14ac:dyDescent="0.25">
      <c r="G563"/>
    </row>
    <row r="564" spans="7:7" x14ac:dyDescent="0.25">
      <c r="G564"/>
    </row>
    <row r="565" spans="7:7" x14ac:dyDescent="0.25">
      <c r="G565"/>
    </row>
    <row r="566" spans="7:7" x14ac:dyDescent="0.25">
      <c r="G566"/>
    </row>
    <row r="567" spans="7:7" x14ac:dyDescent="0.25">
      <c r="G567"/>
    </row>
    <row r="568" spans="7:7" x14ac:dyDescent="0.25">
      <c r="G568"/>
    </row>
    <row r="569" spans="7:7" x14ac:dyDescent="0.25">
      <c r="G569"/>
    </row>
    <row r="570" spans="7:7" x14ac:dyDescent="0.25">
      <c r="G570"/>
    </row>
    <row r="571" spans="7:7" x14ac:dyDescent="0.25">
      <c r="G571"/>
    </row>
    <row r="572" spans="7:7" x14ac:dyDescent="0.25">
      <c r="G572"/>
    </row>
    <row r="573" spans="7:7" x14ac:dyDescent="0.25">
      <c r="G573"/>
    </row>
    <row r="574" spans="7:7" x14ac:dyDescent="0.25">
      <c r="G574"/>
    </row>
    <row r="575" spans="7:7" x14ac:dyDescent="0.25">
      <c r="G575"/>
    </row>
    <row r="576" spans="7:7" x14ac:dyDescent="0.25">
      <c r="G576"/>
    </row>
    <row r="577" spans="7:7" x14ac:dyDescent="0.25">
      <c r="G577"/>
    </row>
    <row r="578" spans="7:7" x14ac:dyDescent="0.25">
      <c r="G578"/>
    </row>
    <row r="579" spans="7:7" x14ac:dyDescent="0.25">
      <c r="G579"/>
    </row>
    <row r="580" spans="7:7" x14ac:dyDescent="0.25">
      <c r="G580"/>
    </row>
    <row r="581" spans="7:7" x14ac:dyDescent="0.25">
      <c r="G581"/>
    </row>
    <row r="582" spans="7:7" x14ac:dyDescent="0.25">
      <c r="G582"/>
    </row>
    <row r="583" spans="7:7" x14ac:dyDescent="0.25">
      <c r="G583"/>
    </row>
    <row r="584" spans="7:7" x14ac:dyDescent="0.25">
      <c r="G584"/>
    </row>
    <row r="585" spans="7:7" x14ac:dyDescent="0.25">
      <c r="G585"/>
    </row>
    <row r="586" spans="7:7" x14ac:dyDescent="0.25">
      <c r="G586"/>
    </row>
    <row r="587" spans="7:7" x14ac:dyDescent="0.25">
      <c r="G587"/>
    </row>
    <row r="588" spans="7:7" x14ac:dyDescent="0.25">
      <c r="G588"/>
    </row>
    <row r="589" spans="7:7" x14ac:dyDescent="0.25">
      <c r="G589"/>
    </row>
    <row r="590" spans="7:7" x14ac:dyDescent="0.25">
      <c r="G590"/>
    </row>
    <row r="591" spans="7:7" x14ac:dyDescent="0.25">
      <c r="G591"/>
    </row>
    <row r="592" spans="7:7" x14ac:dyDescent="0.25">
      <c r="G592"/>
    </row>
    <row r="593" spans="7:7" x14ac:dyDescent="0.25">
      <c r="G593"/>
    </row>
    <row r="594" spans="7:7" x14ac:dyDescent="0.25">
      <c r="G594"/>
    </row>
    <row r="595" spans="7:7" x14ac:dyDescent="0.25">
      <c r="G595"/>
    </row>
    <row r="596" spans="7:7" x14ac:dyDescent="0.25">
      <c r="G596"/>
    </row>
    <row r="597" spans="7:7" x14ac:dyDescent="0.25">
      <c r="G597"/>
    </row>
    <row r="598" spans="7:7" x14ac:dyDescent="0.25">
      <c r="G598"/>
    </row>
    <row r="599" spans="7:7" x14ac:dyDescent="0.25">
      <c r="G599"/>
    </row>
    <row r="600" spans="7:7" x14ac:dyDescent="0.25">
      <c r="G600"/>
    </row>
    <row r="601" spans="7:7" x14ac:dyDescent="0.25">
      <c r="G601"/>
    </row>
    <row r="602" spans="7:7" x14ac:dyDescent="0.25">
      <c r="G602"/>
    </row>
    <row r="603" spans="7:7" x14ac:dyDescent="0.25">
      <c r="G603"/>
    </row>
    <row r="604" spans="7:7" x14ac:dyDescent="0.25">
      <c r="G604"/>
    </row>
    <row r="605" spans="7:7" x14ac:dyDescent="0.25">
      <c r="G605"/>
    </row>
    <row r="606" spans="7:7" x14ac:dyDescent="0.25">
      <c r="G606"/>
    </row>
    <row r="607" spans="7:7" x14ac:dyDescent="0.25">
      <c r="G607"/>
    </row>
    <row r="608" spans="7:7" x14ac:dyDescent="0.25">
      <c r="G608"/>
    </row>
    <row r="609" spans="7:7" x14ac:dyDescent="0.25">
      <c r="G609"/>
    </row>
    <row r="610" spans="7:7" x14ac:dyDescent="0.25">
      <c r="G610"/>
    </row>
    <row r="611" spans="7:7" x14ac:dyDescent="0.25">
      <c r="G611"/>
    </row>
    <row r="612" spans="7:7" x14ac:dyDescent="0.25">
      <c r="G612"/>
    </row>
    <row r="613" spans="7:7" x14ac:dyDescent="0.25">
      <c r="G613"/>
    </row>
    <row r="614" spans="7:7" x14ac:dyDescent="0.25">
      <c r="G614"/>
    </row>
    <row r="615" spans="7:7" x14ac:dyDescent="0.25">
      <c r="G615"/>
    </row>
    <row r="616" spans="7:7" x14ac:dyDescent="0.25">
      <c r="G616"/>
    </row>
    <row r="617" spans="7:7" x14ac:dyDescent="0.25">
      <c r="G617"/>
    </row>
    <row r="618" spans="7:7" x14ac:dyDescent="0.25">
      <c r="G618"/>
    </row>
    <row r="619" spans="7:7" x14ac:dyDescent="0.25">
      <c r="G619"/>
    </row>
    <row r="620" spans="7:7" x14ac:dyDescent="0.25">
      <c r="G620"/>
    </row>
    <row r="621" spans="7:7" x14ac:dyDescent="0.25">
      <c r="G621"/>
    </row>
    <row r="622" spans="7:7" x14ac:dyDescent="0.25">
      <c r="G622"/>
    </row>
    <row r="623" spans="7:7" x14ac:dyDescent="0.25">
      <c r="G623"/>
    </row>
    <row r="624" spans="7:7" x14ac:dyDescent="0.25">
      <c r="G624"/>
    </row>
    <row r="625" spans="7:7" x14ac:dyDescent="0.25">
      <c r="G625"/>
    </row>
    <row r="626" spans="7:7" x14ac:dyDescent="0.25">
      <c r="G626"/>
    </row>
    <row r="627" spans="7:7" x14ac:dyDescent="0.25">
      <c r="G627"/>
    </row>
    <row r="628" spans="7:7" x14ac:dyDescent="0.25">
      <c r="G628"/>
    </row>
    <row r="629" spans="7:7" x14ac:dyDescent="0.25">
      <c r="G629"/>
    </row>
    <row r="630" spans="7:7" x14ac:dyDescent="0.25">
      <c r="G630"/>
    </row>
    <row r="631" spans="7:7" x14ac:dyDescent="0.25">
      <c r="G631"/>
    </row>
    <row r="632" spans="7:7" x14ac:dyDescent="0.25">
      <c r="G632"/>
    </row>
    <row r="633" spans="7:7" x14ac:dyDescent="0.25">
      <c r="G633"/>
    </row>
    <row r="634" spans="7:7" x14ac:dyDescent="0.25">
      <c r="G634"/>
    </row>
    <row r="635" spans="7:7" x14ac:dyDescent="0.25">
      <c r="G635"/>
    </row>
    <row r="636" spans="7:7" x14ac:dyDescent="0.25">
      <c r="G636"/>
    </row>
    <row r="637" spans="7:7" x14ac:dyDescent="0.25">
      <c r="G637"/>
    </row>
    <row r="638" spans="7:7" x14ac:dyDescent="0.25">
      <c r="G638"/>
    </row>
    <row r="639" spans="7:7" x14ac:dyDescent="0.25">
      <c r="G639"/>
    </row>
    <row r="640" spans="7:7" x14ac:dyDescent="0.25">
      <c r="G640"/>
    </row>
    <row r="641" spans="7:7" x14ac:dyDescent="0.25">
      <c r="G641"/>
    </row>
    <row r="642" spans="7:7" x14ac:dyDescent="0.25">
      <c r="G642"/>
    </row>
    <row r="643" spans="7:7" x14ac:dyDescent="0.25">
      <c r="G643"/>
    </row>
    <row r="644" spans="7:7" x14ac:dyDescent="0.25">
      <c r="G644"/>
    </row>
  </sheetData>
  <conditionalFormatting sqref="A2:A56">
    <cfRule type="containsText" dxfId="78" priority="5" operator="containsText" text="Partner Acct">
      <formula>NOT(ISERROR(SEARCH("Partner Acct",A2)))</formula>
    </cfRule>
  </conditionalFormatting>
  <conditionalFormatting pivot="1" sqref="D2:D69">
    <cfRule type="cellIs" dxfId="77" priority="4" operator="lessThan">
      <formula>0</formula>
    </cfRule>
  </conditionalFormatting>
  <conditionalFormatting pivot="1" sqref="H2:H69">
    <cfRule type="cellIs" dxfId="76" priority="3" operator="lessThan">
      <formula>0</formula>
    </cfRule>
  </conditionalFormatting>
  <conditionalFormatting pivot="1" sqref="E2:E69">
    <cfRule type="cellIs" dxfId="75" priority="2" operator="lessThan">
      <formula>0</formula>
    </cfRule>
  </conditionalFormatting>
  <conditionalFormatting pivot="1" sqref="I2:I69">
    <cfRule type="cellIs" dxfId="74" priority="1" operator="lessThan">
      <formula>0</formula>
    </cfRule>
  </conditionalFormatting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F1587"/>
  <sheetViews>
    <sheetView workbookViewId="0"/>
  </sheetViews>
  <sheetFormatPr defaultRowHeight="12.5" x14ac:dyDescent="0.25"/>
  <cols>
    <col min="1" max="1" width="16.453125" bestFit="1" customWidth="1"/>
    <col min="2" max="2" width="24" bestFit="1" customWidth="1"/>
    <col min="3" max="3" width="13.453125" bestFit="1" customWidth="1"/>
    <col min="4" max="4" width="42.54296875" bestFit="1" customWidth="1"/>
    <col min="5" max="5" width="15.81640625" bestFit="1" customWidth="1"/>
    <col min="6" max="6" width="42.54296875" customWidth="1"/>
    <col min="7" max="7" width="9" bestFit="1" customWidth="1"/>
    <col min="8" max="8" width="20.1796875" bestFit="1" customWidth="1"/>
    <col min="9" max="9" width="45.453125" bestFit="1" customWidth="1"/>
    <col min="10" max="12" width="17" customWidth="1"/>
    <col min="13" max="13" width="15.54296875" bestFit="1" customWidth="1"/>
    <col min="14" max="14" width="47.81640625" bestFit="1" customWidth="1"/>
    <col min="15" max="15" width="47.453125" bestFit="1" customWidth="1"/>
    <col min="16" max="16" width="49.54296875" bestFit="1" customWidth="1"/>
    <col min="17" max="17" width="53.54296875" bestFit="1" customWidth="1"/>
  </cols>
  <sheetData>
    <row r="1" spans="1:32" ht="25" x14ac:dyDescent="0.25">
      <c r="A1" s="34" t="s">
        <v>43</v>
      </c>
      <c r="B1" s="34" t="s">
        <v>43</v>
      </c>
      <c r="C1" s="34" t="s">
        <v>43</v>
      </c>
      <c r="D1" s="34" t="s">
        <v>43</v>
      </c>
      <c r="E1" s="34" t="s">
        <v>43</v>
      </c>
      <c r="F1" s="34" t="s">
        <v>43</v>
      </c>
      <c r="G1" s="34" t="s">
        <v>43</v>
      </c>
      <c r="H1" s="34" t="s">
        <v>43</v>
      </c>
      <c r="I1" s="34" t="s">
        <v>43</v>
      </c>
      <c r="J1" s="36" t="s">
        <v>45</v>
      </c>
      <c r="K1" s="36" t="s">
        <v>46</v>
      </c>
      <c r="L1" s="36" t="s">
        <v>47</v>
      </c>
      <c r="M1" s="36" t="s">
        <v>48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 x14ac:dyDescent="0.25">
      <c r="A2" s="19" t="s">
        <v>27</v>
      </c>
      <c r="B2" s="19" t="s">
        <v>26</v>
      </c>
      <c r="C2" s="19" t="s">
        <v>28</v>
      </c>
      <c r="D2" s="19" t="s">
        <v>29</v>
      </c>
      <c r="E2" s="19" t="s">
        <v>35</v>
      </c>
      <c r="F2" s="19" t="s">
        <v>36</v>
      </c>
      <c r="G2" s="19" t="s">
        <v>0</v>
      </c>
      <c r="H2" s="19" t="s">
        <v>31</v>
      </c>
      <c r="I2" s="19" t="s">
        <v>30</v>
      </c>
      <c r="J2" s="20" t="s">
        <v>24</v>
      </c>
      <c r="K2" s="20" t="s">
        <v>25</v>
      </c>
      <c r="L2" s="20" t="s">
        <v>39</v>
      </c>
      <c r="M2" s="20" t="s">
        <v>40</v>
      </c>
      <c r="N2" s="19" t="s">
        <v>33</v>
      </c>
      <c r="O2" s="19" t="s">
        <v>37</v>
      </c>
      <c r="P2" s="19" t="s">
        <v>34</v>
      </c>
    </row>
    <row r="3" spans="1:32" x14ac:dyDescent="0.25">
      <c r="A3" s="60" t="s">
        <v>210</v>
      </c>
      <c r="B3" s="60" t="s">
        <v>853</v>
      </c>
      <c r="C3" s="60" t="s">
        <v>211</v>
      </c>
      <c r="D3" s="60" t="s">
        <v>93</v>
      </c>
      <c r="E3" s="60" t="s">
        <v>211</v>
      </c>
      <c r="F3" s="60" t="s">
        <v>93</v>
      </c>
      <c r="G3" s="60" t="s">
        <v>63</v>
      </c>
      <c r="H3" s="60" t="s">
        <v>324</v>
      </c>
      <c r="I3" s="60" t="s">
        <v>325</v>
      </c>
      <c r="J3" s="61">
        <v>5944.75</v>
      </c>
      <c r="K3" s="61"/>
      <c r="L3" s="62">
        <v>24796.799999999999</v>
      </c>
      <c r="M3" s="63"/>
      <c r="N3" s="17" t="str">
        <f t="shared" ref="N3:N66" si="0">C3&amp;" "&amp;D3</f>
        <v>27368 ASSOCIATED PKG/CA STOCKTON</v>
      </c>
      <c r="O3" s="17" t="str">
        <f t="shared" ref="O3:O66" si="1">E3&amp;" "&amp;F3</f>
        <v>27368 ASSOCIATED PKG/CA STOCKTON</v>
      </c>
      <c r="P3" s="17" t="str">
        <f>I3&amp;" ("&amp;H3&amp;")"</f>
        <v>AP 180 TAN-48mm x 100m-36 rls/cs-H (231027)</v>
      </c>
    </row>
    <row r="4" spans="1:32" x14ac:dyDescent="0.25">
      <c r="A4" s="60" t="s">
        <v>210</v>
      </c>
      <c r="B4" s="60" t="s">
        <v>853</v>
      </c>
      <c r="C4" s="60" t="s">
        <v>211</v>
      </c>
      <c r="D4" s="60" t="s">
        <v>93</v>
      </c>
      <c r="E4" s="60" t="s">
        <v>211</v>
      </c>
      <c r="F4" s="60" t="s">
        <v>93</v>
      </c>
      <c r="G4" s="60" t="s">
        <v>63</v>
      </c>
      <c r="H4" s="60" t="s">
        <v>224</v>
      </c>
      <c r="I4" s="60" t="s">
        <v>64</v>
      </c>
      <c r="J4" s="61">
        <v>11247.99</v>
      </c>
      <c r="K4" s="61"/>
      <c r="L4" s="62">
        <v>49593.599999999999</v>
      </c>
      <c r="M4" s="63"/>
      <c r="N4" s="17" t="str">
        <f t="shared" si="0"/>
        <v>27368 ASSOCIATED PKG/CA STOCKTON</v>
      </c>
      <c r="O4" s="17" t="str">
        <f t="shared" si="1"/>
        <v>27368 ASSOCIATED PKG/CA STOCKTON</v>
      </c>
      <c r="P4" s="17" t="str">
        <f t="shared" ref="P4:P67" si="2">I4&amp;" ("&amp;H4&amp;")"</f>
        <v>AP 180 CLR-48mm x 100m-36 rls/cs-H/A (231044)</v>
      </c>
    </row>
    <row r="5" spans="1:32" x14ac:dyDescent="0.25">
      <c r="A5" s="60" t="s">
        <v>210</v>
      </c>
      <c r="B5" s="60" t="s">
        <v>853</v>
      </c>
      <c r="C5" s="60" t="s">
        <v>211</v>
      </c>
      <c r="D5" s="60" t="s">
        <v>93</v>
      </c>
      <c r="E5" s="60" t="s">
        <v>211</v>
      </c>
      <c r="F5" s="60" t="s">
        <v>93</v>
      </c>
      <c r="G5" s="60" t="s">
        <v>55</v>
      </c>
      <c r="H5" s="60" t="s">
        <v>1617</v>
      </c>
      <c r="I5" s="60" t="s">
        <v>1618</v>
      </c>
      <c r="J5" s="61">
        <v>6415.2</v>
      </c>
      <c r="K5" s="61"/>
      <c r="L5" s="65">
        <v>24796.799999999999</v>
      </c>
      <c r="M5" s="64"/>
      <c r="N5" s="17" t="str">
        <f t="shared" si="0"/>
        <v>27368 ASSOCIATED PKG/CA STOCKTON</v>
      </c>
      <c r="O5" s="17" t="str">
        <f t="shared" si="1"/>
        <v>27368 ASSOCIATED PKG/CA STOCKTON</v>
      </c>
      <c r="P5" s="17" t="str">
        <f t="shared" si="2"/>
        <v>AP 201 TAN-48mm x 100m-36 rls/cs-H (231031)</v>
      </c>
    </row>
    <row r="6" spans="1:32" x14ac:dyDescent="0.25">
      <c r="A6" s="60" t="s">
        <v>210</v>
      </c>
      <c r="B6" s="60" t="s">
        <v>853</v>
      </c>
      <c r="C6" s="60" t="s">
        <v>211</v>
      </c>
      <c r="D6" s="60" t="s">
        <v>93</v>
      </c>
      <c r="E6" s="60" t="s">
        <v>211</v>
      </c>
      <c r="F6" s="60" t="s">
        <v>93</v>
      </c>
      <c r="G6" s="60" t="s">
        <v>18</v>
      </c>
      <c r="H6" s="60" t="s">
        <v>215</v>
      </c>
      <c r="I6" s="60" t="s">
        <v>50</v>
      </c>
      <c r="J6" s="61"/>
      <c r="K6" s="61">
        <v>2702.94</v>
      </c>
      <c r="L6" s="62"/>
      <c r="M6" s="63">
        <v>9919.68</v>
      </c>
      <c r="N6" s="17" t="str">
        <f t="shared" si="0"/>
        <v>27368 ASSOCIATED PKG/CA STOCKTON</v>
      </c>
      <c r="O6" s="17" t="str">
        <f t="shared" si="1"/>
        <v>27368 ASSOCIATED PKG/CA STOCKTON</v>
      </c>
      <c r="P6" s="17" t="str">
        <f t="shared" si="2"/>
        <v>HP 200 CLR-48mm x 100m-36 rls/cs-S (207149)</v>
      </c>
    </row>
    <row r="7" spans="1:32" x14ac:dyDescent="0.25">
      <c r="A7" s="60" t="s">
        <v>210</v>
      </c>
      <c r="B7" s="60" t="s">
        <v>853</v>
      </c>
      <c r="C7" s="60" t="s">
        <v>211</v>
      </c>
      <c r="D7" s="60" t="s">
        <v>93</v>
      </c>
      <c r="E7" s="60" t="s">
        <v>211</v>
      </c>
      <c r="F7" s="60" t="s">
        <v>93</v>
      </c>
      <c r="G7" s="60" t="s">
        <v>18</v>
      </c>
      <c r="H7" s="60" t="s">
        <v>213</v>
      </c>
      <c r="I7" s="60" t="s">
        <v>157</v>
      </c>
      <c r="J7" s="61"/>
      <c r="K7" s="61">
        <v>47429.71</v>
      </c>
      <c r="L7" s="62"/>
      <c r="M7" s="64">
        <v>170002.8</v>
      </c>
      <c r="N7" s="17" t="str">
        <f t="shared" si="0"/>
        <v>27368 ASSOCIATED PKG/CA STOCKTON</v>
      </c>
      <c r="O7" s="17" t="str">
        <f t="shared" si="1"/>
        <v>27368 ASSOCIATED PKG/CA STOCKTON</v>
      </c>
      <c r="P7" s="17" t="str">
        <f t="shared" si="2"/>
        <v>HP 200 CLR-48mm x 1371m-6 rls/cs-S (208511)</v>
      </c>
    </row>
    <row r="8" spans="1:32" x14ac:dyDescent="0.25">
      <c r="A8" s="60" t="s">
        <v>210</v>
      </c>
      <c r="B8" s="60" t="s">
        <v>853</v>
      </c>
      <c r="C8" s="60" t="s">
        <v>211</v>
      </c>
      <c r="D8" s="60" t="s">
        <v>93</v>
      </c>
      <c r="E8" s="60" t="s">
        <v>1328</v>
      </c>
      <c r="F8" s="60" t="s">
        <v>1329</v>
      </c>
      <c r="G8" s="60" t="s">
        <v>18</v>
      </c>
      <c r="H8" s="60" t="s">
        <v>214</v>
      </c>
      <c r="I8" s="60" t="s">
        <v>158</v>
      </c>
      <c r="J8" s="61">
        <v>3136.32</v>
      </c>
      <c r="K8" s="61"/>
      <c r="L8" s="62">
        <v>11333.52</v>
      </c>
      <c r="M8" s="63"/>
      <c r="N8" s="17" t="str">
        <f t="shared" si="0"/>
        <v>27368 ASSOCIATED PKG/CA STOCKTON</v>
      </c>
      <c r="O8" s="17" t="str">
        <f t="shared" si="1"/>
        <v>32408 YOSEMITE FOODS INC</v>
      </c>
      <c r="P8" s="17" t="str">
        <f t="shared" si="2"/>
        <v>HP 200 CLR-72mm x 914m-4 rls/cs-S (208496)</v>
      </c>
    </row>
    <row r="9" spans="1:32" x14ac:dyDescent="0.25">
      <c r="A9" s="60" t="s">
        <v>210</v>
      </c>
      <c r="B9" s="60" t="s">
        <v>853</v>
      </c>
      <c r="C9" s="60" t="s">
        <v>211</v>
      </c>
      <c r="D9" s="60" t="s">
        <v>93</v>
      </c>
      <c r="E9" s="60" t="s">
        <v>770</v>
      </c>
      <c r="F9" s="60" t="s">
        <v>771</v>
      </c>
      <c r="G9" s="60" t="s">
        <v>18</v>
      </c>
      <c r="H9" s="60" t="s">
        <v>212</v>
      </c>
      <c r="I9" s="60" t="s">
        <v>86</v>
      </c>
      <c r="J9" s="61">
        <v>3720.82</v>
      </c>
      <c r="K9" s="61">
        <v>7755.26</v>
      </c>
      <c r="L9" s="62">
        <v>15111.36</v>
      </c>
      <c r="M9" s="64">
        <v>30222.720000000001</v>
      </c>
      <c r="N9" s="17" t="str">
        <f t="shared" si="0"/>
        <v>27368 ASSOCIATED PKG/CA STOCKTON</v>
      </c>
      <c r="O9" s="17" t="str">
        <f t="shared" si="1"/>
        <v>78111 CLOVER STORNETTA FARMS</v>
      </c>
      <c r="P9" s="17" t="str">
        <f t="shared" si="2"/>
        <v>HP 200 CLR-48mm x 914m-6 rls/cs-S (208492)</v>
      </c>
    </row>
    <row r="10" spans="1:32" x14ac:dyDescent="0.25">
      <c r="A10" s="60" t="s">
        <v>210</v>
      </c>
      <c r="B10" s="60" t="s">
        <v>853</v>
      </c>
      <c r="C10" s="60" t="s">
        <v>211</v>
      </c>
      <c r="D10" s="60" t="s">
        <v>93</v>
      </c>
      <c r="E10" s="60" t="s">
        <v>1330</v>
      </c>
      <c r="F10" s="60" t="s">
        <v>1331</v>
      </c>
      <c r="G10" s="60" t="s">
        <v>18</v>
      </c>
      <c r="H10" s="60" t="s">
        <v>215</v>
      </c>
      <c r="I10" s="60" t="s">
        <v>50</v>
      </c>
      <c r="J10" s="61">
        <v>563.11</v>
      </c>
      <c r="K10" s="61"/>
      <c r="L10" s="62">
        <v>2066.6</v>
      </c>
      <c r="M10" s="63"/>
      <c r="N10" s="17" t="str">
        <f t="shared" si="0"/>
        <v>27368 ASSOCIATED PKG/CA STOCKTON</v>
      </c>
      <c r="O10" s="17" t="str">
        <f t="shared" si="1"/>
        <v>91982 GLAXO SMITH &amp; KLINE</v>
      </c>
      <c r="P10" s="17" t="str">
        <f t="shared" si="2"/>
        <v>HP 200 CLR-48mm x 100m-36 rls/cs-S (207149)</v>
      </c>
    </row>
    <row r="11" spans="1:32" x14ac:dyDescent="0.25">
      <c r="A11" s="60" t="s">
        <v>210</v>
      </c>
      <c r="B11" s="60" t="s">
        <v>853</v>
      </c>
      <c r="C11" s="60" t="s">
        <v>211</v>
      </c>
      <c r="D11" s="60" t="s">
        <v>93</v>
      </c>
      <c r="E11" s="60" t="s">
        <v>922</v>
      </c>
      <c r="F11" s="60" t="s">
        <v>923</v>
      </c>
      <c r="G11" s="60" t="s">
        <v>18</v>
      </c>
      <c r="H11" s="60" t="s">
        <v>212</v>
      </c>
      <c r="I11" s="60" t="s">
        <v>86</v>
      </c>
      <c r="J11" s="61">
        <v>738.34</v>
      </c>
      <c r="K11" s="61">
        <v>813.78</v>
      </c>
      <c r="L11" s="62">
        <v>3148.2</v>
      </c>
      <c r="M11" s="63">
        <v>3148.2</v>
      </c>
      <c r="N11" s="17" t="str">
        <f t="shared" si="0"/>
        <v>27368 ASSOCIATED PKG/CA STOCKTON</v>
      </c>
      <c r="O11" s="17" t="str">
        <f t="shared" si="1"/>
        <v>705105 NULAID FOODS INC</v>
      </c>
      <c r="P11" s="17" t="str">
        <f t="shared" si="2"/>
        <v>HP 200 CLR-48mm x 914m-6 rls/cs-S (208492)</v>
      </c>
    </row>
    <row r="12" spans="1:32" x14ac:dyDescent="0.25">
      <c r="A12" s="60" t="s">
        <v>210</v>
      </c>
      <c r="B12" s="60" t="s">
        <v>853</v>
      </c>
      <c r="C12" s="60" t="s">
        <v>211</v>
      </c>
      <c r="D12" s="60" t="s">
        <v>93</v>
      </c>
      <c r="E12" s="60" t="s">
        <v>1332</v>
      </c>
      <c r="F12" s="60" t="s">
        <v>1333</v>
      </c>
      <c r="G12" s="60" t="s">
        <v>19</v>
      </c>
      <c r="H12" s="60" t="s">
        <v>1334</v>
      </c>
      <c r="I12" s="60" t="s">
        <v>1335</v>
      </c>
      <c r="J12" s="61">
        <v>25549.599999999999</v>
      </c>
      <c r="K12" s="61"/>
      <c r="L12" s="62">
        <v>90669.6</v>
      </c>
      <c r="M12" s="64"/>
      <c r="N12" s="17" t="str">
        <f t="shared" si="0"/>
        <v>27368 ASSOCIATED PKG/CA STOCKTON</v>
      </c>
      <c r="O12" s="17" t="str">
        <f t="shared" si="1"/>
        <v>707236 VICTOR PACKING INC</v>
      </c>
      <c r="P12" s="17" t="str">
        <f t="shared" si="2"/>
        <v>HP 100 CLR-48mm x 1828m-6 rls/cs-S (200655)</v>
      </c>
    </row>
    <row r="13" spans="1:32" x14ac:dyDescent="0.25">
      <c r="A13" s="60" t="s">
        <v>210</v>
      </c>
      <c r="B13" s="60" t="s">
        <v>853</v>
      </c>
      <c r="C13" s="60" t="s">
        <v>211</v>
      </c>
      <c r="D13" s="60" t="s">
        <v>93</v>
      </c>
      <c r="E13" s="60" t="s">
        <v>924</v>
      </c>
      <c r="F13" s="60" t="s">
        <v>925</v>
      </c>
      <c r="G13" s="60" t="s">
        <v>19</v>
      </c>
      <c r="H13" s="60" t="s">
        <v>221</v>
      </c>
      <c r="I13" s="60" t="s">
        <v>145</v>
      </c>
      <c r="J13" s="61">
        <v>22709.8</v>
      </c>
      <c r="K13" s="61"/>
      <c r="L13" s="62">
        <v>85001.4</v>
      </c>
      <c r="M13" s="64"/>
      <c r="N13" s="17" t="str">
        <f t="shared" si="0"/>
        <v>27368 ASSOCIATED PKG/CA STOCKTON</v>
      </c>
      <c r="O13" s="17" t="str">
        <f t="shared" si="1"/>
        <v>707575 PLANTERS</v>
      </c>
      <c r="P13" s="17" t="str">
        <f t="shared" si="2"/>
        <v>HP 100 CLR-48mm x 1371m-6 rls/cs- S (208470)</v>
      </c>
    </row>
    <row r="14" spans="1:32" x14ac:dyDescent="0.25">
      <c r="A14" s="60" t="s">
        <v>210</v>
      </c>
      <c r="B14" s="60" t="s">
        <v>853</v>
      </c>
      <c r="C14" s="60" t="s">
        <v>211</v>
      </c>
      <c r="D14" s="60" t="s">
        <v>93</v>
      </c>
      <c r="E14" s="60" t="s">
        <v>332</v>
      </c>
      <c r="F14" s="60" t="s">
        <v>333</v>
      </c>
      <c r="G14" s="60" t="s">
        <v>18</v>
      </c>
      <c r="H14" s="60" t="s">
        <v>213</v>
      </c>
      <c r="I14" s="60" t="s">
        <v>157</v>
      </c>
      <c r="J14" s="61">
        <v>18377.41</v>
      </c>
      <c r="K14" s="61">
        <v>9883.68</v>
      </c>
      <c r="L14" s="62">
        <v>68001.119999999995</v>
      </c>
      <c r="M14" s="64">
        <v>34000.559999999998</v>
      </c>
      <c r="N14" s="17" t="str">
        <f t="shared" si="0"/>
        <v>27368 ASSOCIATED PKG/CA STOCKTON</v>
      </c>
      <c r="O14" s="17" t="str">
        <f t="shared" si="1"/>
        <v>707637 LYONS MAGNUS</v>
      </c>
      <c r="P14" s="17" t="str">
        <f t="shared" si="2"/>
        <v>HP 200 CLR-48mm x 1371m-6 rls/cs-S (208511)</v>
      </c>
    </row>
    <row r="15" spans="1:32" x14ac:dyDescent="0.25">
      <c r="A15" s="60" t="s">
        <v>210</v>
      </c>
      <c r="B15" s="60" t="s">
        <v>853</v>
      </c>
      <c r="C15" s="60" t="s">
        <v>211</v>
      </c>
      <c r="D15" s="60" t="s">
        <v>93</v>
      </c>
      <c r="E15" s="60" t="s">
        <v>535</v>
      </c>
      <c r="F15" s="60" t="s">
        <v>536</v>
      </c>
      <c r="G15" s="60" t="s">
        <v>55</v>
      </c>
      <c r="H15" s="60" t="s">
        <v>1619</v>
      </c>
      <c r="I15" s="60" t="s">
        <v>1620</v>
      </c>
      <c r="J15" s="61"/>
      <c r="K15" s="61">
        <v>329.67</v>
      </c>
      <c r="L15" s="62"/>
      <c r="M15" s="63">
        <v>944.47799999999995</v>
      </c>
      <c r="N15" s="17" t="str">
        <f t="shared" si="0"/>
        <v>27368 ASSOCIATED PKG/CA STOCKTON</v>
      </c>
      <c r="O15" s="17" t="str">
        <f t="shared" si="1"/>
        <v>707759 CENTRAL VALLEY CHEESE</v>
      </c>
      <c r="P15" s="17" t="str">
        <f t="shared" si="2"/>
        <v>AP 201 GRN 48mm x 914m-6 rls/cs-H/A (105307)</v>
      </c>
    </row>
    <row r="16" spans="1:32" x14ac:dyDescent="0.25">
      <c r="A16" s="60" t="s">
        <v>210</v>
      </c>
      <c r="B16" s="60" t="s">
        <v>853</v>
      </c>
      <c r="C16" s="60" t="s">
        <v>211</v>
      </c>
      <c r="D16" s="60" t="s">
        <v>93</v>
      </c>
      <c r="E16" s="60" t="s">
        <v>535</v>
      </c>
      <c r="F16" s="60" t="s">
        <v>536</v>
      </c>
      <c r="G16" s="60" t="s">
        <v>55</v>
      </c>
      <c r="H16" s="60" t="s">
        <v>1621</v>
      </c>
      <c r="I16" s="60" t="s">
        <v>1622</v>
      </c>
      <c r="J16" s="61"/>
      <c r="K16" s="61">
        <v>329.67</v>
      </c>
      <c r="L16" s="62"/>
      <c r="M16" s="64">
        <v>944.47799999999995</v>
      </c>
      <c r="N16" s="17" t="str">
        <f t="shared" si="0"/>
        <v>27368 ASSOCIATED PKG/CA STOCKTON</v>
      </c>
      <c r="O16" s="17" t="str">
        <f t="shared" si="1"/>
        <v>707759 CENTRAL VALLEY CHEESE</v>
      </c>
      <c r="P16" s="17" t="str">
        <f t="shared" si="2"/>
        <v>AP 201 YEL 48mm x 914m-6 rls/cs-H/A (105310)</v>
      </c>
    </row>
    <row r="17" spans="1:16" x14ac:dyDescent="0.25">
      <c r="A17" s="60" t="s">
        <v>210</v>
      </c>
      <c r="B17" s="60" t="s">
        <v>853</v>
      </c>
      <c r="C17" s="60" t="s">
        <v>211</v>
      </c>
      <c r="D17" s="60" t="s">
        <v>93</v>
      </c>
      <c r="E17" s="60" t="s">
        <v>535</v>
      </c>
      <c r="F17" s="60" t="s">
        <v>536</v>
      </c>
      <c r="G17" s="60" t="s">
        <v>18</v>
      </c>
      <c r="H17" s="60" t="s">
        <v>464</v>
      </c>
      <c r="I17" s="60" t="s">
        <v>465</v>
      </c>
      <c r="J17" s="61">
        <v>1014.32</v>
      </c>
      <c r="K17" s="61">
        <v>1118.03</v>
      </c>
      <c r="L17" s="62">
        <v>1888.92</v>
      </c>
      <c r="M17" s="64">
        <v>1888.92</v>
      </c>
      <c r="N17" s="17" t="str">
        <f t="shared" si="0"/>
        <v>27368 ASSOCIATED PKG/CA STOCKTON</v>
      </c>
      <c r="O17" s="17" t="str">
        <f t="shared" si="1"/>
        <v>707759 CENTRAL VALLEY CHEESE</v>
      </c>
      <c r="P17" s="17" t="str">
        <f t="shared" si="2"/>
        <v>HP 200 YEL-48mm x 914m-6 rls/cs-H (106042)</v>
      </c>
    </row>
    <row r="18" spans="1:16" x14ac:dyDescent="0.25">
      <c r="A18" s="60" t="s">
        <v>210</v>
      </c>
      <c r="B18" s="60" t="s">
        <v>853</v>
      </c>
      <c r="C18" s="60" t="s">
        <v>211</v>
      </c>
      <c r="D18" s="60" t="s">
        <v>93</v>
      </c>
      <c r="E18" s="60" t="s">
        <v>535</v>
      </c>
      <c r="F18" s="60" t="s">
        <v>536</v>
      </c>
      <c r="G18" s="60" t="s">
        <v>18</v>
      </c>
      <c r="H18" s="60" t="s">
        <v>217</v>
      </c>
      <c r="I18" s="60" t="s">
        <v>149</v>
      </c>
      <c r="J18" s="61">
        <v>1208.67</v>
      </c>
      <c r="K18" s="61">
        <v>1304.3599999999999</v>
      </c>
      <c r="L18" s="62">
        <v>2203.7399999999998</v>
      </c>
      <c r="M18" s="64">
        <v>2203.7399999999998</v>
      </c>
      <c r="N18" s="17" t="str">
        <f t="shared" si="0"/>
        <v>27368 ASSOCIATED PKG/CA STOCKTON</v>
      </c>
      <c r="O18" s="17" t="str">
        <f t="shared" si="1"/>
        <v>707759 CENTRAL VALLEY CHEESE</v>
      </c>
      <c r="P18" s="17" t="str">
        <f t="shared" si="2"/>
        <v>HP 200 GRN-48mm x 914m-6 rls/cs-H/A (129199)</v>
      </c>
    </row>
    <row r="19" spans="1:16" x14ac:dyDescent="0.25">
      <c r="A19" s="60" t="s">
        <v>210</v>
      </c>
      <c r="B19" s="60" t="s">
        <v>853</v>
      </c>
      <c r="C19" s="60" t="s">
        <v>211</v>
      </c>
      <c r="D19" s="60" t="s">
        <v>93</v>
      </c>
      <c r="E19" s="60" t="s">
        <v>535</v>
      </c>
      <c r="F19" s="60" t="s">
        <v>536</v>
      </c>
      <c r="G19" s="60" t="s">
        <v>18</v>
      </c>
      <c r="H19" s="60" t="s">
        <v>218</v>
      </c>
      <c r="I19" s="60" t="s">
        <v>82</v>
      </c>
      <c r="J19" s="61">
        <v>532.46</v>
      </c>
      <c r="K19" s="61"/>
      <c r="L19" s="65">
        <v>944.46</v>
      </c>
      <c r="M19" s="64"/>
      <c r="N19" s="17" t="str">
        <f t="shared" si="0"/>
        <v>27368 ASSOCIATED PKG/CA STOCKTON</v>
      </c>
      <c r="O19" s="17" t="str">
        <f t="shared" si="1"/>
        <v>707759 CENTRAL VALLEY CHEESE</v>
      </c>
      <c r="P19" s="17" t="str">
        <f t="shared" si="2"/>
        <v>HP 200 ORG-48mm x 914m-6 rls/cs-H (136221)</v>
      </c>
    </row>
    <row r="20" spans="1:16" x14ac:dyDescent="0.25">
      <c r="A20" s="60" t="s">
        <v>210</v>
      </c>
      <c r="B20" s="60" t="s">
        <v>853</v>
      </c>
      <c r="C20" s="60" t="s">
        <v>211</v>
      </c>
      <c r="D20" s="60" t="s">
        <v>93</v>
      </c>
      <c r="E20" s="60" t="s">
        <v>535</v>
      </c>
      <c r="F20" s="60" t="s">
        <v>536</v>
      </c>
      <c r="G20" s="60" t="s">
        <v>18</v>
      </c>
      <c r="H20" s="60" t="s">
        <v>459</v>
      </c>
      <c r="I20" s="60" t="s">
        <v>460</v>
      </c>
      <c r="J20" s="61">
        <v>845.26</v>
      </c>
      <c r="K20" s="61">
        <v>745.35</v>
      </c>
      <c r="L20" s="62">
        <v>1574.1</v>
      </c>
      <c r="M20" s="63">
        <v>1259.28</v>
      </c>
      <c r="N20" s="17" t="str">
        <f t="shared" si="0"/>
        <v>27368 ASSOCIATED PKG/CA STOCKTON</v>
      </c>
      <c r="O20" s="17" t="str">
        <f t="shared" si="1"/>
        <v>707759 CENTRAL VALLEY CHEESE</v>
      </c>
      <c r="P20" s="17" t="str">
        <f t="shared" si="2"/>
        <v>HP 200 BLU-48mm x 914m-6 rls/cs-H (162592)</v>
      </c>
    </row>
    <row r="21" spans="1:16" x14ac:dyDescent="0.25">
      <c r="A21" s="60" t="s">
        <v>210</v>
      </c>
      <c r="B21" s="60" t="s">
        <v>853</v>
      </c>
      <c r="C21" s="60" t="s">
        <v>211</v>
      </c>
      <c r="D21" s="60" t="s">
        <v>93</v>
      </c>
      <c r="E21" s="60" t="s">
        <v>535</v>
      </c>
      <c r="F21" s="60" t="s">
        <v>536</v>
      </c>
      <c r="G21" s="60" t="s">
        <v>18</v>
      </c>
      <c r="H21" s="60" t="s">
        <v>537</v>
      </c>
      <c r="I21" s="60" t="s">
        <v>538</v>
      </c>
      <c r="J21" s="61">
        <v>4209.08</v>
      </c>
      <c r="K21" s="61">
        <v>11180.28</v>
      </c>
      <c r="L21" s="62">
        <v>7555.68</v>
      </c>
      <c r="M21" s="64">
        <v>18889.2</v>
      </c>
      <c r="N21" s="17" t="str">
        <f t="shared" si="0"/>
        <v>27368 ASSOCIATED PKG/CA STOCKTON</v>
      </c>
      <c r="O21" s="17" t="str">
        <f t="shared" si="1"/>
        <v>707759 CENTRAL VALLEY CHEESE</v>
      </c>
      <c r="P21" s="17" t="str">
        <f t="shared" si="2"/>
        <v>HP 200 WHI-48mm x 914m-6 rls/cs-H (207381)</v>
      </c>
    </row>
    <row r="22" spans="1:16" x14ac:dyDescent="0.25">
      <c r="A22" s="60" t="s">
        <v>210</v>
      </c>
      <c r="B22" s="60" t="s">
        <v>853</v>
      </c>
      <c r="C22" s="60" t="s">
        <v>211</v>
      </c>
      <c r="D22" s="60" t="s">
        <v>93</v>
      </c>
      <c r="E22" s="60" t="s">
        <v>535</v>
      </c>
      <c r="F22" s="60" t="s">
        <v>536</v>
      </c>
      <c r="G22" s="60" t="s">
        <v>18</v>
      </c>
      <c r="H22" s="60" t="s">
        <v>212</v>
      </c>
      <c r="I22" s="60" t="s">
        <v>86</v>
      </c>
      <c r="J22" s="61">
        <v>977.25</v>
      </c>
      <c r="K22" s="61">
        <v>7492.96</v>
      </c>
      <c r="L22" s="62">
        <v>3777.84</v>
      </c>
      <c r="M22" s="63">
        <v>30222.720000000001</v>
      </c>
      <c r="N22" s="17" t="str">
        <f t="shared" si="0"/>
        <v>27368 ASSOCIATED PKG/CA STOCKTON</v>
      </c>
      <c r="O22" s="17" t="str">
        <f t="shared" si="1"/>
        <v>707759 CENTRAL VALLEY CHEESE</v>
      </c>
      <c r="P22" s="17" t="str">
        <f t="shared" si="2"/>
        <v>HP 200 CLR-48mm x 914m-6 rls/cs-S (208492)</v>
      </c>
    </row>
    <row r="23" spans="1:16" x14ac:dyDescent="0.25">
      <c r="A23" s="60" t="s">
        <v>210</v>
      </c>
      <c r="B23" s="60" t="s">
        <v>853</v>
      </c>
      <c r="C23" s="60" t="s">
        <v>211</v>
      </c>
      <c r="D23" s="60" t="s">
        <v>93</v>
      </c>
      <c r="E23" s="60" t="s">
        <v>535</v>
      </c>
      <c r="F23" s="60" t="s">
        <v>536</v>
      </c>
      <c r="G23" s="60" t="s">
        <v>18</v>
      </c>
      <c r="H23" s="60" t="s">
        <v>493</v>
      </c>
      <c r="I23" s="60" t="s">
        <v>494</v>
      </c>
      <c r="J23" s="61"/>
      <c r="K23" s="61">
        <v>1304.3699999999999</v>
      </c>
      <c r="L23" s="62"/>
      <c r="M23" s="64">
        <v>2203.7399999999998</v>
      </c>
      <c r="N23" s="17" t="str">
        <f t="shared" si="0"/>
        <v>27368 ASSOCIATED PKG/CA STOCKTON</v>
      </c>
      <c r="O23" s="17" t="str">
        <f t="shared" si="1"/>
        <v>707759 CENTRAL VALLEY CHEESE</v>
      </c>
      <c r="P23" s="17" t="str">
        <f t="shared" si="2"/>
        <v>HP 200 RED-48mm x 914m-6 rls/cs-H (218104)</v>
      </c>
    </row>
    <row r="24" spans="1:16" x14ac:dyDescent="0.25">
      <c r="A24" s="60" t="s">
        <v>210</v>
      </c>
      <c r="B24" s="60" t="s">
        <v>853</v>
      </c>
      <c r="C24" s="60" t="s">
        <v>211</v>
      </c>
      <c r="D24" s="60" t="s">
        <v>93</v>
      </c>
      <c r="E24" s="60" t="s">
        <v>439</v>
      </c>
      <c r="F24" s="60" t="s">
        <v>440</v>
      </c>
      <c r="G24" s="60" t="s">
        <v>70</v>
      </c>
      <c r="H24" s="60" t="s">
        <v>363</v>
      </c>
      <c r="I24" s="60" t="s">
        <v>364</v>
      </c>
      <c r="J24" s="61">
        <v>1250.96</v>
      </c>
      <c r="K24" s="61"/>
      <c r="L24" s="62">
        <v>3100.14</v>
      </c>
      <c r="M24" s="63"/>
      <c r="N24" s="17" t="str">
        <f t="shared" si="0"/>
        <v>27368 ASSOCIATED PKG/CA STOCKTON</v>
      </c>
      <c r="O24" s="17" t="str">
        <f t="shared" si="1"/>
        <v>717536 STARWEST BOTANICALS INC</v>
      </c>
      <c r="P24" s="17" t="str">
        <f t="shared" si="2"/>
        <v>HP 235 CLR-48mm x 100m-36 rls/cs-H (188923)</v>
      </c>
    </row>
    <row r="25" spans="1:16" x14ac:dyDescent="0.25">
      <c r="A25" s="60" t="s">
        <v>210</v>
      </c>
      <c r="B25" s="60" t="s">
        <v>853</v>
      </c>
      <c r="C25" s="60" t="s">
        <v>211</v>
      </c>
      <c r="D25" s="60" t="s">
        <v>93</v>
      </c>
      <c r="E25" s="60" t="s">
        <v>455</v>
      </c>
      <c r="F25" s="60" t="s">
        <v>456</v>
      </c>
      <c r="G25" s="60" t="s">
        <v>19</v>
      </c>
      <c r="H25" s="60" t="s">
        <v>222</v>
      </c>
      <c r="I25" s="60" t="s">
        <v>104</v>
      </c>
      <c r="J25" s="61">
        <v>18912.009999999998</v>
      </c>
      <c r="K25" s="61">
        <v>20853.68</v>
      </c>
      <c r="L25" s="62">
        <v>82149.983999999997</v>
      </c>
      <c r="M25" s="63">
        <v>82149.983999999997</v>
      </c>
      <c r="N25" s="17" t="str">
        <f t="shared" si="0"/>
        <v>27368 ASSOCIATED PKG/CA STOCKTON</v>
      </c>
      <c r="O25" s="17" t="str">
        <f t="shared" si="1"/>
        <v>735670 NATURES BAKERY</v>
      </c>
      <c r="P25" s="17" t="str">
        <f t="shared" si="2"/>
        <v>HP 100 CLR-53mm x 1500m-6 rls/cs-S (195553)</v>
      </c>
    </row>
    <row r="26" spans="1:16" x14ac:dyDescent="0.25">
      <c r="A26" s="60" t="s">
        <v>210</v>
      </c>
      <c r="B26" s="60" t="s">
        <v>853</v>
      </c>
      <c r="C26" s="60" t="s">
        <v>211</v>
      </c>
      <c r="D26" s="60" t="s">
        <v>93</v>
      </c>
      <c r="E26" s="60" t="s">
        <v>689</v>
      </c>
      <c r="F26" s="60" t="s">
        <v>690</v>
      </c>
      <c r="G26" s="60" t="s">
        <v>58</v>
      </c>
      <c r="H26" s="60" t="s">
        <v>236</v>
      </c>
      <c r="I26" s="60" t="s">
        <v>129</v>
      </c>
      <c r="J26" s="61">
        <v>4656.96</v>
      </c>
      <c r="K26" s="61"/>
      <c r="L26" s="62">
        <v>8266.7999999999993</v>
      </c>
      <c r="M26" s="64"/>
      <c r="N26" s="17" t="str">
        <f t="shared" si="0"/>
        <v>27368 ASSOCIATED PKG/CA STOCKTON</v>
      </c>
      <c r="O26" s="17" t="str">
        <f t="shared" si="1"/>
        <v>739521 WINESHIPPING.COM</v>
      </c>
      <c r="P26" s="17" t="str">
        <f t="shared" si="2"/>
        <v>HP 400 CLR-72mm x 100m-24 rls/cs-H/A (207845)</v>
      </c>
    </row>
    <row r="27" spans="1:16" x14ac:dyDescent="0.25">
      <c r="A27" s="60" t="s">
        <v>210</v>
      </c>
      <c r="B27" s="60" t="s">
        <v>853</v>
      </c>
      <c r="C27" s="60" t="s">
        <v>211</v>
      </c>
      <c r="D27" s="60" t="s">
        <v>93</v>
      </c>
      <c r="E27" s="60" t="s">
        <v>689</v>
      </c>
      <c r="F27" s="60" t="s">
        <v>690</v>
      </c>
      <c r="G27" s="60" t="s">
        <v>58</v>
      </c>
      <c r="H27" s="60" t="s">
        <v>262</v>
      </c>
      <c r="I27" s="60" t="s">
        <v>92</v>
      </c>
      <c r="J27" s="61">
        <v>9197.98</v>
      </c>
      <c r="K27" s="61">
        <v>9657.02</v>
      </c>
      <c r="L27" s="62">
        <v>22667.040000000001</v>
      </c>
      <c r="M27" s="63">
        <v>22667.434000000001</v>
      </c>
      <c r="N27" s="17" t="str">
        <f t="shared" si="0"/>
        <v>27368 ASSOCIATED PKG/CA STOCKTON</v>
      </c>
      <c r="O27" s="17" t="str">
        <f t="shared" si="1"/>
        <v>739521 WINESHIPPING.COM</v>
      </c>
      <c r="P27" s="17" t="str">
        <f t="shared" si="2"/>
        <v>HP 400 CLR-72mm x 914m-4 rls/cs-H/A (208558)</v>
      </c>
    </row>
    <row r="28" spans="1:16" x14ac:dyDescent="0.25">
      <c r="A28" s="60" t="s">
        <v>210</v>
      </c>
      <c r="B28" s="60" t="s">
        <v>853</v>
      </c>
      <c r="C28" s="60" t="s">
        <v>211</v>
      </c>
      <c r="D28" s="60" t="s">
        <v>93</v>
      </c>
      <c r="E28" s="60" t="s">
        <v>1623</v>
      </c>
      <c r="F28" s="60" t="s">
        <v>1624</v>
      </c>
      <c r="G28" s="60" t="s">
        <v>55</v>
      </c>
      <c r="H28" s="60" t="s">
        <v>1617</v>
      </c>
      <c r="I28" s="60" t="s">
        <v>1618</v>
      </c>
      <c r="J28" s="61">
        <v>3207.6</v>
      </c>
      <c r="K28" s="61"/>
      <c r="L28" s="62">
        <v>12398.4</v>
      </c>
      <c r="M28" s="63"/>
      <c r="N28" s="17" t="str">
        <f t="shared" si="0"/>
        <v>27368 ASSOCIATED PKG/CA STOCKTON</v>
      </c>
      <c r="O28" s="17" t="str">
        <f t="shared" si="1"/>
        <v>739709 NDS INC</v>
      </c>
      <c r="P28" s="17" t="str">
        <f t="shared" si="2"/>
        <v>AP 201 TAN-48mm x 100m-36 rls/cs-H (231031)</v>
      </c>
    </row>
    <row r="29" spans="1:16" x14ac:dyDescent="0.25">
      <c r="A29" s="60" t="s">
        <v>210</v>
      </c>
      <c r="B29" s="60" t="s">
        <v>853</v>
      </c>
      <c r="C29" s="60" t="s">
        <v>211</v>
      </c>
      <c r="D29" s="60" t="s">
        <v>93</v>
      </c>
      <c r="E29" s="60" t="s">
        <v>457</v>
      </c>
      <c r="F29" s="60" t="s">
        <v>458</v>
      </c>
      <c r="G29" s="60" t="s">
        <v>19</v>
      </c>
      <c r="H29" s="60" t="s">
        <v>221</v>
      </c>
      <c r="I29" s="60" t="s">
        <v>145</v>
      </c>
      <c r="J29" s="61">
        <v>1667.06</v>
      </c>
      <c r="K29" s="61">
        <v>1629.94</v>
      </c>
      <c r="L29" s="62">
        <v>7083.45</v>
      </c>
      <c r="M29" s="64">
        <v>6611.22</v>
      </c>
      <c r="N29" s="17" t="str">
        <f t="shared" si="0"/>
        <v>27368 ASSOCIATED PKG/CA STOCKTON</v>
      </c>
      <c r="O29" s="17" t="str">
        <f t="shared" si="1"/>
        <v>740115 CARO NUT</v>
      </c>
      <c r="P29" s="17" t="str">
        <f t="shared" si="2"/>
        <v>HP 100 CLR-48mm x 1371m-6 rls/cs- S (208470)</v>
      </c>
    </row>
    <row r="30" spans="1:16" x14ac:dyDescent="0.25">
      <c r="A30" s="60" t="s">
        <v>210</v>
      </c>
      <c r="B30" s="60" t="s">
        <v>853</v>
      </c>
      <c r="C30" s="60" t="s">
        <v>211</v>
      </c>
      <c r="D30" s="60" t="s">
        <v>93</v>
      </c>
      <c r="E30" s="60" t="s">
        <v>457</v>
      </c>
      <c r="F30" s="60" t="s">
        <v>458</v>
      </c>
      <c r="G30" s="60" t="s">
        <v>18</v>
      </c>
      <c r="H30" s="60" t="s">
        <v>459</v>
      </c>
      <c r="I30" s="60" t="s">
        <v>460</v>
      </c>
      <c r="J30" s="61"/>
      <c r="K30" s="61">
        <v>923.97</v>
      </c>
      <c r="L30" s="62"/>
      <c r="M30" s="63">
        <v>1574.1</v>
      </c>
      <c r="N30" s="17" t="str">
        <f t="shared" si="0"/>
        <v>27368 ASSOCIATED PKG/CA STOCKTON</v>
      </c>
      <c r="O30" s="17" t="str">
        <f t="shared" si="1"/>
        <v>740115 CARO NUT</v>
      </c>
      <c r="P30" s="17" t="str">
        <f t="shared" si="2"/>
        <v>HP 200 BLU-48mm x 914m-6 rls/cs-H (162592)</v>
      </c>
    </row>
    <row r="31" spans="1:16" x14ac:dyDescent="0.25">
      <c r="A31" s="60" t="s">
        <v>210</v>
      </c>
      <c r="B31" s="60" t="s">
        <v>853</v>
      </c>
      <c r="C31" s="60" t="s">
        <v>211</v>
      </c>
      <c r="D31" s="60" t="s">
        <v>93</v>
      </c>
      <c r="E31" s="60" t="s">
        <v>421</v>
      </c>
      <c r="F31" s="60" t="s">
        <v>422</v>
      </c>
      <c r="G31" s="60" t="s">
        <v>18</v>
      </c>
      <c r="H31" s="60" t="s">
        <v>537</v>
      </c>
      <c r="I31" s="60" t="s">
        <v>538</v>
      </c>
      <c r="J31" s="61">
        <v>532.46</v>
      </c>
      <c r="K31" s="61"/>
      <c r="L31" s="65">
        <v>944.46</v>
      </c>
      <c r="M31" s="64"/>
      <c r="N31" s="17" t="str">
        <f t="shared" si="0"/>
        <v>27368 ASSOCIATED PKG/CA STOCKTON</v>
      </c>
      <c r="O31" s="17" t="str">
        <f t="shared" si="1"/>
        <v>741582 ASSOCIATED PKG FOR GC4</v>
      </c>
      <c r="P31" s="17" t="str">
        <f t="shared" si="2"/>
        <v>HP 200 WHI-48mm x 914m-6 rls/cs-H (207381)</v>
      </c>
    </row>
    <row r="32" spans="1:16" x14ac:dyDescent="0.25">
      <c r="A32" s="60" t="s">
        <v>210</v>
      </c>
      <c r="B32" s="60" t="s">
        <v>853</v>
      </c>
      <c r="C32" s="60" t="s">
        <v>211</v>
      </c>
      <c r="D32" s="60" t="s">
        <v>93</v>
      </c>
      <c r="E32" s="60" t="s">
        <v>421</v>
      </c>
      <c r="F32" s="60" t="s">
        <v>422</v>
      </c>
      <c r="G32" s="60" t="s">
        <v>62</v>
      </c>
      <c r="H32" s="60" t="s">
        <v>417</v>
      </c>
      <c r="I32" s="60" t="s">
        <v>432</v>
      </c>
      <c r="J32" s="61">
        <v>55085.2</v>
      </c>
      <c r="K32" s="61"/>
      <c r="L32" s="65">
        <v>172330.93100000001</v>
      </c>
      <c r="M32" s="64"/>
      <c r="N32" s="17" t="str">
        <f t="shared" si="0"/>
        <v>27368 ASSOCIATED PKG/CA STOCKTON</v>
      </c>
      <c r="O32" s="17" t="str">
        <f t="shared" si="1"/>
        <v>741582 ASSOCIATED PKG FOR GC4</v>
      </c>
      <c r="P32" s="17" t="str">
        <f t="shared" si="2"/>
        <v>HP 300 CLR-48mm x 1371m-6 rls/cs-H/A (100503)</v>
      </c>
    </row>
    <row r="33" spans="1:16" x14ac:dyDescent="0.25">
      <c r="A33" s="60" t="s">
        <v>210</v>
      </c>
      <c r="B33" s="60" t="s">
        <v>853</v>
      </c>
      <c r="C33" s="60" t="s">
        <v>211</v>
      </c>
      <c r="D33" s="60" t="s">
        <v>93</v>
      </c>
      <c r="E33" s="60" t="s">
        <v>461</v>
      </c>
      <c r="F33" s="60" t="s">
        <v>879</v>
      </c>
      <c r="G33" s="60" t="s">
        <v>19</v>
      </c>
      <c r="H33" s="60" t="s">
        <v>233</v>
      </c>
      <c r="I33" s="60" t="s">
        <v>49</v>
      </c>
      <c r="J33" s="61">
        <v>1019.3</v>
      </c>
      <c r="K33" s="61"/>
      <c r="L33" s="65">
        <v>4133.2</v>
      </c>
      <c r="M33" s="64"/>
      <c r="N33" s="17" t="str">
        <f t="shared" si="0"/>
        <v>27368 ASSOCIATED PKG/CA STOCKTON</v>
      </c>
      <c r="O33" s="17" t="str">
        <f t="shared" si="1"/>
        <v>742821 VALLEY PROTEIN LLC</v>
      </c>
      <c r="P33" s="17" t="str">
        <f t="shared" si="2"/>
        <v>HP 100 CLR-48mm x 100m-36 rls/cs-S (207142)</v>
      </c>
    </row>
    <row r="34" spans="1:16" x14ac:dyDescent="0.25">
      <c r="A34" s="60" t="s">
        <v>210</v>
      </c>
      <c r="B34" s="60" t="s">
        <v>853</v>
      </c>
      <c r="C34" s="60" t="s">
        <v>211</v>
      </c>
      <c r="D34" s="60" t="s">
        <v>93</v>
      </c>
      <c r="E34" s="60" t="s">
        <v>461</v>
      </c>
      <c r="F34" s="60" t="s">
        <v>879</v>
      </c>
      <c r="G34" s="60" t="s">
        <v>18</v>
      </c>
      <c r="H34" s="60" t="s">
        <v>212</v>
      </c>
      <c r="I34" s="60" t="s">
        <v>86</v>
      </c>
      <c r="J34" s="61">
        <v>2584.02</v>
      </c>
      <c r="K34" s="61">
        <v>651.02</v>
      </c>
      <c r="L34" s="65">
        <v>10703.88</v>
      </c>
      <c r="M34" s="64">
        <v>2518.56</v>
      </c>
      <c r="N34" s="17" t="str">
        <f t="shared" si="0"/>
        <v>27368 ASSOCIATED PKG/CA STOCKTON</v>
      </c>
      <c r="O34" s="17" t="str">
        <f t="shared" si="1"/>
        <v>742821 VALLEY PROTEIN LLC</v>
      </c>
      <c r="P34" s="17" t="str">
        <f t="shared" si="2"/>
        <v>HP 200 CLR-48mm x 914m-6 rls/cs-S (208492)</v>
      </c>
    </row>
    <row r="35" spans="1:16" x14ac:dyDescent="0.25">
      <c r="A35" s="60" t="s">
        <v>210</v>
      </c>
      <c r="B35" s="60" t="s">
        <v>853</v>
      </c>
      <c r="C35" s="60" t="s">
        <v>211</v>
      </c>
      <c r="D35" s="60" t="s">
        <v>93</v>
      </c>
      <c r="E35" s="60" t="s">
        <v>584</v>
      </c>
      <c r="F35" s="60" t="s">
        <v>585</v>
      </c>
      <c r="G35" s="60" t="s">
        <v>18</v>
      </c>
      <c r="H35" s="60" t="s">
        <v>214</v>
      </c>
      <c r="I35" s="60" t="s">
        <v>158</v>
      </c>
      <c r="J35" s="61">
        <v>4388.47</v>
      </c>
      <c r="K35" s="61"/>
      <c r="L35" s="65">
        <v>18889.2</v>
      </c>
      <c r="M35" s="64"/>
      <c r="N35" s="17" t="str">
        <f t="shared" si="0"/>
        <v>27368 ASSOCIATED PKG/CA STOCKTON</v>
      </c>
      <c r="O35" s="17" t="str">
        <f t="shared" si="1"/>
        <v>744364 CEPHEID - EAST BAY LOGISTICS</v>
      </c>
      <c r="P35" s="17" t="str">
        <f t="shared" si="2"/>
        <v>HP 200 CLR-72mm x 914m-4 rls/cs-S (208496)</v>
      </c>
    </row>
    <row r="36" spans="1:16" x14ac:dyDescent="0.25">
      <c r="A36" s="60" t="s">
        <v>210</v>
      </c>
      <c r="B36" s="60" t="s">
        <v>853</v>
      </c>
      <c r="C36" s="60" t="s">
        <v>211</v>
      </c>
      <c r="D36" s="60" t="s">
        <v>93</v>
      </c>
      <c r="E36" s="60" t="s">
        <v>1625</v>
      </c>
      <c r="F36" s="60" t="s">
        <v>1626</v>
      </c>
      <c r="G36" s="60" t="s">
        <v>18</v>
      </c>
      <c r="H36" s="60" t="s">
        <v>215</v>
      </c>
      <c r="I36" s="60" t="s">
        <v>50</v>
      </c>
      <c r="J36" s="61">
        <v>563.11</v>
      </c>
      <c r="K36" s="61"/>
      <c r="L36" s="65">
        <v>2066.6</v>
      </c>
      <c r="M36" s="64"/>
      <c r="N36" s="17" t="str">
        <f t="shared" si="0"/>
        <v>27368 ASSOCIATED PKG/CA STOCKTON</v>
      </c>
      <c r="O36" s="17" t="str">
        <f t="shared" si="1"/>
        <v>745867 TORANI - SL</v>
      </c>
      <c r="P36" s="17" t="str">
        <f t="shared" si="2"/>
        <v>HP 200 CLR-48mm x 100m-36 rls/cs-S (207149)</v>
      </c>
    </row>
    <row r="37" spans="1:16" x14ac:dyDescent="0.25">
      <c r="A37" s="60" t="s">
        <v>210</v>
      </c>
      <c r="B37" s="60" t="s">
        <v>853</v>
      </c>
      <c r="C37" s="60" t="s">
        <v>211</v>
      </c>
      <c r="D37" s="60" t="s">
        <v>93</v>
      </c>
      <c r="E37" s="60" t="s">
        <v>628</v>
      </c>
      <c r="F37" s="60" t="s">
        <v>629</v>
      </c>
      <c r="G37" s="60" t="s">
        <v>18</v>
      </c>
      <c r="H37" s="60" t="s">
        <v>214</v>
      </c>
      <c r="I37" s="60" t="s">
        <v>158</v>
      </c>
      <c r="J37" s="61">
        <v>15796.84</v>
      </c>
      <c r="K37" s="61">
        <v>4837.54</v>
      </c>
      <c r="L37" s="65">
        <v>66112.2</v>
      </c>
      <c r="M37" s="64">
        <v>18889.2</v>
      </c>
      <c r="N37" s="17" t="str">
        <f t="shared" si="0"/>
        <v>27368 ASSOCIATED PKG/CA STOCKTON</v>
      </c>
      <c r="O37" s="17" t="str">
        <f t="shared" si="1"/>
        <v>745969 ASSOCIATED PKG FOR CEPHEID</v>
      </c>
      <c r="P37" s="17" t="str">
        <f t="shared" si="2"/>
        <v>HP 200 CLR-72mm x 914m-4 rls/cs-S (208496)</v>
      </c>
    </row>
    <row r="38" spans="1:16" x14ac:dyDescent="0.25">
      <c r="A38" s="60" t="s">
        <v>210</v>
      </c>
      <c r="B38" s="60" t="s">
        <v>853</v>
      </c>
      <c r="C38" s="60" t="s">
        <v>211</v>
      </c>
      <c r="D38" s="60" t="s">
        <v>93</v>
      </c>
      <c r="E38" s="60" t="s">
        <v>1627</v>
      </c>
      <c r="F38" s="60" t="s">
        <v>1628</v>
      </c>
      <c r="G38" s="60" t="s">
        <v>63</v>
      </c>
      <c r="H38" s="60" t="s">
        <v>224</v>
      </c>
      <c r="I38" s="60" t="s">
        <v>64</v>
      </c>
      <c r="J38" s="61">
        <v>2972.38</v>
      </c>
      <c r="K38" s="61">
        <v>2801.3</v>
      </c>
      <c r="L38" s="65">
        <v>12398.4</v>
      </c>
      <c r="M38" s="64">
        <v>12398.4</v>
      </c>
      <c r="N38" s="17" t="str">
        <f t="shared" si="0"/>
        <v>27368 ASSOCIATED PKG/CA STOCKTON</v>
      </c>
      <c r="O38" s="17" t="str">
        <f t="shared" si="1"/>
        <v>746128 KIM HONG NOODLE</v>
      </c>
      <c r="P38" s="17" t="str">
        <f t="shared" si="2"/>
        <v>AP 180 CLR-48mm x 100m-36 rls/cs-H/A (231044)</v>
      </c>
    </row>
    <row r="39" spans="1:16" x14ac:dyDescent="0.25">
      <c r="A39" s="60" t="s">
        <v>210</v>
      </c>
      <c r="B39" s="60" t="s">
        <v>853</v>
      </c>
      <c r="C39" s="60" t="s">
        <v>211</v>
      </c>
      <c r="D39" s="60" t="s">
        <v>93</v>
      </c>
      <c r="E39" s="60" t="s">
        <v>1629</v>
      </c>
      <c r="F39" s="60" t="s">
        <v>1630</v>
      </c>
      <c r="G39" s="60" t="s">
        <v>18</v>
      </c>
      <c r="H39" s="60" t="s">
        <v>215</v>
      </c>
      <c r="I39" s="60" t="s">
        <v>50</v>
      </c>
      <c r="J39" s="61">
        <v>3207.6</v>
      </c>
      <c r="K39" s="61"/>
      <c r="L39" s="65">
        <v>12399.6</v>
      </c>
      <c r="M39" s="64"/>
      <c r="N39" s="17" t="str">
        <f t="shared" si="0"/>
        <v>27368 ASSOCIATED PKG/CA STOCKTON</v>
      </c>
      <c r="O39" s="17" t="str">
        <f t="shared" si="1"/>
        <v>746162 CALIFORNIA NUGGETS INC</v>
      </c>
      <c r="P39" s="17" t="str">
        <f t="shared" si="2"/>
        <v>HP 200 CLR-48mm x 100m-36 rls/cs-S (207149)</v>
      </c>
    </row>
    <row r="40" spans="1:16" x14ac:dyDescent="0.25">
      <c r="A40" s="60" t="s">
        <v>210</v>
      </c>
      <c r="B40" s="60" t="s">
        <v>853</v>
      </c>
      <c r="C40" s="60" t="s">
        <v>211</v>
      </c>
      <c r="D40" s="60" t="s">
        <v>93</v>
      </c>
      <c r="E40" s="60" t="s">
        <v>926</v>
      </c>
      <c r="F40" s="60" t="s">
        <v>927</v>
      </c>
      <c r="G40" s="60" t="s">
        <v>70</v>
      </c>
      <c r="H40" s="60" t="s">
        <v>361</v>
      </c>
      <c r="I40" s="60" t="s">
        <v>362</v>
      </c>
      <c r="J40" s="61">
        <v>3784.97</v>
      </c>
      <c r="K40" s="61">
        <v>4037.3</v>
      </c>
      <c r="L40" s="65">
        <v>11334.24</v>
      </c>
      <c r="M40" s="64">
        <v>11334.24</v>
      </c>
      <c r="N40" s="17" t="str">
        <f t="shared" si="0"/>
        <v>27368 ASSOCIATED PKG/CA STOCKTON</v>
      </c>
      <c r="O40" s="17" t="str">
        <f t="shared" si="1"/>
        <v>746565 STOCKTON COLD STORAGE LLC</v>
      </c>
      <c r="P40" s="17" t="str">
        <f t="shared" si="2"/>
        <v>HP 235 CLR-72mm x 914m-4 rls/cs-H (150721)</v>
      </c>
    </row>
    <row r="41" spans="1:16" x14ac:dyDescent="0.25">
      <c r="A41" s="60" t="s">
        <v>210</v>
      </c>
      <c r="B41" s="60" t="s">
        <v>853</v>
      </c>
      <c r="C41" s="60" t="s">
        <v>211</v>
      </c>
      <c r="D41" s="60" t="s">
        <v>93</v>
      </c>
      <c r="E41" s="60" t="s">
        <v>772</v>
      </c>
      <c r="F41" s="60" t="s">
        <v>773</v>
      </c>
      <c r="G41" s="60" t="s">
        <v>19</v>
      </c>
      <c r="H41" s="60" t="s">
        <v>243</v>
      </c>
      <c r="I41" s="60" t="s">
        <v>87</v>
      </c>
      <c r="J41" s="61">
        <v>6956.93</v>
      </c>
      <c r="K41" s="61"/>
      <c r="L41" s="65">
        <v>30222.720000000001</v>
      </c>
      <c r="M41" s="64"/>
      <c r="N41" s="17" t="str">
        <f t="shared" si="0"/>
        <v>27368 ASSOCIATED PKG/CA STOCKTON</v>
      </c>
      <c r="O41" s="17" t="str">
        <f t="shared" si="1"/>
        <v>747444 PFLUG PACKAGING</v>
      </c>
      <c r="P41" s="17" t="str">
        <f t="shared" si="2"/>
        <v>HP 100 CLR-48mm x 914m-6 rls/cs-S (208453)</v>
      </c>
    </row>
    <row r="42" spans="1:16" x14ac:dyDescent="0.25">
      <c r="A42" s="60" t="s">
        <v>210</v>
      </c>
      <c r="B42" s="60" t="s">
        <v>853</v>
      </c>
      <c r="C42" s="60" t="s">
        <v>211</v>
      </c>
      <c r="D42" s="60" t="s">
        <v>93</v>
      </c>
      <c r="E42" s="60" t="s">
        <v>1631</v>
      </c>
      <c r="F42" s="60" t="s">
        <v>1632</v>
      </c>
      <c r="G42" s="60" t="s">
        <v>18</v>
      </c>
      <c r="H42" s="60" t="s">
        <v>214</v>
      </c>
      <c r="I42" s="60" t="s">
        <v>158</v>
      </c>
      <c r="J42" s="61">
        <v>8363.52</v>
      </c>
      <c r="K42" s="61"/>
      <c r="L42" s="62">
        <v>30222.720000000001</v>
      </c>
      <c r="M42" s="64"/>
      <c r="N42" s="17" t="str">
        <f t="shared" si="0"/>
        <v>27368 ASSOCIATED PKG/CA STOCKTON</v>
      </c>
      <c r="O42" s="17" t="str">
        <f t="shared" si="1"/>
        <v>747614 PFLUG PACKAGING - LATHROP WHSE</v>
      </c>
      <c r="P42" s="17" t="str">
        <f t="shared" si="2"/>
        <v>HP 200 CLR-72mm x 914m-4 rls/cs-S (208496)</v>
      </c>
    </row>
    <row r="43" spans="1:16" x14ac:dyDescent="0.25">
      <c r="A43" s="60" t="s">
        <v>210</v>
      </c>
      <c r="B43" s="60" t="s">
        <v>853</v>
      </c>
      <c r="C43" s="60" t="s">
        <v>211</v>
      </c>
      <c r="D43" s="60" t="s">
        <v>93</v>
      </c>
      <c r="E43" s="60" t="s">
        <v>1633</v>
      </c>
      <c r="F43" s="60" t="s">
        <v>1634</v>
      </c>
      <c r="G43" s="60" t="s">
        <v>18</v>
      </c>
      <c r="H43" s="60" t="s">
        <v>212</v>
      </c>
      <c r="I43" s="60" t="s">
        <v>86</v>
      </c>
      <c r="J43" s="61">
        <v>3720.82</v>
      </c>
      <c r="K43" s="61"/>
      <c r="L43" s="62">
        <v>15111.36</v>
      </c>
      <c r="M43" s="64"/>
      <c r="N43" s="17" t="str">
        <f t="shared" si="0"/>
        <v>27368 ASSOCIATED PKG/CA STOCKTON</v>
      </c>
      <c r="O43" s="17" t="str">
        <f t="shared" si="1"/>
        <v>747661 OMEGA WALNUT INC</v>
      </c>
      <c r="P43" s="17" t="str">
        <f t="shared" si="2"/>
        <v>HP 200 CLR-48mm x 914m-6 rls/cs-S (208492)</v>
      </c>
    </row>
    <row r="44" spans="1:16" x14ac:dyDescent="0.25">
      <c r="A44" s="60" t="s">
        <v>210</v>
      </c>
      <c r="B44" s="60" t="s">
        <v>853</v>
      </c>
      <c r="C44" s="60" t="s">
        <v>211</v>
      </c>
      <c r="D44" s="60" t="s">
        <v>93</v>
      </c>
      <c r="E44" s="60" t="s">
        <v>1336</v>
      </c>
      <c r="F44" s="60" t="s">
        <v>1337</v>
      </c>
      <c r="G44" s="60" t="s">
        <v>55</v>
      </c>
      <c r="H44" s="60" t="s">
        <v>226</v>
      </c>
      <c r="I44" s="60" t="s">
        <v>98</v>
      </c>
      <c r="J44" s="61"/>
      <c r="K44" s="61">
        <v>559.54999999999995</v>
      </c>
      <c r="L44" s="62"/>
      <c r="M44" s="63">
        <v>2066.4</v>
      </c>
      <c r="N44" s="17" t="str">
        <f t="shared" si="0"/>
        <v>27368 ASSOCIATED PKG/CA STOCKTON</v>
      </c>
      <c r="O44" s="17" t="str">
        <f t="shared" si="1"/>
        <v>750931 DIESTEL TURKEY RANCH</v>
      </c>
      <c r="P44" s="17" t="str">
        <f t="shared" si="2"/>
        <v>AP 201 CLR-48mm x 100m-36 rls/cs-H/A (230962)</v>
      </c>
    </row>
    <row r="45" spans="1:16" x14ac:dyDescent="0.25">
      <c r="A45" s="60" t="s">
        <v>210</v>
      </c>
      <c r="B45" s="60" t="s">
        <v>853</v>
      </c>
      <c r="C45" s="60" t="s">
        <v>211</v>
      </c>
      <c r="D45" s="60" t="s">
        <v>93</v>
      </c>
      <c r="E45" s="60" t="s">
        <v>1336</v>
      </c>
      <c r="F45" s="60" t="s">
        <v>1337</v>
      </c>
      <c r="G45" s="60" t="s">
        <v>19</v>
      </c>
      <c r="H45" s="60" t="s">
        <v>243</v>
      </c>
      <c r="I45" s="60" t="s">
        <v>87</v>
      </c>
      <c r="J45" s="61"/>
      <c r="K45" s="61">
        <v>1084.3399999999999</v>
      </c>
      <c r="L45" s="62"/>
      <c r="M45" s="63">
        <v>4722.3</v>
      </c>
      <c r="N45" s="17" t="str">
        <f t="shared" si="0"/>
        <v>27368 ASSOCIATED PKG/CA STOCKTON</v>
      </c>
      <c r="O45" s="17" t="str">
        <f t="shared" si="1"/>
        <v>750931 DIESTEL TURKEY RANCH</v>
      </c>
      <c r="P45" s="17" t="str">
        <f t="shared" si="2"/>
        <v>HP 100 CLR-48mm x 914m-6 rls/cs-S (208453)</v>
      </c>
    </row>
    <row r="46" spans="1:16" x14ac:dyDescent="0.25">
      <c r="A46" s="60" t="s">
        <v>210</v>
      </c>
      <c r="B46" s="60" t="s">
        <v>853</v>
      </c>
      <c r="C46" s="60" t="s">
        <v>211</v>
      </c>
      <c r="D46" s="60" t="s">
        <v>93</v>
      </c>
      <c r="E46" s="60" t="s">
        <v>1336</v>
      </c>
      <c r="F46" s="60" t="s">
        <v>1337</v>
      </c>
      <c r="G46" s="60" t="s">
        <v>204</v>
      </c>
      <c r="H46" s="60" t="s">
        <v>230</v>
      </c>
      <c r="I46" s="60" t="s">
        <v>376</v>
      </c>
      <c r="J46" s="61"/>
      <c r="K46" s="61">
        <v>47.92</v>
      </c>
      <c r="L46" s="62"/>
      <c r="M46" s="63">
        <v>0</v>
      </c>
      <c r="N46" s="17" t="str">
        <f t="shared" si="0"/>
        <v>27368 ASSOCIATED PKG/CA STOCKTON</v>
      </c>
      <c r="O46" s="17" t="str">
        <f t="shared" si="1"/>
        <v>750931 DIESTEL TURKEY RANCH</v>
      </c>
      <c r="P46" s="17" t="str">
        <f t="shared" si="2"/>
        <v>SD 934  PISTOL GRIP TAPE DISPNSR PREM.-S (903000)</v>
      </c>
    </row>
    <row r="47" spans="1:16" x14ac:dyDescent="0.25">
      <c r="A47" s="60" t="s">
        <v>210</v>
      </c>
      <c r="B47" s="60" t="s">
        <v>853</v>
      </c>
      <c r="C47" s="60" t="s">
        <v>211</v>
      </c>
      <c r="D47" s="60" t="s">
        <v>93</v>
      </c>
      <c r="E47" s="60" t="s">
        <v>928</v>
      </c>
      <c r="F47" s="60" t="s">
        <v>929</v>
      </c>
      <c r="G47" s="60" t="s">
        <v>58</v>
      </c>
      <c r="H47" s="60" t="s">
        <v>262</v>
      </c>
      <c r="I47" s="60" t="s">
        <v>92</v>
      </c>
      <c r="J47" s="61"/>
      <c r="K47" s="61">
        <v>615.29999999999995</v>
      </c>
      <c r="L47" s="65"/>
      <c r="M47" s="64">
        <v>1259.3009999999999</v>
      </c>
      <c r="N47" s="17" t="str">
        <f t="shared" si="0"/>
        <v>27368 ASSOCIATED PKG/CA STOCKTON</v>
      </c>
      <c r="O47" s="17" t="str">
        <f t="shared" si="1"/>
        <v>751036 MICHAEL DAVID WINERY</v>
      </c>
      <c r="P47" s="17" t="str">
        <f t="shared" si="2"/>
        <v>HP 400 CLR-72mm x 914m-4 rls/cs-H/A (208558)</v>
      </c>
    </row>
    <row r="48" spans="1:16" x14ac:dyDescent="0.25">
      <c r="A48" s="60" t="s">
        <v>210</v>
      </c>
      <c r="B48" s="60" t="s">
        <v>853</v>
      </c>
      <c r="C48" s="60" t="s">
        <v>211</v>
      </c>
      <c r="D48" s="60" t="s">
        <v>93</v>
      </c>
      <c r="E48" s="60" t="s">
        <v>1635</v>
      </c>
      <c r="F48" s="60" t="s">
        <v>1636</v>
      </c>
      <c r="G48" s="60" t="s">
        <v>55</v>
      </c>
      <c r="H48" s="60" t="s">
        <v>229</v>
      </c>
      <c r="I48" s="60" t="s">
        <v>96</v>
      </c>
      <c r="J48" s="61"/>
      <c r="K48" s="61">
        <v>754.38</v>
      </c>
      <c r="L48" s="62"/>
      <c r="M48" s="64">
        <v>3148.26</v>
      </c>
      <c r="N48" s="17" t="str">
        <f t="shared" si="0"/>
        <v>27368 ASSOCIATED PKG/CA STOCKTON</v>
      </c>
      <c r="O48" s="17" t="str">
        <f t="shared" si="1"/>
        <v>751476 BAUGHER RANCH ORGANICS</v>
      </c>
      <c r="P48" s="17" t="str">
        <f t="shared" si="2"/>
        <v>AP 201 CLR-48mm x 914m-6 rls/cs-H/A (230964)</v>
      </c>
    </row>
    <row r="49" spans="1:16" x14ac:dyDescent="0.25">
      <c r="A49" s="60" t="s">
        <v>210</v>
      </c>
      <c r="B49" s="60" t="s">
        <v>853</v>
      </c>
      <c r="C49" s="60" t="s">
        <v>211</v>
      </c>
      <c r="D49" s="60" t="s">
        <v>93</v>
      </c>
      <c r="E49" s="60" t="s">
        <v>1637</v>
      </c>
      <c r="F49" s="60" t="s">
        <v>1638</v>
      </c>
      <c r="G49" s="60" t="s">
        <v>18</v>
      </c>
      <c r="H49" s="60" t="s">
        <v>213</v>
      </c>
      <c r="I49" s="60" t="s">
        <v>157</v>
      </c>
      <c r="J49" s="61"/>
      <c r="K49" s="61">
        <v>2754.26</v>
      </c>
      <c r="L49" s="62"/>
      <c r="M49" s="64">
        <v>11333.52</v>
      </c>
      <c r="N49" s="17" t="str">
        <f t="shared" si="0"/>
        <v>27368 ASSOCIATED PKG/CA STOCKTON</v>
      </c>
      <c r="O49" s="17" t="str">
        <f t="shared" si="1"/>
        <v>751841 CARRIERE FAMILY FARMS</v>
      </c>
      <c r="P49" s="17" t="str">
        <f t="shared" si="2"/>
        <v>HP 200 CLR-48mm x 1371m-6 rls/cs-S (208511)</v>
      </c>
    </row>
    <row r="50" spans="1:16" x14ac:dyDescent="0.25">
      <c r="A50" s="60" t="s">
        <v>227</v>
      </c>
      <c r="B50" s="60" t="s">
        <v>1338</v>
      </c>
      <c r="C50" s="60" t="s">
        <v>228</v>
      </c>
      <c r="D50" s="60" t="s">
        <v>95</v>
      </c>
      <c r="E50" s="60" t="s">
        <v>228</v>
      </c>
      <c r="F50" s="60" t="s">
        <v>95</v>
      </c>
      <c r="G50" s="60" t="s">
        <v>55</v>
      </c>
      <c r="H50" s="60" t="s">
        <v>226</v>
      </c>
      <c r="I50" s="60" t="s">
        <v>98</v>
      </c>
      <c r="J50" s="61"/>
      <c r="K50" s="61">
        <v>3720.82</v>
      </c>
      <c r="L50" s="62"/>
      <c r="M50" s="64">
        <v>12398.4</v>
      </c>
      <c r="N50" s="17" t="str">
        <f t="shared" si="0"/>
        <v>34939 ASSOCIATED PKG/UT SALT LAKE CITY</v>
      </c>
      <c r="O50" s="17" t="str">
        <f t="shared" si="1"/>
        <v>34939 ASSOCIATED PKG/UT SALT LAKE CITY</v>
      </c>
      <c r="P50" s="17" t="str">
        <f t="shared" si="2"/>
        <v>AP 201 CLR-48mm x 100m-36 rls/cs-H/A (230962)</v>
      </c>
    </row>
    <row r="51" spans="1:16" x14ac:dyDescent="0.25">
      <c r="A51" s="60" t="s">
        <v>227</v>
      </c>
      <c r="B51" s="60" t="s">
        <v>1338</v>
      </c>
      <c r="C51" s="60" t="s">
        <v>228</v>
      </c>
      <c r="D51" s="60" t="s">
        <v>95</v>
      </c>
      <c r="E51" s="60" t="s">
        <v>228</v>
      </c>
      <c r="F51" s="60" t="s">
        <v>95</v>
      </c>
      <c r="G51" s="60" t="s">
        <v>18</v>
      </c>
      <c r="H51" s="60" t="s">
        <v>464</v>
      </c>
      <c r="I51" s="60" t="s">
        <v>465</v>
      </c>
      <c r="J51" s="61"/>
      <c r="K51" s="61">
        <v>369.58</v>
      </c>
      <c r="L51" s="62"/>
      <c r="M51" s="64">
        <v>629.64</v>
      </c>
      <c r="N51" s="17" t="str">
        <f t="shared" si="0"/>
        <v>34939 ASSOCIATED PKG/UT SALT LAKE CITY</v>
      </c>
      <c r="O51" s="17" t="str">
        <f t="shared" si="1"/>
        <v>34939 ASSOCIATED PKG/UT SALT LAKE CITY</v>
      </c>
      <c r="P51" s="17" t="str">
        <f t="shared" si="2"/>
        <v>HP 200 YEL-48mm x 914m-6 rls/cs-H (106042)</v>
      </c>
    </row>
    <row r="52" spans="1:16" x14ac:dyDescent="0.25">
      <c r="A52" s="60" t="s">
        <v>227</v>
      </c>
      <c r="B52" s="60" t="s">
        <v>1338</v>
      </c>
      <c r="C52" s="60" t="s">
        <v>228</v>
      </c>
      <c r="D52" s="60" t="s">
        <v>95</v>
      </c>
      <c r="E52" s="60" t="s">
        <v>228</v>
      </c>
      <c r="F52" s="60" t="s">
        <v>95</v>
      </c>
      <c r="G52" s="60" t="s">
        <v>18</v>
      </c>
      <c r="H52" s="60" t="s">
        <v>459</v>
      </c>
      <c r="I52" s="60" t="s">
        <v>460</v>
      </c>
      <c r="J52" s="61"/>
      <c r="K52" s="61">
        <v>369.59</v>
      </c>
      <c r="L52" s="65"/>
      <c r="M52" s="64">
        <v>629.64</v>
      </c>
      <c r="N52" s="17" t="str">
        <f t="shared" si="0"/>
        <v>34939 ASSOCIATED PKG/UT SALT LAKE CITY</v>
      </c>
      <c r="O52" s="17" t="str">
        <f t="shared" si="1"/>
        <v>34939 ASSOCIATED PKG/UT SALT LAKE CITY</v>
      </c>
      <c r="P52" s="17" t="str">
        <f t="shared" si="2"/>
        <v>HP 200 BLU-48mm x 914m-6 rls/cs-H (162592)</v>
      </c>
    </row>
    <row r="53" spans="1:16" x14ac:dyDescent="0.25">
      <c r="A53" s="60" t="s">
        <v>227</v>
      </c>
      <c r="B53" s="60" t="s">
        <v>1338</v>
      </c>
      <c r="C53" s="60" t="s">
        <v>228</v>
      </c>
      <c r="D53" s="60" t="s">
        <v>95</v>
      </c>
      <c r="E53" s="60" t="s">
        <v>228</v>
      </c>
      <c r="F53" s="60" t="s">
        <v>95</v>
      </c>
      <c r="G53" s="60" t="s">
        <v>18</v>
      </c>
      <c r="H53" s="60" t="s">
        <v>215</v>
      </c>
      <c r="I53" s="60" t="s">
        <v>50</v>
      </c>
      <c r="J53" s="61"/>
      <c r="K53" s="61">
        <v>9793.8700000000008</v>
      </c>
      <c r="L53" s="62"/>
      <c r="M53" s="63">
        <v>37198.800000000003</v>
      </c>
      <c r="N53" s="17" t="str">
        <f t="shared" si="0"/>
        <v>34939 ASSOCIATED PKG/UT SALT LAKE CITY</v>
      </c>
      <c r="O53" s="17" t="str">
        <f t="shared" si="1"/>
        <v>34939 ASSOCIATED PKG/UT SALT LAKE CITY</v>
      </c>
      <c r="P53" s="17" t="str">
        <f t="shared" si="2"/>
        <v>HP 200 CLR-48mm x 100m-36 rls/cs-S (207149)</v>
      </c>
    </row>
    <row r="54" spans="1:16" x14ac:dyDescent="0.25">
      <c r="A54" s="60" t="s">
        <v>227</v>
      </c>
      <c r="B54" s="60" t="s">
        <v>1338</v>
      </c>
      <c r="C54" s="60" t="s">
        <v>228</v>
      </c>
      <c r="D54" s="60" t="s">
        <v>95</v>
      </c>
      <c r="E54" s="60" t="s">
        <v>228</v>
      </c>
      <c r="F54" s="60" t="s">
        <v>95</v>
      </c>
      <c r="G54" s="60" t="s">
        <v>18</v>
      </c>
      <c r="H54" s="60" t="s">
        <v>219</v>
      </c>
      <c r="I54" s="60" t="s">
        <v>60</v>
      </c>
      <c r="J54" s="61"/>
      <c r="K54" s="61">
        <v>13001.47</v>
      </c>
      <c r="L54" s="62"/>
      <c r="M54" s="64">
        <v>49598.400000000001</v>
      </c>
      <c r="N54" s="17" t="str">
        <f t="shared" si="0"/>
        <v>34939 ASSOCIATED PKG/UT SALT LAKE CITY</v>
      </c>
      <c r="O54" s="17" t="str">
        <f t="shared" si="1"/>
        <v>34939 ASSOCIATED PKG/UT SALT LAKE CITY</v>
      </c>
      <c r="P54" s="17" t="str">
        <f t="shared" si="2"/>
        <v>HP 200 CLR-72mm x 100m-24 rls/cs-S (207233)</v>
      </c>
    </row>
    <row r="55" spans="1:16" x14ac:dyDescent="0.25">
      <c r="A55" s="60" t="s">
        <v>227</v>
      </c>
      <c r="B55" s="60" t="s">
        <v>1338</v>
      </c>
      <c r="C55" s="60" t="s">
        <v>228</v>
      </c>
      <c r="D55" s="60" t="s">
        <v>95</v>
      </c>
      <c r="E55" s="60" t="s">
        <v>228</v>
      </c>
      <c r="F55" s="60" t="s">
        <v>95</v>
      </c>
      <c r="G55" s="60" t="s">
        <v>18</v>
      </c>
      <c r="H55" s="60" t="s">
        <v>212</v>
      </c>
      <c r="I55" s="60" t="s">
        <v>86</v>
      </c>
      <c r="J55" s="61"/>
      <c r="K55" s="61">
        <v>11512.25</v>
      </c>
      <c r="L55" s="65"/>
      <c r="M55" s="64">
        <v>40926.6</v>
      </c>
      <c r="N55" s="17" t="str">
        <f t="shared" si="0"/>
        <v>34939 ASSOCIATED PKG/UT SALT LAKE CITY</v>
      </c>
      <c r="O55" s="17" t="str">
        <f t="shared" si="1"/>
        <v>34939 ASSOCIATED PKG/UT SALT LAKE CITY</v>
      </c>
      <c r="P55" s="17" t="str">
        <f t="shared" si="2"/>
        <v>HP 200 CLR-48mm x 914m-6 rls/cs-S (208492)</v>
      </c>
    </row>
    <row r="56" spans="1:16" x14ac:dyDescent="0.25">
      <c r="A56" s="60" t="s">
        <v>227</v>
      </c>
      <c r="B56" s="60" t="s">
        <v>1338</v>
      </c>
      <c r="C56" s="60" t="s">
        <v>228</v>
      </c>
      <c r="D56" s="60" t="s">
        <v>95</v>
      </c>
      <c r="E56" s="60" t="s">
        <v>228</v>
      </c>
      <c r="F56" s="60" t="s">
        <v>95</v>
      </c>
      <c r="G56" s="60" t="s">
        <v>18</v>
      </c>
      <c r="H56" s="60" t="s">
        <v>493</v>
      </c>
      <c r="I56" s="60" t="s">
        <v>494</v>
      </c>
      <c r="J56" s="61"/>
      <c r="K56" s="61">
        <v>369.59</v>
      </c>
      <c r="L56" s="65"/>
      <c r="M56" s="64">
        <v>629.64</v>
      </c>
      <c r="N56" s="17" t="str">
        <f t="shared" si="0"/>
        <v>34939 ASSOCIATED PKG/UT SALT LAKE CITY</v>
      </c>
      <c r="O56" s="17" t="str">
        <f t="shared" si="1"/>
        <v>34939 ASSOCIATED PKG/UT SALT LAKE CITY</v>
      </c>
      <c r="P56" s="17" t="str">
        <f t="shared" si="2"/>
        <v>HP 200 RED-48mm x 914m-6 rls/cs-H (218104)</v>
      </c>
    </row>
    <row r="57" spans="1:16" x14ac:dyDescent="0.25">
      <c r="A57" s="60" t="s">
        <v>227</v>
      </c>
      <c r="B57" s="60" t="s">
        <v>1338</v>
      </c>
      <c r="C57" s="60" t="s">
        <v>228</v>
      </c>
      <c r="D57" s="60" t="s">
        <v>95</v>
      </c>
      <c r="E57" s="60" t="s">
        <v>228</v>
      </c>
      <c r="F57" s="60" t="s">
        <v>95</v>
      </c>
      <c r="G57" s="60" t="s">
        <v>204</v>
      </c>
      <c r="H57" s="60" t="s">
        <v>230</v>
      </c>
      <c r="I57" s="60" t="s">
        <v>376</v>
      </c>
      <c r="J57" s="61">
        <v>143.75</v>
      </c>
      <c r="K57" s="61">
        <v>143.75</v>
      </c>
      <c r="L57" s="65">
        <v>0</v>
      </c>
      <c r="M57" s="64">
        <v>0</v>
      </c>
      <c r="N57" s="17" t="str">
        <f t="shared" si="0"/>
        <v>34939 ASSOCIATED PKG/UT SALT LAKE CITY</v>
      </c>
      <c r="O57" s="17" t="str">
        <f t="shared" si="1"/>
        <v>34939 ASSOCIATED PKG/UT SALT LAKE CITY</v>
      </c>
      <c r="P57" s="17" t="str">
        <f t="shared" si="2"/>
        <v>SD 934  PISTOL GRIP TAPE DISPNSR PREM.-S (903000)</v>
      </c>
    </row>
    <row r="58" spans="1:16" x14ac:dyDescent="0.25">
      <c r="A58" s="60" t="s">
        <v>227</v>
      </c>
      <c r="B58" s="60" t="s">
        <v>1338</v>
      </c>
      <c r="C58" s="60" t="s">
        <v>228</v>
      </c>
      <c r="D58" s="60" t="s">
        <v>95</v>
      </c>
      <c r="E58" s="60" t="s">
        <v>1639</v>
      </c>
      <c r="F58" s="60" t="s">
        <v>1640</v>
      </c>
      <c r="G58" s="60" t="s">
        <v>59</v>
      </c>
      <c r="H58" s="60" t="s">
        <v>1083</v>
      </c>
      <c r="I58" s="60" t="s">
        <v>1084</v>
      </c>
      <c r="J58" s="61">
        <v>6901.33</v>
      </c>
      <c r="K58" s="61"/>
      <c r="L58" s="65">
        <v>5853.49</v>
      </c>
      <c r="M58" s="64"/>
      <c r="N58" s="17" t="str">
        <f t="shared" si="0"/>
        <v>34939 ASSOCIATED PKG/UT SALT LAKE CITY</v>
      </c>
      <c r="O58" s="17" t="str">
        <f t="shared" si="1"/>
        <v>46908 MOUNTAINLAND SUPPLY CO</v>
      </c>
      <c r="P58" s="17" t="str">
        <f t="shared" si="2"/>
        <v>GS 490 CLR-18mm x 55m-48 rls/cs-H/A (101229)</v>
      </c>
    </row>
    <row r="59" spans="1:16" x14ac:dyDescent="0.25">
      <c r="A59" s="60" t="s">
        <v>227</v>
      </c>
      <c r="B59" s="60" t="s">
        <v>1338</v>
      </c>
      <c r="C59" s="60" t="s">
        <v>228</v>
      </c>
      <c r="D59" s="60" t="s">
        <v>95</v>
      </c>
      <c r="E59" s="60" t="s">
        <v>1639</v>
      </c>
      <c r="F59" s="60" t="s">
        <v>1640</v>
      </c>
      <c r="G59" s="60" t="s">
        <v>18</v>
      </c>
      <c r="H59" s="60" t="s">
        <v>215</v>
      </c>
      <c r="I59" s="60" t="s">
        <v>50</v>
      </c>
      <c r="J59" s="61">
        <v>4811.3999999999996</v>
      </c>
      <c r="K59" s="61"/>
      <c r="L59" s="62">
        <v>18599.400000000001</v>
      </c>
      <c r="M59" s="64"/>
      <c r="N59" s="17" t="str">
        <f t="shared" si="0"/>
        <v>34939 ASSOCIATED PKG/UT SALT LAKE CITY</v>
      </c>
      <c r="O59" s="17" t="str">
        <f t="shared" si="1"/>
        <v>46908 MOUNTAINLAND SUPPLY CO</v>
      </c>
      <c r="P59" s="17" t="str">
        <f t="shared" si="2"/>
        <v>HP 200 CLR-48mm x 100m-36 rls/cs-S (207149)</v>
      </c>
    </row>
    <row r="60" spans="1:16" x14ac:dyDescent="0.25">
      <c r="A60" s="60" t="s">
        <v>227</v>
      </c>
      <c r="B60" s="60" t="s">
        <v>1338</v>
      </c>
      <c r="C60" s="60" t="s">
        <v>228</v>
      </c>
      <c r="D60" s="60" t="s">
        <v>95</v>
      </c>
      <c r="E60" s="60" t="s">
        <v>377</v>
      </c>
      <c r="F60" s="60" t="s">
        <v>378</v>
      </c>
      <c r="G60" s="60" t="s">
        <v>19</v>
      </c>
      <c r="H60" s="60" t="s">
        <v>233</v>
      </c>
      <c r="I60" s="60" t="s">
        <v>49</v>
      </c>
      <c r="J60" s="61"/>
      <c r="K60" s="61">
        <v>2950.99</v>
      </c>
      <c r="L60" s="62"/>
      <c r="M60" s="63">
        <v>12399.6</v>
      </c>
      <c r="N60" s="17" t="str">
        <f t="shared" si="0"/>
        <v>34939 ASSOCIATED PKG/UT SALT LAKE CITY</v>
      </c>
      <c r="O60" s="17" t="str">
        <f t="shared" si="1"/>
        <v>81127 RIMPORTS (USA) LLC</v>
      </c>
      <c r="P60" s="17" t="str">
        <f t="shared" si="2"/>
        <v>HP 100 CLR-48mm x 100m-36 rls/cs-S (207142)</v>
      </c>
    </row>
    <row r="61" spans="1:16" x14ac:dyDescent="0.25">
      <c r="A61" s="60" t="s">
        <v>227</v>
      </c>
      <c r="B61" s="60" t="s">
        <v>1338</v>
      </c>
      <c r="C61" s="60" t="s">
        <v>228</v>
      </c>
      <c r="D61" s="60" t="s">
        <v>95</v>
      </c>
      <c r="E61" s="60" t="s">
        <v>377</v>
      </c>
      <c r="F61" s="60" t="s">
        <v>378</v>
      </c>
      <c r="G61" s="60" t="s">
        <v>18</v>
      </c>
      <c r="H61" s="60" t="s">
        <v>216</v>
      </c>
      <c r="I61" s="60" t="s">
        <v>91</v>
      </c>
      <c r="J61" s="61">
        <v>18223.45</v>
      </c>
      <c r="K61" s="61">
        <v>41679.56</v>
      </c>
      <c r="L61" s="62">
        <v>68002.2</v>
      </c>
      <c r="M61" s="63">
        <v>158671.79999999999</v>
      </c>
      <c r="N61" s="17" t="str">
        <f t="shared" si="0"/>
        <v>34939 ASSOCIATED PKG/UT SALT LAKE CITY</v>
      </c>
      <c r="O61" s="17" t="str">
        <f t="shared" si="1"/>
        <v>81127 RIMPORTS (USA) LLC</v>
      </c>
      <c r="P61" s="17" t="str">
        <f t="shared" si="2"/>
        <v>HP 200 CLR-48mm x 1828m-6 rls/cs-S (100404)</v>
      </c>
    </row>
    <row r="62" spans="1:16" x14ac:dyDescent="0.25">
      <c r="A62" s="60" t="s">
        <v>227</v>
      </c>
      <c r="B62" s="60" t="s">
        <v>1338</v>
      </c>
      <c r="C62" s="60" t="s">
        <v>228</v>
      </c>
      <c r="D62" s="60" t="s">
        <v>95</v>
      </c>
      <c r="E62" s="60" t="s">
        <v>930</v>
      </c>
      <c r="F62" s="60" t="s">
        <v>931</v>
      </c>
      <c r="G62" s="60" t="s">
        <v>22</v>
      </c>
      <c r="H62" s="60" t="s">
        <v>932</v>
      </c>
      <c r="I62" s="60" t="s">
        <v>933</v>
      </c>
      <c r="J62" s="61">
        <v>646.27</v>
      </c>
      <c r="K62" s="61"/>
      <c r="L62" s="62">
        <v>473.6</v>
      </c>
      <c r="M62" s="63"/>
      <c r="N62" s="17" t="str">
        <f t="shared" si="0"/>
        <v>34939 ASSOCIATED PKG/UT SALT LAKE CITY</v>
      </c>
      <c r="O62" s="17" t="str">
        <f t="shared" si="1"/>
        <v>710894 SNAPLOCK MFG</v>
      </c>
      <c r="P62" s="17" t="str">
        <f t="shared" si="2"/>
        <v>VP 410 WHI- 50mm X 33m- 24 rls/cs-H (202793)</v>
      </c>
    </row>
    <row r="63" spans="1:16" x14ac:dyDescent="0.25">
      <c r="A63" s="60" t="s">
        <v>227</v>
      </c>
      <c r="B63" s="60" t="s">
        <v>1338</v>
      </c>
      <c r="C63" s="60" t="s">
        <v>228</v>
      </c>
      <c r="D63" s="60" t="s">
        <v>95</v>
      </c>
      <c r="E63" s="60" t="s">
        <v>930</v>
      </c>
      <c r="F63" s="60" t="s">
        <v>931</v>
      </c>
      <c r="G63" s="60" t="s">
        <v>22</v>
      </c>
      <c r="H63" s="60" t="s">
        <v>691</v>
      </c>
      <c r="I63" s="60" t="s">
        <v>692</v>
      </c>
      <c r="J63" s="61">
        <v>258.51</v>
      </c>
      <c r="K63" s="61"/>
      <c r="L63" s="62">
        <v>189.44</v>
      </c>
      <c r="M63" s="63"/>
      <c r="N63" s="17" t="str">
        <f t="shared" si="0"/>
        <v>34939 ASSOCIATED PKG/UT SALT LAKE CITY</v>
      </c>
      <c r="O63" s="17" t="str">
        <f t="shared" si="1"/>
        <v>710894 SNAPLOCK MFG</v>
      </c>
      <c r="P63" s="17" t="str">
        <f t="shared" si="2"/>
        <v>VP 410 BLK- 50MM X 33M- 24 RLS/CS-H/T (202810)</v>
      </c>
    </row>
    <row r="64" spans="1:16" x14ac:dyDescent="0.25">
      <c r="A64" s="60" t="s">
        <v>227</v>
      </c>
      <c r="B64" s="60" t="s">
        <v>1338</v>
      </c>
      <c r="C64" s="60" t="s">
        <v>228</v>
      </c>
      <c r="D64" s="60" t="s">
        <v>95</v>
      </c>
      <c r="E64" s="60" t="s">
        <v>466</v>
      </c>
      <c r="F64" s="60" t="s">
        <v>467</v>
      </c>
      <c r="G64" s="60" t="s">
        <v>18</v>
      </c>
      <c r="H64" s="60" t="s">
        <v>493</v>
      </c>
      <c r="I64" s="60" t="s">
        <v>494</v>
      </c>
      <c r="J64" s="61">
        <v>17360.95</v>
      </c>
      <c r="K64" s="61"/>
      <c r="L64" s="62">
        <v>30222.720000000001</v>
      </c>
      <c r="M64" s="63"/>
      <c r="N64" s="17" t="str">
        <f t="shared" si="0"/>
        <v>34939 ASSOCIATED PKG/UT SALT LAKE CITY</v>
      </c>
      <c r="O64" s="17" t="str">
        <f t="shared" si="1"/>
        <v>719056 RIMPORTS USA LLC</v>
      </c>
      <c r="P64" s="17" t="str">
        <f t="shared" si="2"/>
        <v>HP 200 RED-48mm x 914m-6 rls/cs-H (218104)</v>
      </c>
    </row>
    <row r="65" spans="1:16" x14ac:dyDescent="0.25">
      <c r="A65" s="60" t="s">
        <v>227</v>
      </c>
      <c r="B65" s="60" t="s">
        <v>1338</v>
      </c>
      <c r="C65" s="60" t="s">
        <v>228</v>
      </c>
      <c r="D65" s="60" t="s">
        <v>95</v>
      </c>
      <c r="E65" s="60" t="s">
        <v>712</v>
      </c>
      <c r="F65" s="60" t="s">
        <v>713</v>
      </c>
      <c r="G65" s="60" t="s">
        <v>205</v>
      </c>
      <c r="H65" s="60" t="s">
        <v>231</v>
      </c>
      <c r="I65" s="60" t="s">
        <v>379</v>
      </c>
      <c r="J65" s="61">
        <v>19.96</v>
      </c>
      <c r="K65" s="61"/>
      <c r="L65" s="62">
        <v>0</v>
      </c>
      <c r="M65" s="63"/>
      <c r="N65" s="17" t="str">
        <f t="shared" si="0"/>
        <v>34939 ASSOCIATED PKG/UT SALT LAKE CITY</v>
      </c>
      <c r="O65" s="17" t="str">
        <f t="shared" si="1"/>
        <v>733431 GENERIC ONE TIME SHIP-TO B2B DIST P</v>
      </c>
      <c r="P65" s="17" t="str">
        <f t="shared" si="2"/>
        <v>SD 935  PISTOL GRIP DISPNSR-3 IN. ROLL-S (909535)</v>
      </c>
    </row>
    <row r="66" spans="1:16" x14ac:dyDescent="0.25">
      <c r="A66" s="60" t="s">
        <v>227</v>
      </c>
      <c r="B66" s="60" t="s">
        <v>1338</v>
      </c>
      <c r="C66" s="60" t="s">
        <v>228</v>
      </c>
      <c r="D66" s="60" t="s">
        <v>95</v>
      </c>
      <c r="E66" s="60" t="s">
        <v>1641</v>
      </c>
      <c r="F66" s="60" t="s">
        <v>1642</v>
      </c>
      <c r="G66" s="60" t="s">
        <v>19</v>
      </c>
      <c r="H66" s="60" t="s">
        <v>261</v>
      </c>
      <c r="I66" s="60" t="s">
        <v>117</v>
      </c>
      <c r="J66" s="61">
        <v>9383.2999999999993</v>
      </c>
      <c r="K66" s="61"/>
      <c r="L66" s="62">
        <v>37200.959999999999</v>
      </c>
      <c r="M66" s="63"/>
      <c r="N66" s="17" t="str">
        <f t="shared" si="0"/>
        <v>34939 ASSOCIATED PKG/UT SALT LAKE CITY</v>
      </c>
      <c r="O66" s="17" t="str">
        <f t="shared" si="1"/>
        <v>734435 BRIDGEWATER/ARAMSCO</v>
      </c>
      <c r="P66" s="17" t="str">
        <f t="shared" si="2"/>
        <v>HP 100 CLR-72mm x 1500m-4 rls/cs-H/T (104315)</v>
      </c>
    </row>
    <row r="67" spans="1:16" x14ac:dyDescent="0.25">
      <c r="A67" s="60" t="s">
        <v>227</v>
      </c>
      <c r="B67" s="60" t="s">
        <v>1338</v>
      </c>
      <c r="C67" s="60" t="s">
        <v>228</v>
      </c>
      <c r="D67" s="60" t="s">
        <v>95</v>
      </c>
      <c r="E67" s="60" t="s">
        <v>409</v>
      </c>
      <c r="F67" s="60" t="s">
        <v>202</v>
      </c>
      <c r="G67" s="60" t="s">
        <v>18</v>
      </c>
      <c r="H67" s="60" t="s">
        <v>219</v>
      </c>
      <c r="I67" s="60" t="s">
        <v>60</v>
      </c>
      <c r="J67" s="61"/>
      <c r="K67" s="61">
        <v>2993.76</v>
      </c>
      <c r="L67" s="62"/>
      <c r="M67" s="63">
        <v>12399.6</v>
      </c>
      <c r="N67" s="17" t="str">
        <f t="shared" ref="N67:N130" si="3">C67&amp;" "&amp;D67</f>
        <v>34939 ASSOCIATED PKG/UT SALT LAKE CITY</v>
      </c>
      <c r="O67" s="17" t="str">
        <f t="shared" ref="O67:O130" si="4">E67&amp;" "&amp;F67</f>
        <v>735147 DOTERRA</v>
      </c>
      <c r="P67" s="17" t="str">
        <f t="shared" si="2"/>
        <v>HP 200 CLR-72mm x 100m-24 rls/cs-S (207233)</v>
      </c>
    </row>
    <row r="68" spans="1:16" x14ac:dyDescent="0.25">
      <c r="A68" s="60" t="s">
        <v>227</v>
      </c>
      <c r="B68" s="60" t="s">
        <v>1338</v>
      </c>
      <c r="C68" s="60" t="s">
        <v>228</v>
      </c>
      <c r="D68" s="60" t="s">
        <v>95</v>
      </c>
      <c r="E68" s="60" t="s">
        <v>316</v>
      </c>
      <c r="F68" s="60" t="s">
        <v>97</v>
      </c>
      <c r="G68" s="60" t="s">
        <v>23</v>
      </c>
      <c r="H68" s="60" t="s">
        <v>693</v>
      </c>
      <c r="I68" s="60" t="s">
        <v>694</v>
      </c>
      <c r="J68" s="61">
        <v>3147.72</v>
      </c>
      <c r="K68" s="61">
        <v>3603.92</v>
      </c>
      <c r="L68" s="62">
        <v>5455.68</v>
      </c>
      <c r="M68" s="63">
        <v>5455.68</v>
      </c>
      <c r="N68" s="17" t="str">
        <f t="shared" si="3"/>
        <v>34939 ASSOCIATED PKG/UT SALT LAKE CITY</v>
      </c>
      <c r="O68" s="17" t="str">
        <f t="shared" si="4"/>
        <v>739372 HEMASOURCE</v>
      </c>
      <c r="P68" s="17" t="str">
        <f t="shared" ref="P68:P131" si="5">I68&amp;" ("&amp;H68&amp;")"</f>
        <v>CP 105 NAT-18mm x 55m-48 rls/cs-S (206932)</v>
      </c>
    </row>
    <row r="69" spans="1:16" x14ac:dyDescent="0.25">
      <c r="A69" s="60" t="s">
        <v>227</v>
      </c>
      <c r="B69" s="60" t="s">
        <v>1338</v>
      </c>
      <c r="C69" s="60" t="s">
        <v>228</v>
      </c>
      <c r="D69" s="60" t="s">
        <v>95</v>
      </c>
      <c r="E69" s="60" t="s">
        <v>316</v>
      </c>
      <c r="F69" s="60" t="s">
        <v>97</v>
      </c>
      <c r="G69" s="60" t="s">
        <v>21</v>
      </c>
      <c r="H69" s="60" t="s">
        <v>234</v>
      </c>
      <c r="I69" s="60" t="s">
        <v>168</v>
      </c>
      <c r="J69" s="61">
        <v>1642.29</v>
      </c>
      <c r="K69" s="61">
        <v>5269.02</v>
      </c>
      <c r="L69" s="62">
        <v>1818.56</v>
      </c>
      <c r="M69" s="63">
        <v>5455.68</v>
      </c>
      <c r="N69" s="17" t="str">
        <f t="shared" si="3"/>
        <v>34939 ASSOCIATED PKG/UT SALT LAKE CITY</v>
      </c>
      <c r="O69" s="17" t="str">
        <f t="shared" si="4"/>
        <v>739372 HEMASOURCE</v>
      </c>
      <c r="P69" s="17" t="str">
        <f t="shared" si="5"/>
        <v>CP 106 NAT-12mm x 55m-72 rls/cs-H/A (101330)</v>
      </c>
    </row>
    <row r="70" spans="1:16" x14ac:dyDescent="0.25">
      <c r="A70" s="60" t="s">
        <v>227</v>
      </c>
      <c r="B70" s="60" t="s">
        <v>1338</v>
      </c>
      <c r="C70" s="60" t="s">
        <v>228</v>
      </c>
      <c r="D70" s="60" t="s">
        <v>95</v>
      </c>
      <c r="E70" s="60" t="s">
        <v>316</v>
      </c>
      <c r="F70" s="60" t="s">
        <v>97</v>
      </c>
      <c r="G70" s="60" t="s">
        <v>204</v>
      </c>
      <c r="H70" s="60" t="s">
        <v>230</v>
      </c>
      <c r="I70" s="60" t="s">
        <v>376</v>
      </c>
      <c r="J70" s="61">
        <v>139.19999999999999</v>
      </c>
      <c r="K70" s="61">
        <v>126.93</v>
      </c>
      <c r="L70" s="62">
        <v>0</v>
      </c>
      <c r="M70" s="64">
        <v>0</v>
      </c>
      <c r="N70" s="17" t="str">
        <f t="shared" si="3"/>
        <v>34939 ASSOCIATED PKG/UT SALT LAKE CITY</v>
      </c>
      <c r="O70" s="17" t="str">
        <f t="shared" si="4"/>
        <v>739372 HEMASOURCE</v>
      </c>
      <c r="P70" s="17" t="str">
        <f t="shared" si="5"/>
        <v>SD 934  PISTOL GRIP TAPE DISPNSR PREM.-S (903000)</v>
      </c>
    </row>
    <row r="71" spans="1:16" x14ac:dyDescent="0.25">
      <c r="A71" s="60" t="s">
        <v>227</v>
      </c>
      <c r="B71" s="60" t="s">
        <v>1338</v>
      </c>
      <c r="C71" s="60" t="s">
        <v>228</v>
      </c>
      <c r="D71" s="60" t="s">
        <v>95</v>
      </c>
      <c r="E71" s="60" t="s">
        <v>326</v>
      </c>
      <c r="F71" s="60" t="s">
        <v>327</v>
      </c>
      <c r="G71" s="60" t="s">
        <v>55</v>
      </c>
      <c r="H71" s="60" t="s">
        <v>226</v>
      </c>
      <c r="I71" s="60" t="s">
        <v>98</v>
      </c>
      <c r="J71" s="61">
        <v>13942.36</v>
      </c>
      <c r="K71" s="61">
        <v>13414.89</v>
      </c>
      <c r="L71" s="62">
        <v>49593.599999999999</v>
      </c>
      <c r="M71" s="64">
        <v>47527.199999999997</v>
      </c>
      <c r="N71" s="17" t="str">
        <f t="shared" si="3"/>
        <v>34939 ASSOCIATED PKG/UT SALT LAKE CITY</v>
      </c>
      <c r="O71" s="17" t="str">
        <f t="shared" si="4"/>
        <v>739896 HEMASOURCE EAST</v>
      </c>
      <c r="P71" s="17" t="str">
        <f t="shared" si="5"/>
        <v>AP 201 CLR-48mm x 100m-36 rls/cs-H/A (230962)</v>
      </c>
    </row>
    <row r="72" spans="1:16" x14ac:dyDescent="0.25">
      <c r="A72" s="60" t="s">
        <v>227</v>
      </c>
      <c r="B72" s="60" t="s">
        <v>1338</v>
      </c>
      <c r="C72" s="60" t="s">
        <v>228</v>
      </c>
      <c r="D72" s="60" t="s">
        <v>95</v>
      </c>
      <c r="E72" s="60" t="s">
        <v>326</v>
      </c>
      <c r="F72" s="60" t="s">
        <v>327</v>
      </c>
      <c r="G72" s="60" t="s">
        <v>23</v>
      </c>
      <c r="H72" s="60" t="s">
        <v>693</v>
      </c>
      <c r="I72" s="60" t="s">
        <v>694</v>
      </c>
      <c r="J72" s="61">
        <v>2889.22</v>
      </c>
      <c r="K72" s="61">
        <v>3603.92</v>
      </c>
      <c r="L72" s="62">
        <v>4319.08</v>
      </c>
      <c r="M72" s="63">
        <v>5455.68</v>
      </c>
      <c r="N72" s="17" t="str">
        <f t="shared" si="3"/>
        <v>34939 ASSOCIATED PKG/UT SALT LAKE CITY</v>
      </c>
      <c r="O72" s="17" t="str">
        <f t="shared" si="4"/>
        <v>739896 HEMASOURCE EAST</v>
      </c>
      <c r="P72" s="17" t="str">
        <f t="shared" si="5"/>
        <v>CP 105 NAT-18mm x 55m-48 rls/cs-S (206932)</v>
      </c>
    </row>
    <row r="73" spans="1:16" x14ac:dyDescent="0.25">
      <c r="A73" s="60" t="s">
        <v>227</v>
      </c>
      <c r="B73" s="60" t="s">
        <v>1338</v>
      </c>
      <c r="C73" s="60" t="s">
        <v>228</v>
      </c>
      <c r="D73" s="60" t="s">
        <v>95</v>
      </c>
      <c r="E73" s="60" t="s">
        <v>326</v>
      </c>
      <c r="F73" s="60" t="s">
        <v>327</v>
      </c>
      <c r="G73" s="60" t="s">
        <v>21</v>
      </c>
      <c r="H73" s="60" t="s">
        <v>234</v>
      </c>
      <c r="I73" s="60" t="s">
        <v>168</v>
      </c>
      <c r="J73" s="61">
        <v>4584.7299999999996</v>
      </c>
      <c r="K73" s="61"/>
      <c r="L73" s="65">
        <v>5455.68</v>
      </c>
      <c r="M73" s="64"/>
      <c r="N73" s="17" t="str">
        <f t="shared" si="3"/>
        <v>34939 ASSOCIATED PKG/UT SALT LAKE CITY</v>
      </c>
      <c r="O73" s="17" t="str">
        <f t="shared" si="4"/>
        <v>739896 HEMASOURCE EAST</v>
      </c>
      <c r="P73" s="17" t="str">
        <f t="shared" si="5"/>
        <v>CP 106 NAT-12mm x 55m-72 rls/cs-H/A (101330)</v>
      </c>
    </row>
    <row r="74" spans="1:16" x14ac:dyDescent="0.25">
      <c r="A74" s="60" t="s">
        <v>227</v>
      </c>
      <c r="B74" s="60" t="s">
        <v>1338</v>
      </c>
      <c r="C74" s="60" t="s">
        <v>228</v>
      </c>
      <c r="D74" s="60" t="s">
        <v>95</v>
      </c>
      <c r="E74" s="60" t="s">
        <v>326</v>
      </c>
      <c r="F74" s="60" t="s">
        <v>327</v>
      </c>
      <c r="G74" s="60" t="s">
        <v>204</v>
      </c>
      <c r="H74" s="60" t="s">
        <v>230</v>
      </c>
      <c r="I74" s="60" t="s">
        <v>376</v>
      </c>
      <c r="J74" s="61">
        <v>374.22</v>
      </c>
      <c r="K74" s="61">
        <v>143.75</v>
      </c>
      <c r="L74" s="65">
        <v>0</v>
      </c>
      <c r="M74" s="64">
        <v>0</v>
      </c>
      <c r="N74" s="17" t="str">
        <f t="shared" si="3"/>
        <v>34939 ASSOCIATED PKG/UT SALT LAKE CITY</v>
      </c>
      <c r="O74" s="17" t="str">
        <f t="shared" si="4"/>
        <v>739896 HEMASOURCE EAST</v>
      </c>
      <c r="P74" s="17" t="str">
        <f t="shared" si="5"/>
        <v>SD 934  PISTOL GRIP TAPE DISPNSR PREM.-S (903000)</v>
      </c>
    </row>
    <row r="75" spans="1:16" x14ac:dyDescent="0.25">
      <c r="A75" s="60" t="s">
        <v>227</v>
      </c>
      <c r="B75" s="60" t="s">
        <v>1338</v>
      </c>
      <c r="C75" s="60" t="s">
        <v>228</v>
      </c>
      <c r="D75" s="60" t="s">
        <v>95</v>
      </c>
      <c r="E75" s="60" t="s">
        <v>826</v>
      </c>
      <c r="F75" s="60" t="s">
        <v>202</v>
      </c>
      <c r="G75" s="60" t="s">
        <v>19</v>
      </c>
      <c r="H75" s="60" t="s">
        <v>233</v>
      </c>
      <c r="I75" s="60" t="s">
        <v>49</v>
      </c>
      <c r="J75" s="61"/>
      <c r="K75" s="61">
        <v>5602.6</v>
      </c>
      <c r="L75" s="62"/>
      <c r="M75" s="63">
        <v>24799.200000000001</v>
      </c>
      <c r="N75" s="17" t="str">
        <f t="shared" si="3"/>
        <v>34939 ASSOCIATED PKG/UT SALT LAKE CITY</v>
      </c>
      <c r="O75" s="17" t="str">
        <f t="shared" si="4"/>
        <v>741089 DOTERRA</v>
      </c>
      <c r="P75" s="17" t="str">
        <f t="shared" si="5"/>
        <v>HP 100 CLR-48mm x 100m-36 rls/cs-S (207142)</v>
      </c>
    </row>
    <row r="76" spans="1:16" x14ac:dyDescent="0.25">
      <c r="A76" s="60" t="s">
        <v>227</v>
      </c>
      <c r="B76" s="60" t="s">
        <v>1338</v>
      </c>
      <c r="C76" s="60" t="s">
        <v>228</v>
      </c>
      <c r="D76" s="60" t="s">
        <v>95</v>
      </c>
      <c r="E76" s="60" t="s">
        <v>826</v>
      </c>
      <c r="F76" s="60" t="s">
        <v>202</v>
      </c>
      <c r="G76" s="60" t="s">
        <v>204</v>
      </c>
      <c r="H76" s="60" t="s">
        <v>230</v>
      </c>
      <c r="I76" s="60" t="s">
        <v>376</v>
      </c>
      <c r="J76" s="61"/>
      <c r="K76" s="61">
        <v>95.84</v>
      </c>
      <c r="L76" s="65"/>
      <c r="M76" s="64">
        <v>0</v>
      </c>
      <c r="N76" s="17" t="str">
        <f t="shared" si="3"/>
        <v>34939 ASSOCIATED PKG/UT SALT LAKE CITY</v>
      </c>
      <c r="O76" s="17" t="str">
        <f t="shared" si="4"/>
        <v>741089 DOTERRA</v>
      </c>
      <c r="P76" s="17" t="str">
        <f t="shared" si="5"/>
        <v>SD 934  PISTOL GRIP TAPE DISPNSR PREM.-S (903000)</v>
      </c>
    </row>
    <row r="77" spans="1:16" x14ac:dyDescent="0.25">
      <c r="A77" s="60" t="s">
        <v>227</v>
      </c>
      <c r="B77" s="60" t="s">
        <v>1338</v>
      </c>
      <c r="C77" s="60" t="s">
        <v>228</v>
      </c>
      <c r="D77" s="60" t="s">
        <v>95</v>
      </c>
      <c r="E77" s="60" t="s">
        <v>433</v>
      </c>
      <c r="F77" s="60" t="s">
        <v>434</v>
      </c>
      <c r="G77" s="60" t="s">
        <v>55</v>
      </c>
      <c r="H77" s="60" t="s">
        <v>226</v>
      </c>
      <c r="I77" s="60" t="s">
        <v>98</v>
      </c>
      <c r="J77" s="61">
        <v>3549.74</v>
      </c>
      <c r="K77" s="61">
        <v>3720.82</v>
      </c>
      <c r="L77" s="62">
        <v>12398.4</v>
      </c>
      <c r="M77" s="64">
        <v>12398.4</v>
      </c>
      <c r="N77" s="17" t="str">
        <f t="shared" si="3"/>
        <v>34939 ASSOCIATED PKG/UT SALT LAKE CITY</v>
      </c>
      <c r="O77" s="17" t="str">
        <f t="shared" si="4"/>
        <v>742485 HEMASOURCE TEXAS</v>
      </c>
      <c r="P77" s="17" t="str">
        <f t="shared" si="5"/>
        <v>AP 201 CLR-48mm x 100m-36 rls/cs-H/A (230962)</v>
      </c>
    </row>
    <row r="78" spans="1:16" x14ac:dyDescent="0.25">
      <c r="A78" s="60" t="s">
        <v>227</v>
      </c>
      <c r="B78" s="60" t="s">
        <v>1338</v>
      </c>
      <c r="C78" s="60" t="s">
        <v>228</v>
      </c>
      <c r="D78" s="60" t="s">
        <v>95</v>
      </c>
      <c r="E78" s="60" t="s">
        <v>433</v>
      </c>
      <c r="F78" s="60" t="s">
        <v>434</v>
      </c>
      <c r="G78" s="60" t="s">
        <v>23</v>
      </c>
      <c r="H78" s="60" t="s">
        <v>693</v>
      </c>
      <c r="I78" s="60" t="s">
        <v>694</v>
      </c>
      <c r="J78" s="61"/>
      <c r="K78" s="61">
        <v>3603.92</v>
      </c>
      <c r="L78" s="65"/>
      <c r="M78" s="64">
        <v>5455.68</v>
      </c>
      <c r="N78" s="17" t="str">
        <f t="shared" si="3"/>
        <v>34939 ASSOCIATED PKG/UT SALT LAKE CITY</v>
      </c>
      <c r="O78" s="17" t="str">
        <f t="shared" si="4"/>
        <v>742485 HEMASOURCE TEXAS</v>
      </c>
      <c r="P78" s="17" t="str">
        <f t="shared" si="5"/>
        <v>CP 105 NAT-18mm x 55m-48 rls/cs-S (206932)</v>
      </c>
    </row>
    <row r="79" spans="1:16" x14ac:dyDescent="0.25">
      <c r="A79" s="60" t="s">
        <v>227</v>
      </c>
      <c r="B79" s="60" t="s">
        <v>1338</v>
      </c>
      <c r="C79" s="60" t="s">
        <v>228</v>
      </c>
      <c r="D79" s="60" t="s">
        <v>95</v>
      </c>
      <c r="E79" s="60" t="s">
        <v>433</v>
      </c>
      <c r="F79" s="60" t="s">
        <v>434</v>
      </c>
      <c r="G79" s="60" t="s">
        <v>204</v>
      </c>
      <c r="H79" s="60" t="s">
        <v>230</v>
      </c>
      <c r="I79" s="60" t="s">
        <v>376</v>
      </c>
      <c r="J79" s="61">
        <v>71.87</v>
      </c>
      <c r="K79" s="61">
        <v>71.87</v>
      </c>
      <c r="L79" s="62">
        <v>0</v>
      </c>
      <c r="M79" s="63">
        <v>0</v>
      </c>
      <c r="N79" s="17" t="str">
        <f t="shared" si="3"/>
        <v>34939 ASSOCIATED PKG/UT SALT LAKE CITY</v>
      </c>
      <c r="O79" s="17" t="str">
        <f t="shared" si="4"/>
        <v>742485 HEMASOURCE TEXAS</v>
      </c>
      <c r="P79" s="17" t="str">
        <f t="shared" si="5"/>
        <v>SD 934  PISTOL GRIP TAPE DISPNSR PREM.-S (903000)</v>
      </c>
    </row>
    <row r="80" spans="1:16" x14ac:dyDescent="0.25">
      <c r="A80" s="60" t="s">
        <v>227</v>
      </c>
      <c r="B80" s="60" t="s">
        <v>1338</v>
      </c>
      <c r="C80" s="60" t="s">
        <v>228</v>
      </c>
      <c r="D80" s="60" t="s">
        <v>95</v>
      </c>
      <c r="E80" s="60" t="s">
        <v>441</v>
      </c>
      <c r="F80" s="60" t="s">
        <v>442</v>
      </c>
      <c r="G80" s="60" t="s">
        <v>55</v>
      </c>
      <c r="H80" s="60" t="s">
        <v>235</v>
      </c>
      <c r="I80" s="60" t="s">
        <v>77</v>
      </c>
      <c r="J80" s="61">
        <v>3535.49</v>
      </c>
      <c r="K80" s="61"/>
      <c r="L80" s="62">
        <v>12400.128000000001</v>
      </c>
      <c r="M80" s="63"/>
      <c r="N80" s="17" t="str">
        <f t="shared" si="3"/>
        <v>34939 ASSOCIATED PKG/UT SALT LAKE CITY</v>
      </c>
      <c r="O80" s="17" t="str">
        <f t="shared" si="4"/>
        <v>742700 ASAP WAREHOUSE</v>
      </c>
      <c r="P80" s="17" t="str">
        <f t="shared" si="5"/>
        <v>AP 201 CLR-72mm x 100m-24 rls/cs-H/A (230963)</v>
      </c>
    </row>
    <row r="81" spans="1:16" x14ac:dyDescent="0.25">
      <c r="A81" s="60" t="s">
        <v>227</v>
      </c>
      <c r="B81" s="60" t="s">
        <v>1338</v>
      </c>
      <c r="C81" s="60" t="s">
        <v>228</v>
      </c>
      <c r="D81" s="60" t="s">
        <v>95</v>
      </c>
      <c r="E81" s="60" t="s">
        <v>441</v>
      </c>
      <c r="F81" s="60" t="s">
        <v>442</v>
      </c>
      <c r="G81" s="60" t="s">
        <v>334</v>
      </c>
      <c r="H81" s="60" t="s">
        <v>335</v>
      </c>
      <c r="I81" s="60" t="s">
        <v>336</v>
      </c>
      <c r="J81" s="61">
        <v>2718.78</v>
      </c>
      <c r="K81" s="61"/>
      <c r="L81" s="62">
        <v>2121.84</v>
      </c>
      <c r="M81" s="64"/>
      <c r="N81" s="17" t="str">
        <f t="shared" si="3"/>
        <v>34939 ASSOCIATED PKG/UT SALT LAKE CITY</v>
      </c>
      <c r="O81" s="17" t="str">
        <f t="shared" si="4"/>
        <v>742700 ASAP WAREHOUSE</v>
      </c>
      <c r="P81" s="17" t="str">
        <f t="shared" si="5"/>
        <v>FP 096 KFT-72mm x 55m-16 rls/cs-H (201793)</v>
      </c>
    </row>
    <row r="82" spans="1:16" x14ac:dyDescent="0.25">
      <c r="A82" s="60" t="s">
        <v>227</v>
      </c>
      <c r="B82" s="60" t="s">
        <v>1338</v>
      </c>
      <c r="C82" s="60" t="s">
        <v>228</v>
      </c>
      <c r="D82" s="60" t="s">
        <v>95</v>
      </c>
      <c r="E82" s="60" t="s">
        <v>441</v>
      </c>
      <c r="F82" s="60" t="s">
        <v>442</v>
      </c>
      <c r="G82" s="60" t="s">
        <v>19</v>
      </c>
      <c r="H82" s="60" t="s">
        <v>233</v>
      </c>
      <c r="I82" s="60" t="s">
        <v>49</v>
      </c>
      <c r="J82" s="61">
        <v>5346</v>
      </c>
      <c r="K82" s="61"/>
      <c r="L82" s="62">
        <v>24799.200000000001</v>
      </c>
      <c r="M82" s="64"/>
      <c r="N82" s="17" t="str">
        <f t="shared" si="3"/>
        <v>34939 ASSOCIATED PKG/UT SALT LAKE CITY</v>
      </c>
      <c r="O82" s="17" t="str">
        <f t="shared" si="4"/>
        <v>742700 ASAP WAREHOUSE</v>
      </c>
      <c r="P82" s="17" t="str">
        <f t="shared" si="5"/>
        <v>HP 100 CLR-48mm x 100m-36 rls/cs-S (207142)</v>
      </c>
    </row>
    <row r="83" spans="1:16" x14ac:dyDescent="0.25">
      <c r="A83" s="60" t="s">
        <v>227</v>
      </c>
      <c r="B83" s="60" t="s">
        <v>1338</v>
      </c>
      <c r="C83" s="60" t="s">
        <v>228</v>
      </c>
      <c r="D83" s="60" t="s">
        <v>95</v>
      </c>
      <c r="E83" s="60" t="s">
        <v>441</v>
      </c>
      <c r="F83" s="60" t="s">
        <v>442</v>
      </c>
      <c r="G83" s="60" t="s">
        <v>18</v>
      </c>
      <c r="H83" s="60" t="s">
        <v>216</v>
      </c>
      <c r="I83" s="60" t="s">
        <v>91</v>
      </c>
      <c r="J83" s="61">
        <v>17924.07</v>
      </c>
      <c r="K83" s="61"/>
      <c r="L83" s="62">
        <v>68002.2</v>
      </c>
      <c r="M83" s="63"/>
      <c r="N83" s="17" t="str">
        <f t="shared" si="3"/>
        <v>34939 ASSOCIATED PKG/UT SALT LAKE CITY</v>
      </c>
      <c r="O83" s="17" t="str">
        <f t="shared" si="4"/>
        <v>742700 ASAP WAREHOUSE</v>
      </c>
      <c r="P83" s="17" t="str">
        <f t="shared" si="5"/>
        <v>HP 200 CLR-48mm x 1828m-6 rls/cs-S (100404)</v>
      </c>
    </row>
    <row r="84" spans="1:16" x14ac:dyDescent="0.25">
      <c r="A84" s="60" t="s">
        <v>227</v>
      </c>
      <c r="B84" s="60" t="s">
        <v>1338</v>
      </c>
      <c r="C84" s="60" t="s">
        <v>228</v>
      </c>
      <c r="D84" s="60" t="s">
        <v>95</v>
      </c>
      <c r="E84" s="60" t="s">
        <v>441</v>
      </c>
      <c r="F84" s="60" t="s">
        <v>442</v>
      </c>
      <c r="G84" s="60" t="s">
        <v>18</v>
      </c>
      <c r="H84" s="60" t="s">
        <v>257</v>
      </c>
      <c r="I84" s="60" t="s">
        <v>85</v>
      </c>
      <c r="J84" s="61">
        <v>21576.46</v>
      </c>
      <c r="K84" s="61"/>
      <c r="L84" s="62">
        <v>93000.6</v>
      </c>
      <c r="M84" s="63"/>
      <c r="N84" s="17" t="str">
        <f t="shared" si="3"/>
        <v>34939 ASSOCIATED PKG/UT SALT LAKE CITY</v>
      </c>
      <c r="O84" s="17" t="str">
        <f t="shared" si="4"/>
        <v>742700 ASAP WAREHOUSE</v>
      </c>
      <c r="P84" s="17" t="str">
        <f t="shared" si="5"/>
        <v>HP 200 CLR-48mm x 1500m-6 rls/cs-H (101428)</v>
      </c>
    </row>
    <row r="85" spans="1:16" x14ac:dyDescent="0.25">
      <c r="A85" s="60" t="s">
        <v>227</v>
      </c>
      <c r="B85" s="60" t="s">
        <v>1338</v>
      </c>
      <c r="C85" s="60" t="s">
        <v>228</v>
      </c>
      <c r="D85" s="60" t="s">
        <v>95</v>
      </c>
      <c r="E85" s="60" t="s">
        <v>441</v>
      </c>
      <c r="F85" s="60" t="s">
        <v>442</v>
      </c>
      <c r="G85" s="60" t="s">
        <v>18</v>
      </c>
      <c r="H85" s="60" t="s">
        <v>215</v>
      </c>
      <c r="I85" s="60" t="s">
        <v>50</v>
      </c>
      <c r="J85" s="61">
        <v>25062.04</v>
      </c>
      <c r="K85" s="61"/>
      <c r="L85" s="65">
        <v>99196.800000000003</v>
      </c>
      <c r="M85" s="64"/>
      <c r="N85" s="17" t="str">
        <f t="shared" si="3"/>
        <v>34939 ASSOCIATED PKG/UT SALT LAKE CITY</v>
      </c>
      <c r="O85" s="17" t="str">
        <f t="shared" si="4"/>
        <v>742700 ASAP WAREHOUSE</v>
      </c>
      <c r="P85" s="17" t="str">
        <f t="shared" si="5"/>
        <v>HP 200 CLR-48mm x 100m-36 rls/cs-S (207149)</v>
      </c>
    </row>
    <row r="86" spans="1:16" x14ac:dyDescent="0.25">
      <c r="A86" s="60" t="s">
        <v>227</v>
      </c>
      <c r="B86" s="60" t="s">
        <v>1338</v>
      </c>
      <c r="C86" s="60" t="s">
        <v>228</v>
      </c>
      <c r="D86" s="60" t="s">
        <v>95</v>
      </c>
      <c r="E86" s="60" t="s">
        <v>441</v>
      </c>
      <c r="F86" s="60" t="s">
        <v>442</v>
      </c>
      <c r="G86" s="60" t="s">
        <v>18</v>
      </c>
      <c r="H86" s="60" t="s">
        <v>219</v>
      </c>
      <c r="I86" s="60" t="s">
        <v>60</v>
      </c>
      <c r="J86" s="61">
        <v>18390.240000000002</v>
      </c>
      <c r="K86" s="61"/>
      <c r="L86" s="62">
        <v>74397.600000000006</v>
      </c>
      <c r="M86" s="63"/>
      <c r="N86" s="17" t="str">
        <f t="shared" si="3"/>
        <v>34939 ASSOCIATED PKG/UT SALT LAKE CITY</v>
      </c>
      <c r="O86" s="17" t="str">
        <f t="shared" si="4"/>
        <v>742700 ASAP WAREHOUSE</v>
      </c>
      <c r="P86" s="17" t="str">
        <f t="shared" si="5"/>
        <v>HP 200 CLR-72mm x 100m-24 rls/cs-S (207233)</v>
      </c>
    </row>
    <row r="87" spans="1:16" x14ac:dyDescent="0.25">
      <c r="A87" s="60" t="s">
        <v>227</v>
      </c>
      <c r="B87" s="60" t="s">
        <v>1338</v>
      </c>
      <c r="C87" s="60" t="s">
        <v>228</v>
      </c>
      <c r="D87" s="60" t="s">
        <v>95</v>
      </c>
      <c r="E87" s="60" t="s">
        <v>441</v>
      </c>
      <c r="F87" s="60" t="s">
        <v>442</v>
      </c>
      <c r="G87" s="60" t="s">
        <v>18</v>
      </c>
      <c r="H87" s="60" t="s">
        <v>212</v>
      </c>
      <c r="I87" s="60" t="s">
        <v>86</v>
      </c>
      <c r="J87" s="61">
        <v>7120.16</v>
      </c>
      <c r="K87" s="61"/>
      <c r="L87" s="62">
        <v>26444.880000000001</v>
      </c>
      <c r="M87" s="64"/>
      <c r="N87" s="17" t="str">
        <f t="shared" si="3"/>
        <v>34939 ASSOCIATED PKG/UT SALT LAKE CITY</v>
      </c>
      <c r="O87" s="17" t="str">
        <f t="shared" si="4"/>
        <v>742700 ASAP WAREHOUSE</v>
      </c>
      <c r="P87" s="17" t="str">
        <f t="shared" si="5"/>
        <v>HP 200 CLR-48mm x 914m-6 rls/cs-S (208492)</v>
      </c>
    </row>
    <row r="88" spans="1:16" x14ac:dyDescent="0.25">
      <c r="A88" s="60" t="s">
        <v>227</v>
      </c>
      <c r="B88" s="60" t="s">
        <v>1338</v>
      </c>
      <c r="C88" s="60" t="s">
        <v>228</v>
      </c>
      <c r="D88" s="60" t="s">
        <v>95</v>
      </c>
      <c r="E88" s="60" t="s">
        <v>441</v>
      </c>
      <c r="F88" s="60" t="s">
        <v>442</v>
      </c>
      <c r="G88" s="60" t="s">
        <v>18</v>
      </c>
      <c r="H88" s="60" t="s">
        <v>214</v>
      </c>
      <c r="I88" s="60" t="s">
        <v>158</v>
      </c>
      <c r="J88" s="61">
        <v>3605.82</v>
      </c>
      <c r="K88" s="61"/>
      <c r="L88" s="65">
        <v>13222.44</v>
      </c>
      <c r="M88" s="64"/>
      <c r="N88" s="17" t="str">
        <f t="shared" si="3"/>
        <v>34939 ASSOCIATED PKG/UT SALT LAKE CITY</v>
      </c>
      <c r="O88" s="17" t="str">
        <f t="shared" si="4"/>
        <v>742700 ASAP WAREHOUSE</v>
      </c>
      <c r="P88" s="17" t="str">
        <f t="shared" si="5"/>
        <v>HP 200 CLR-72mm x 914m-4 rls/cs-S (208496)</v>
      </c>
    </row>
    <row r="89" spans="1:16" x14ac:dyDescent="0.25">
      <c r="A89" s="60" t="s">
        <v>227</v>
      </c>
      <c r="B89" s="60" t="s">
        <v>1338</v>
      </c>
      <c r="C89" s="60" t="s">
        <v>228</v>
      </c>
      <c r="D89" s="60" t="s">
        <v>95</v>
      </c>
      <c r="E89" s="60" t="s">
        <v>441</v>
      </c>
      <c r="F89" s="60" t="s">
        <v>442</v>
      </c>
      <c r="G89" s="60" t="s">
        <v>18</v>
      </c>
      <c r="H89" s="60" t="s">
        <v>493</v>
      </c>
      <c r="I89" s="60" t="s">
        <v>494</v>
      </c>
      <c r="J89" s="61">
        <v>529.25</v>
      </c>
      <c r="K89" s="61"/>
      <c r="L89" s="65">
        <v>944.46</v>
      </c>
      <c r="M89" s="64"/>
      <c r="N89" s="17" t="str">
        <f t="shared" si="3"/>
        <v>34939 ASSOCIATED PKG/UT SALT LAKE CITY</v>
      </c>
      <c r="O89" s="17" t="str">
        <f t="shared" si="4"/>
        <v>742700 ASAP WAREHOUSE</v>
      </c>
      <c r="P89" s="17" t="str">
        <f t="shared" si="5"/>
        <v>HP 200 RED-48mm x 914m-6 rls/cs-H (218104)</v>
      </c>
    </row>
    <row r="90" spans="1:16" x14ac:dyDescent="0.25">
      <c r="A90" s="60" t="s">
        <v>227</v>
      </c>
      <c r="B90" s="60" t="s">
        <v>1338</v>
      </c>
      <c r="C90" s="60" t="s">
        <v>228</v>
      </c>
      <c r="D90" s="60" t="s">
        <v>95</v>
      </c>
      <c r="E90" s="60" t="s">
        <v>645</v>
      </c>
      <c r="F90" s="60" t="s">
        <v>646</v>
      </c>
      <c r="G90" s="60" t="s">
        <v>55</v>
      </c>
      <c r="H90" s="60" t="s">
        <v>226</v>
      </c>
      <c r="I90" s="60" t="s">
        <v>98</v>
      </c>
      <c r="J90" s="61">
        <v>10392.61</v>
      </c>
      <c r="K90" s="61">
        <v>7078.11</v>
      </c>
      <c r="L90" s="62">
        <v>37195.199999999997</v>
      </c>
      <c r="M90" s="63">
        <v>24796.799999999999</v>
      </c>
      <c r="N90" s="17" t="str">
        <f t="shared" si="3"/>
        <v>34939 ASSOCIATED PKG/UT SALT LAKE CITY</v>
      </c>
      <c r="O90" s="17" t="str">
        <f t="shared" si="4"/>
        <v>746513 HEMASOURCE OHIO</v>
      </c>
      <c r="P90" s="17" t="str">
        <f t="shared" si="5"/>
        <v>AP 201 CLR-48mm x 100m-36 rls/cs-H/A (230962)</v>
      </c>
    </row>
    <row r="91" spans="1:16" x14ac:dyDescent="0.25">
      <c r="A91" s="60" t="s">
        <v>227</v>
      </c>
      <c r="B91" s="60" t="s">
        <v>1338</v>
      </c>
      <c r="C91" s="60" t="s">
        <v>228</v>
      </c>
      <c r="D91" s="60" t="s">
        <v>95</v>
      </c>
      <c r="E91" s="60" t="s">
        <v>645</v>
      </c>
      <c r="F91" s="60" t="s">
        <v>646</v>
      </c>
      <c r="G91" s="60" t="s">
        <v>21</v>
      </c>
      <c r="H91" s="60" t="s">
        <v>234</v>
      </c>
      <c r="I91" s="60" t="s">
        <v>168</v>
      </c>
      <c r="J91" s="61">
        <v>4584.7299999999996</v>
      </c>
      <c r="K91" s="61"/>
      <c r="L91" s="65">
        <v>5455.68</v>
      </c>
      <c r="M91" s="64"/>
      <c r="N91" s="17" t="str">
        <f t="shared" si="3"/>
        <v>34939 ASSOCIATED PKG/UT SALT LAKE CITY</v>
      </c>
      <c r="O91" s="17" t="str">
        <f t="shared" si="4"/>
        <v>746513 HEMASOURCE OHIO</v>
      </c>
      <c r="P91" s="17" t="str">
        <f t="shared" si="5"/>
        <v>CP 106 NAT-12mm x 55m-72 rls/cs-H/A (101330)</v>
      </c>
    </row>
    <row r="92" spans="1:16" x14ac:dyDescent="0.25">
      <c r="A92" s="60" t="s">
        <v>227</v>
      </c>
      <c r="B92" s="60" t="s">
        <v>1338</v>
      </c>
      <c r="C92" s="60" t="s">
        <v>228</v>
      </c>
      <c r="D92" s="60" t="s">
        <v>95</v>
      </c>
      <c r="E92" s="60" t="s">
        <v>645</v>
      </c>
      <c r="F92" s="60" t="s">
        <v>646</v>
      </c>
      <c r="G92" s="60" t="s">
        <v>204</v>
      </c>
      <c r="H92" s="60" t="s">
        <v>230</v>
      </c>
      <c r="I92" s="60" t="s">
        <v>376</v>
      </c>
      <c r="J92" s="61">
        <v>209.93</v>
      </c>
      <c r="K92" s="61">
        <v>71.87</v>
      </c>
      <c r="L92" s="62">
        <v>0</v>
      </c>
      <c r="M92" s="64">
        <v>0</v>
      </c>
      <c r="N92" s="17" t="str">
        <f t="shared" si="3"/>
        <v>34939 ASSOCIATED PKG/UT SALT LAKE CITY</v>
      </c>
      <c r="O92" s="17" t="str">
        <f t="shared" si="4"/>
        <v>746513 HEMASOURCE OHIO</v>
      </c>
      <c r="P92" s="17" t="str">
        <f t="shared" si="5"/>
        <v>SD 934  PISTOL GRIP TAPE DISPNSR PREM.-S (903000)</v>
      </c>
    </row>
    <row r="93" spans="1:16" x14ac:dyDescent="0.25">
      <c r="A93" s="60" t="s">
        <v>227</v>
      </c>
      <c r="B93" s="60" t="s">
        <v>1338</v>
      </c>
      <c r="C93" s="60" t="s">
        <v>228</v>
      </c>
      <c r="D93" s="60" t="s">
        <v>95</v>
      </c>
      <c r="E93" s="60" t="s">
        <v>934</v>
      </c>
      <c r="F93" s="60" t="s">
        <v>695</v>
      </c>
      <c r="G93" s="60" t="s">
        <v>18</v>
      </c>
      <c r="H93" s="60" t="s">
        <v>216</v>
      </c>
      <c r="I93" s="60" t="s">
        <v>91</v>
      </c>
      <c r="J93" s="61"/>
      <c r="K93" s="61">
        <v>5641.1</v>
      </c>
      <c r="L93" s="65"/>
      <c r="M93" s="64">
        <v>22667.4</v>
      </c>
      <c r="N93" s="17" t="str">
        <f t="shared" si="3"/>
        <v>34939 ASSOCIATED PKG/UT SALT LAKE CITY</v>
      </c>
      <c r="O93" s="17" t="str">
        <f t="shared" si="4"/>
        <v>746520 ROCKY MOUNTAIN PIES</v>
      </c>
      <c r="P93" s="17" t="str">
        <f t="shared" si="5"/>
        <v>HP 200 CLR-48mm x 1828m-6 rls/cs-S (100404)</v>
      </c>
    </row>
    <row r="94" spans="1:16" x14ac:dyDescent="0.25">
      <c r="A94" s="60" t="s">
        <v>227</v>
      </c>
      <c r="B94" s="60" t="s">
        <v>1338</v>
      </c>
      <c r="C94" s="60" t="s">
        <v>228</v>
      </c>
      <c r="D94" s="60" t="s">
        <v>95</v>
      </c>
      <c r="E94" s="60" t="s">
        <v>934</v>
      </c>
      <c r="F94" s="60" t="s">
        <v>695</v>
      </c>
      <c r="G94" s="60" t="s">
        <v>18</v>
      </c>
      <c r="H94" s="60" t="s">
        <v>257</v>
      </c>
      <c r="I94" s="60" t="s">
        <v>85</v>
      </c>
      <c r="J94" s="61">
        <v>4901.21</v>
      </c>
      <c r="K94" s="61"/>
      <c r="L94" s="65">
        <v>18600.12</v>
      </c>
      <c r="M94" s="64"/>
      <c r="N94" s="17" t="str">
        <f t="shared" si="3"/>
        <v>34939 ASSOCIATED PKG/UT SALT LAKE CITY</v>
      </c>
      <c r="O94" s="17" t="str">
        <f t="shared" si="4"/>
        <v>746520 ROCKY MOUNTAIN PIES</v>
      </c>
      <c r="P94" s="17" t="str">
        <f t="shared" si="5"/>
        <v>HP 200 CLR-48mm x 1500m-6 rls/cs-H (101428)</v>
      </c>
    </row>
    <row r="95" spans="1:16" x14ac:dyDescent="0.25">
      <c r="A95" s="60" t="s">
        <v>227</v>
      </c>
      <c r="B95" s="60" t="s">
        <v>1338</v>
      </c>
      <c r="C95" s="60" t="s">
        <v>228</v>
      </c>
      <c r="D95" s="60" t="s">
        <v>95</v>
      </c>
      <c r="E95" s="60" t="s">
        <v>1643</v>
      </c>
      <c r="F95" s="60" t="s">
        <v>1644</v>
      </c>
      <c r="G95" s="60" t="s">
        <v>18</v>
      </c>
      <c r="H95" s="60" t="s">
        <v>216</v>
      </c>
      <c r="I95" s="60" t="s">
        <v>91</v>
      </c>
      <c r="J95" s="61">
        <v>12548.13</v>
      </c>
      <c r="K95" s="61"/>
      <c r="L95" s="65">
        <v>45334.8</v>
      </c>
      <c r="M95" s="64"/>
      <c r="N95" s="17" t="str">
        <f t="shared" si="3"/>
        <v>34939 ASSOCIATED PKG/UT SALT LAKE CITY</v>
      </c>
      <c r="O95" s="17" t="str">
        <f t="shared" si="4"/>
        <v>746969 ASAP WAREHOUSE FOR ROCKY MTN PIES</v>
      </c>
      <c r="P95" s="17" t="str">
        <f t="shared" si="5"/>
        <v>HP 200 CLR-48mm x 1828m-6 rls/cs-S (100404)</v>
      </c>
    </row>
    <row r="96" spans="1:16" x14ac:dyDescent="0.25">
      <c r="A96" s="60" t="s">
        <v>227</v>
      </c>
      <c r="B96" s="60" t="s">
        <v>1338</v>
      </c>
      <c r="C96" s="60" t="s">
        <v>228</v>
      </c>
      <c r="D96" s="60" t="s">
        <v>95</v>
      </c>
      <c r="E96" s="60" t="s">
        <v>1643</v>
      </c>
      <c r="F96" s="60" t="s">
        <v>1644</v>
      </c>
      <c r="G96" s="60" t="s">
        <v>18</v>
      </c>
      <c r="H96" s="60" t="s">
        <v>214</v>
      </c>
      <c r="I96" s="60" t="s">
        <v>158</v>
      </c>
      <c r="J96" s="61">
        <v>1916.64</v>
      </c>
      <c r="K96" s="61"/>
      <c r="L96" s="62">
        <v>6926.04</v>
      </c>
      <c r="M96" s="63"/>
      <c r="N96" s="17" t="str">
        <f t="shared" si="3"/>
        <v>34939 ASSOCIATED PKG/UT SALT LAKE CITY</v>
      </c>
      <c r="O96" s="17" t="str">
        <f t="shared" si="4"/>
        <v>746969 ASAP WAREHOUSE FOR ROCKY MTN PIES</v>
      </c>
      <c r="P96" s="17" t="str">
        <f t="shared" si="5"/>
        <v>HP 200 CLR-72mm x 914m-4 rls/cs-S (208496)</v>
      </c>
    </row>
    <row r="97" spans="1:16" x14ac:dyDescent="0.25">
      <c r="A97" s="60" t="s">
        <v>227</v>
      </c>
      <c r="B97" s="60" t="s">
        <v>1338</v>
      </c>
      <c r="C97" s="60" t="s">
        <v>228</v>
      </c>
      <c r="D97" s="60" t="s">
        <v>95</v>
      </c>
      <c r="E97" s="60" t="s">
        <v>874</v>
      </c>
      <c r="F97" s="60" t="s">
        <v>695</v>
      </c>
      <c r="G97" s="60" t="s">
        <v>18</v>
      </c>
      <c r="H97" s="60" t="s">
        <v>216</v>
      </c>
      <c r="I97" s="60" t="s">
        <v>91</v>
      </c>
      <c r="J97" s="61"/>
      <c r="K97" s="61">
        <v>6527.41</v>
      </c>
      <c r="L97" s="62"/>
      <c r="M97" s="64">
        <v>22457.726999999999</v>
      </c>
      <c r="N97" s="17" t="str">
        <f t="shared" si="3"/>
        <v>34939 ASSOCIATED PKG/UT SALT LAKE CITY</v>
      </c>
      <c r="O97" s="17" t="str">
        <f t="shared" si="4"/>
        <v>750164 ROCKY MOUNTAIN PIES</v>
      </c>
      <c r="P97" s="17" t="str">
        <f t="shared" si="5"/>
        <v>HP 200 CLR-48mm x 1828m-6 rls/cs-S (100404)</v>
      </c>
    </row>
    <row r="98" spans="1:16" x14ac:dyDescent="0.25">
      <c r="A98" s="60" t="s">
        <v>227</v>
      </c>
      <c r="B98" s="60" t="s">
        <v>1338</v>
      </c>
      <c r="C98" s="60" t="s">
        <v>228</v>
      </c>
      <c r="D98" s="60" t="s">
        <v>95</v>
      </c>
      <c r="E98" s="60" t="s">
        <v>880</v>
      </c>
      <c r="F98" s="60" t="s">
        <v>881</v>
      </c>
      <c r="G98" s="60" t="s">
        <v>22</v>
      </c>
      <c r="H98" s="60" t="s">
        <v>691</v>
      </c>
      <c r="I98" s="60" t="s">
        <v>692</v>
      </c>
      <c r="J98" s="61"/>
      <c r="K98" s="61">
        <v>547.42999999999995</v>
      </c>
      <c r="L98" s="62"/>
      <c r="M98" s="63">
        <v>378.88</v>
      </c>
      <c r="N98" s="17" t="str">
        <f t="shared" si="3"/>
        <v>34939 ASSOCIATED PKG/UT SALT LAKE CITY</v>
      </c>
      <c r="O98" s="17" t="str">
        <f t="shared" si="4"/>
        <v>750780 SNAPLCOK INC</v>
      </c>
      <c r="P98" s="17" t="str">
        <f t="shared" si="5"/>
        <v>VP 410 BLK- 50MM X 33M- 24 RLS/CS-H/T (202810)</v>
      </c>
    </row>
    <row r="99" spans="1:16" x14ac:dyDescent="0.25">
      <c r="A99" s="60" t="s">
        <v>882</v>
      </c>
      <c r="B99" s="60" t="s">
        <v>883</v>
      </c>
      <c r="C99" s="60" t="s">
        <v>273</v>
      </c>
      <c r="D99" s="60" t="s">
        <v>108</v>
      </c>
      <c r="E99" s="60" t="s">
        <v>935</v>
      </c>
      <c r="F99" s="60" t="s">
        <v>936</v>
      </c>
      <c r="G99" s="60" t="s">
        <v>18</v>
      </c>
      <c r="H99" s="60" t="s">
        <v>219</v>
      </c>
      <c r="I99" s="60" t="s">
        <v>60</v>
      </c>
      <c r="J99" s="61">
        <v>1618.06</v>
      </c>
      <c r="K99" s="61"/>
      <c r="L99" s="62">
        <v>6199.8</v>
      </c>
      <c r="M99" s="63"/>
      <c r="N99" s="17" t="str">
        <f t="shared" si="3"/>
        <v>708536 ASSOCIATED PKG/KY LOUISVILLE</v>
      </c>
      <c r="O99" s="17" t="str">
        <f t="shared" si="4"/>
        <v>16512 RAYLOC</v>
      </c>
      <c r="P99" s="17" t="str">
        <f t="shared" si="5"/>
        <v>HP 200 CLR-72mm x 100m-24 rls/cs-S (207233)</v>
      </c>
    </row>
    <row r="100" spans="1:16" x14ac:dyDescent="0.25">
      <c r="A100" s="60" t="s">
        <v>882</v>
      </c>
      <c r="B100" s="60" t="s">
        <v>883</v>
      </c>
      <c r="C100" s="60" t="s">
        <v>273</v>
      </c>
      <c r="D100" s="60" t="s">
        <v>108</v>
      </c>
      <c r="E100" s="60" t="s">
        <v>718</v>
      </c>
      <c r="F100" s="60" t="s">
        <v>719</v>
      </c>
      <c r="G100" s="60" t="s">
        <v>334</v>
      </c>
      <c r="H100" s="60" t="s">
        <v>937</v>
      </c>
      <c r="I100" s="60" t="s">
        <v>938</v>
      </c>
      <c r="J100" s="61"/>
      <c r="K100" s="61">
        <v>230.95</v>
      </c>
      <c r="L100" s="62"/>
      <c r="M100" s="63">
        <v>151.56</v>
      </c>
      <c r="N100" s="17" t="str">
        <f t="shared" si="3"/>
        <v>708536 ASSOCIATED PKG/KY LOUISVILLE</v>
      </c>
      <c r="O100" s="17" t="str">
        <f t="shared" si="4"/>
        <v>26869 BASIC GRAIN PRODUCTS</v>
      </c>
      <c r="P100" s="17" t="str">
        <f t="shared" si="5"/>
        <v>FP 096 KFT-48mm x 55m-24 rls/cs-S (201806)</v>
      </c>
    </row>
    <row r="101" spans="1:16" x14ac:dyDescent="0.25">
      <c r="A101" s="60" t="s">
        <v>882</v>
      </c>
      <c r="B101" s="60" t="s">
        <v>883</v>
      </c>
      <c r="C101" s="60" t="s">
        <v>273</v>
      </c>
      <c r="D101" s="60" t="s">
        <v>108</v>
      </c>
      <c r="E101" s="60" t="s">
        <v>718</v>
      </c>
      <c r="F101" s="60" t="s">
        <v>719</v>
      </c>
      <c r="G101" s="60" t="s">
        <v>18</v>
      </c>
      <c r="H101" s="60" t="s">
        <v>212</v>
      </c>
      <c r="I101" s="60" t="s">
        <v>86</v>
      </c>
      <c r="J101" s="61">
        <v>10914.4</v>
      </c>
      <c r="K101" s="61">
        <v>11735.54</v>
      </c>
      <c r="L101" s="62">
        <v>45334.080000000002</v>
      </c>
      <c r="M101" s="63">
        <v>45334.080000000002</v>
      </c>
      <c r="N101" s="17" t="str">
        <f t="shared" si="3"/>
        <v>708536 ASSOCIATED PKG/KY LOUISVILLE</v>
      </c>
      <c r="O101" s="17" t="str">
        <f t="shared" si="4"/>
        <v>26869 BASIC GRAIN PRODUCTS</v>
      </c>
      <c r="P101" s="17" t="str">
        <f t="shared" si="5"/>
        <v>HP 200 CLR-48mm x 914m-6 rls/cs-S (208492)</v>
      </c>
    </row>
    <row r="102" spans="1:16" x14ac:dyDescent="0.25">
      <c r="A102" s="60" t="s">
        <v>882</v>
      </c>
      <c r="B102" s="60" t="s">
        <v>883</v>
      </c>
      <c r="C102" s="60" t="s">
        <v>273</v>
      </c>
      <c r="D102" s="60" t="s">
        <v>108</v>
      </c>
      <c r="E102" s="60" t="s">
        <v>884</v>
      </c>
      <c r="F102" s="60" t="s">
        <v>885</v>
      </c>
      <c r="G102" s="60" t="s">
        <v>19</v>
      </c>
      <c r="H102" s="60" t="s">
        <v>233</v>
      </c>
      <c r="I102" s="60" t="s">
        <v>49</v>
      </c>
      <c r="J102" s="61"/>
      <c r="K102" s="61">
        <v>2170.48</v>
      </c>
      <c r="L102" s="62"/>
      <c r="M102" s="63">
        <v>8679.7199999999993</v>
      </c>
      <c r="N102" s="17" t="str">
        <f t="shared" si="3"/>
        <v>708536 ASSOCIATED PKG/KY LOUISVILLE</v>
      </c>
      <c r="O102" s="17" t="str">
        <f t="shared" si="4"/>
        <v>27868 QUALITY BAKERY CO</v>
      </c>
      <c r="P102" s="17" t="str">
        <f t="shared" si="5"/>
        <v>HP 100 CLR-48mm x 100m-36 rls/cs-S (207142)</v>
      </c>
    </row>
    <row r="103" spans="1:16" x14ac:dyDescent="0.25">
      <c r="A103" s="60" t="s">
        <v>882</v>
      </c>
      <c r="B103" s="60" t="s">
        <v>883</v>
      </c>
      <c r="C103" s="60" t="s">
        <v>273</v>
      </c>
      <c r="D103" s="60" t="s">
        <v>108</v>
      </c>
      <c r="E103" s="60" t="s">
        <v>565</v>
      </c>
      <c r="F103" s="60" t="s">
        <v>566</v>
      </c>
      <c r="G103" s="60" t="s">
        <v>72</v>
      </c>
      <c r="H103" s="60" t="s">
        <v>488</v>
      </c>
      <c r="I103" s="60" t="s">
        <v>489</v>
      </c>
      <c r="J103" s="61">
        <v>70025.48</v>
      </c>
      <c r="K103" s="61"/>
      <c r="L103" s="62">
        <v>33062.400000000001</v>
      </c>
      <c r="M103" s="64"/>
      <c r="N103" s="17" t="str">
        <f t="shared" si="3"/>
        <v>708536 ASSOCIATED PKG/KY LOUISVILLE</v>
      </c>
      <c r="O103" s="17" t="str">
        <f t="shared" si="4"/>
        <v>28565 SPACEKRAFT</v>
      </c>
      <c r="P103" s="17" t="str">
        <f t="shared" si="5"/>
        <v>DT 200 GLA-48mm x 50m-24 rls/cs-H (232165)</v>
      </c>
    </row>
    <row r="104" spans="1:16" x14ac:dyDescent="0.25">
      <c r="A104" s="60" t="s">
        <v>882</v>
      </c>
      <c r="B104" s="60" t="s">
        <v>883</v>
      </c>
      <c r="C104" s="60" t="s">
        <v>273</v>
      </c>
      <c r="D104" s="60" t="s">
        <v>108</v>
      </c>
      <c r="E104" s="60" t="s">
        <v>565</v>
      </c>
      <c r="F104" s="60" t="s">
        <v>566</v>
      </c>
      <c r="G104" s="60" t="s">
        <v>62</v>
      </c>
      <c r="H104" s="60" t="s">
        <v>491</v>
      </c>
      <c r="I104" s="60" t="s">
        <v>492</v>
      </c>
      <c r="J104" s="61">
        <v>7270.56</v>
      </c>
      <c r="K104" s="61"/>
      <c r="L104" s="62">
        <v>12399.6</v>
      </c>
      <c r="M104" s="63"/>
      <c r="N104" s="17" t="str">
        <f t="shared" si="3"/>
        <v>708536 ASSOCIATED PKG/KY LOUISVILLE</v>
      </c>
      <c r="O104" s="17" t="str">
        <f t="shared" si="4"/>
        <v>28565 SPACEKRAFT</v>
      </c>
      <c r="P104" s="17" t="str">
        <f t="shared" si="5"/>
        <v>HP 300 CLR-48mm x 50m-36 rls/cs-H (207888)</v>
      </c>
    </row>
    <row r="105" spans="1:16" x14ac:dyDescent="0.25">
      <c r="A105" s="60" t="s">
        <v>882</v>
      </c>
      <c r="B105" s="60" t="s">
        <v>883</v>
      </c>
      <c r="C105" s="60" t="s">
        <v>273</v>
      </c>
      <c r="D105" s="60" t="s">
        <v>108</v>
      </c>
      <c r="E105" s="60" t="s">
        <v>720</v>
      </c>
      <c r="F105" s="60" t="s">
        <v>721</v>
      </c>
      <c r="G105" s="60" t="s">
        <v>19</v>
      </c>
      <c r="H105" s="60" t="s">
        <v>222</v>
      </c>
      <c r="I105" s="60" t="s">
        <v>104</v>
      </c>
      <c r="J105" s="61">
        <v>4956.8100000000004</v>
      </c>
      <c r="K105" s="61">
        <v>10409.73</v>
      </c>
      <c r="L105" s="62">
        <v>20537.495999999999</v>
      </c>
      <c r="M105" s="64">
        <v>41074.991999999998</v>
      </c>
      <c r="N105" s="17" t="str">
        <f t="shared" si="3"/>
        <v>708536 ASSOCIATED PKG/KY LOUISVILLE</v>
      </c>
      <c r="O105" s="17" t="str">
        <f t="shared" si="4"/>
        <v>33313 WHITE CASTLE</v>
      </c>
      <c r="P105" s="17" t="str">
        <f t="shared" si="5"/>
        <v>HP 100 CLR-53mm x 1500m-6 rls/cs-S (195553)</v>
      </c>
    </row>
    <row r="106" spans="1:16" x14ac:dyDescent="0.25">
      <c r="A106" s="60" t="s">
        <v>882</v>
      </c>
      <c r="B106" s="60" t="s">
        <v>883</v>
      </c>
      <c r="C106" s="60" t="s">
        <v>273</v>
      </c>
      <c r="D106" s="60" t="s">
        <v>108</v>
      </c>
      <c r="E106" s="60" t="s">
        <v>939</v>
      </c>
      <c r="F106" s="60" t="s">
        <v>940</v>
      </c>
      <c r="G106" s="60" t="s">
        <v>19</v>
      </c>
      <c r="H106" s="60" t="s">
        <v>222</v>
      </c>
      <c r="I106" s="60" t="s">
        <v>104</v>
      </c>
      <c r="J106" s="61">
        <v>9225.06</v>
      </c>
      <c r="K106" s="61">
        <v>9686.9500000000007</v>
      </c>
      <c r="L106" s="65">
        <v>41074.991999999998</v>
      </c>
      <c r="M106" s="64">
        <v>41074.991999999998</v>
      </c>
      <c r="N106" s="17" t="str">
        <f t="shared" si="3"/>
        <v>708536 ASSOCIATED PKG/KY LOUISVILLE</v>
      </c>
      <c r="O106" s="17" t="str">
        <f t="shared" si="4"/>
        <v>33769 ROLLPAK CORP/BERRY GLOBAL</v>
      </c>
      <c r="P106" s="17" t="str">
        <f t="shared" si="5"/>
        <v>HP 100 CLR-53mm x 1500m-6 rls/cs-S (195553)</v>
      </c>
    </row>
    <row r="107" spans="1:16" x14ac:dyDescent="0.25">
      <c r="A107" s="60" t="s">
        <v>882</v>
      </c>
      <c r="B107" s="60" t="s">
        <v>883</v>
      </c>
      <c r="C107" s="60" t="s">
        <v>273</v>
      </c>
      <c r="D107" s="60" t="s">
        <v>108</v>
      </c>
      <c r="E107" s="60" t="s">
        <v>941</v>
      </c>
      <c r="F107" s="60" t="s">
        <v>942</v>
      </c>
      <c r="G107" s="60" t="s">
        <v>18</v>
      </c>
      <c r="H107" s="60" t="s">
        <v>215</v>
      </c>
      <c r="I107" s="60" t="s">
        <v>50</v>
      </c>
      <c r="J107" s="61">
        <v>613.72</v>
      </c>
      <c r="K107" s="61"/>
      <c r="L107" s="65">
        <v>2479.92</v>
      </c>
      <c r="M107" s="64"/>
      <c r="N107" s="17" t="str">
        <f t="shared" si="3"/>
        <v>708536 ASSOCIATED PKG/KY LOUISVILLE</v>
      </c>
      <c r="O107" s="17" t="str">
        <f t="shared" si="4"/>
        <v>34535 QCD</v>
      </c>
      <c r="P107" s="17" t="str">
        <f t="shared" si="5"/>
        <v>HP 200 CLR-48mm x 100m-36 rls/cs-S (207149)</v>
      </c>
    </row>
    <row r="108" spans="1:16" x14ac:dyDescent="0.25">
      <c r="A108" s="60" t="s">
        <v>882</v>
      </c>
      <c r="B108" s="60" t="s">
        <v>883</v>
      </c>
      <c r="C108" s="60" t="s">
        <v>273</v>
      </c>
      <c r="D108" s="60" t="s">
        <v>108</v>
      </c>
      <c r="E108" s="60" t="s">
        <v>274</v>
      </c>
      <c r="F108" s="60" t="s">
        <v>174</v>
      </c>
      <c r="G108" s="60" t="s">
        <v>18</v>
      </c>
      <c r="H108" s="60" t="s">
        <v>215</v>
      </c>
      <c r="I108" s="60" t="s">
        <v>50</v>
      </c>
      <c r="J108" s="61">
        <v>2993.76</v>
      </c>
      <c r="K108" s="61"/>
      <c r="L108" s="62">
        <v>12399.6</v>
      </c>
      <c r="M108" s="64"/>
      <c r="N108" s="17" t="str">
        <f t="shared" si="3"/>
        <v>708536 ASSOCIATED PKG/KY LOUISVILLE</v>
      </c>
      <c r="O108" s="17" t="str">
        <f t="shared" si="4"/>
        <v>34558 EXPRESS PACKAGING</v>
      </c>
      <c r="P108" s="17" t="str">
        <f t="shared" si="5"/>
        <v>HP 200 CLR-48mm x 100m-36 rls/cs-S (207149)</v>
      </c>
    </row>
    <row r="109" spans="1:16" x14ac:dyDescent="0.25">
      <c r="A109" s="60" t="s">
        <v>882</v>
      </c>
      <c r="B109" s="60" t="s">
        <v>883</v>
      </c>
      <c r="C109" s="60" t="s">
        <v>273</v>
      </c>
      <c r="D109" s="60" t="s">
        <v>108</v>
      </c>
      <c r="E109" s="60" t="s">
        <v>1339</v>
      </c>
      <c r="F109" s="60" t="s">
        <v>1340</v>
      </c>
      <c r="G109" s="60" t="s">
        <v>20</v>
      </c>
      <c r="H109" s="60" t="s">
        <v>270</v>
      </c>
      <c r="I109" s="60" t="s">
        <v>101</v>
      </c>
      <c r="J109" s="61"/>
      <c r="K109" s="61">
        <v>62.01</v>
      </c>
      <c r="L109" s="62"/>
      <c r="M109" s="63">
        <v>75.78</v>
      </c>
      <c r="N109" s="17" t="str">
        <f t="shared" si="3"/>
        <v>708536 ASSOCIATED PKG/KY LOUISVILLE</v>
      </c>
      <c r="O109" s="17" t="str">
        <f t="shared" si="4"/>
        <v>37873 DOMTAR PAPER CO LLC</v>
      </c>
      <c r="P109" s="17" t="str">
        <f t="shared" si="5"/>
        <v>CP 083 NAT-48mm x 55m-24 rls/cs-S (101536)</v>
      </c>
    </row>
    <row r="110" spans="1:16" x14ac:dyDescent="0.25">
      <c r="A110" s="60" t="s">
        <v>882</v>
      </c>
      <c r="B110" s="60" t="s">
        <v>883</v>
      </c>
      <c r="C110" s="60" t="s">
        <v>273</v>
      </c>
      <c r="D110" s="60" t="s">
        <v>108</v>
      </c>
      <c r="E110" s="60" t="s">
        <v>943</v>
      </c>
      <c r="F110" s="60" t="s">
        <v>944</v>
      </c>
      <c r="G110" s="60" t="s">
        <v>18</v>
      </c>
      <c r="H110" s="60" t="s">
        <v>275</v>
      </c>
      <c r="I110" s="60" t="s">
        <v>75</v>
      </c>
      <c r="J110" s="61">
        <v>10354.129999999999</v>
      </c>
      <c r="K110" s="61"/>
      <c r="L110" s="62">
        <v>37542.527999999998</v>
      </c>
      <c r="M110" s="64"/>
      <c r="N110" s="17" t="str">
        <f t="shared" si="3"/>
        <v>708536 ASSOCIATED PKG/KY LOUISVILLE</v>
      </c>
      <c r="O110" s="17" t="str">
        <f t="shared" si="4"/>
        <v>44567 ALBANESE CONFECTIONERY GRP</v>
      </c>
      <c r="P110" s="17" t="str">
        <f t="shared" si="5"/>
        <v>HP 200 CLR-53mm x 1371m-6 rls/cs-H (201324)</v>
      </c>
    </row>
    <row r="111" spans="1:16" x14ac:dyDescent="0.25">
      <c r="A111" s="60" t="s">
        <v>882</v>
      </c>
      <c r="B111" s="60" t="s">
        <v>883</v>
      </c>
      <c r="C111" s="60" t="s">
        <v>273</v>
      </c>
      <c r="D111" s="60" t="s">
        <v>108</v>
      </c>
      <c r="E111" s="60" t="s">
        <v>943</v>
      </c>
      <c r="F111" s="60" t="s">
        <v>944</v>
      </c>
      <c r="G111" s="60" t="s">
        <v>18</v>
      </c>
      <c r="H111" s="60" t="s">
        <v>215</v>
      </c>
      <c r="I111" s="60" t="s">
        <v>50</v>
      </c>
      <c r="J111" s="61">
        <v>9280.66</v>
      </c>
      <c r="K111" s="61">
        <v>3122.06</v>
      </c>
      <c r="L111" s="62">
        <v>37198.800000000003</v>
      </c>
      <c r="M111" s="64">
        <v>12399.6</v>
      </c>
      <c r="N111" s="17" t="str">
        <f t="shared" si="3"/>
        <v>708536 ASSOCIATED PKG/KY LOUISVILLE</v>
      </c>
      <c r="O111" s="17" t="str">
        <f t="shared" si="4"/>
        <v>44567 ALBANESE CONFECTIONERY GRP</v>
      </c>
      <c r="P111" s="17" t="str">
        <f t="shared" si="5"/>
        <v>HP 200 CLR-48mm x 100m-36 rls/cs-S (207149)</v>
      </c>
    </row>
    <row r="112" spans="1:16" x14ac:dyDescent="0.25">
      <c r="A112" s="60" t="s">
        <v>882</v>
      </c>
      <c r="B112" s="60" t="s">
        <v>883</v>
      </c>
      <c r="C112" s="60" t="s">
        <v>273</v>
      </c>
      <c r="D112" s="60" t="s">
        <v>108</v>
      </c>
      <c r="E112" s="60" t="s">
        <v>1341</v>
      </c>
      <c r="F112" s="60" t="s">
        <v>1342</v>
      </c>
      <c r="G112" s="60" t="s">
        <v>1182</v>
      </c>
      <c r="H112" s="60" t="s">
        <v>1183</v>
      </c>
      <c r="I112" s="60" t="s">
        <v>1184</v>
      </c>
      <c r="J112" s="61"/>
      <c r="K112" s="61">
        <v>312.68</v>
      </c>
      <c r="L112" s="62"/>
      <c r="M112" s="63">
        <v>113.66</v>
      </c>
      <c r="N112" s="17" t="str">
        <f t="shared" si="3"/>
        <v>708536 ASSOCIATED PKG/KY LOUISVILLE</v>
      </c>
      <c r="O112" s="17" t="str">
        <f t="shared" si="4"/>
        <v>45362 ROCKY SHOES AND BOOTS</v>
      </c>
      <c r="P112" s="17" t="str">
        <f t="shared" si="5"/>
        <v>GS 521 CLR-18mm x 55m-48 rls/cs-H (101374)</v>
      </c>
    </row>
    <row r="113" spans="1:16" x14ac:dyDescent="0.25">
      <c r="A113" s="60" t="s">
        <v>882</v>
      </c>
      <c r="B113" s="60" t="s">
        <v>883</v>
      </c>
      <c r="C113" s="60" t="s">
        <v>273</v>
      </c>
      <c r="D113" s="60" t="s">
        <v>108</v>
      </c>
      <c r="E113" s="60" t="s">
        <v>945</v>
      </c>
      <c r="F113" s="60" t="s">
        <v>946</v>
      </c>
      <c r="G113" s="60" t="s">
        <v>67</v>
      </c>
      <c r="H113" s="60" t="s">
        <v>253</v>
      </c>
      <c r="I113" s="60" t="s">
        <v>69</v>
      </c>
      <c r="J113" s="61"/>
      <c r="K113" s="61">
        <v>461.89</v>
      </c>
      <c r="L113" s="65"/>
      <c r="M113" s="64">
        <v>303.072</v>
      </c>
      <c r="N113" s="17" t="str">
        <f t="shared" si="3"/>
        <v>708536 ASSOCIATED PKG/KY LOUISVILLE</v>
      </c>
      <c r="O113" s="17" t="str">
        <f t="shared" si="4"/>
        <v>45598 HEAVEN HILL DISTILLERIES</v>
      </c>
      <c r="P113" s="17" t="str">
        <f t="shared" si="5"/>
        <v>FP 115 BRN-48mm x 55m-24 rls/cs-H (104675)</v>
      </c>
    </row>
    <row r="114" spans="1:16" x14ac:dyDescent="0.25">
      <c r="A114" s="60" t="s">
        <v>882</v>
      </c>
      <c r="B114" s="60" t="s">
        <v>883</v>
      </c>
      <c r="C114" s="60" t="s">
        <v>273</v>
      </c>
      <c r="D114" s="60" t="s">
        <v>108</v>
      </c>
      <c r="E114" s="60" t="s">
        <v>1343</v>
      </c>
      <c r="F114" s="60" t="s">
        <v>1344</v>
      </c>
      <c r="G114" s="60" t="s">
        <v>18</v>
      </c>
      <c r="H114" s="60" t="s">
        <v>214</v>
      </c>
      <c r="I114" s="60" t="s">
        <v>158</v>
      </c>
      <c r="J114" s="61">
        <v>261.36</v>
      </c>
      <c r="K114" s="61"/>
      <c r="L114" s="62">
        <v>944.46</v>
      </c>
      <c r="M114" s="64"/>
      <c r="N114" s="17" t="str">
        <f t="shared" si="3"/>
        <v>708536 ASSOCIATED PKG/KY LOUISVILLE</v>
      </c>
      <c r="O114" s="17" t="str">
        <f t="shared" si="4"/>
        <v>75545 ID IMAGES</v>
      </c>
      <c r="P114" s="17" t="str">
        <f t="shared" si="5"/>
        <v>HP 200 CLR-72mm x 914m-4 rls/cs-S (208496)</v>
      </c>
    </row>
    <row r="115" spans="1:16" x14ac:dyDescent="0.25">
      <c r="A115" s="60" t="s">
        <v>882</v>
      </c>
      <c r="B115" s="60" t="s">
        <v>883</v>
      </c>
      <c r="C115" s="60" t="s">
        <v>273</v>
      </c>
      <c r="D115" s="60" t="s">
        <v>108</v>
      </c>
      <c r="E115" s="60" t="s">
        <v>1345</v>
      </c>
      <c r="F115" s="60" t="s">
        <v>1346</v>
      </c>
      <c r="G115" s="60" t="s">
        <v>18</v>
      </c>
      <c r="H115" s="60" t="s">
        <v>216</v>
      </c>
      <c r="I115" s="60" t="s">
        <v>91</v>
      </c>
      <c r="J115" s="61"/>
      <c r="K115" s="61">
        <v>521.59</v>
      </c>
      <c r="L115" s="65"/>
      <c r="M115" s="64">
        <v>1888.95</v>
      </c>
      <c r="N115" s="17" t="str">
        <f t="shared" si="3"/>
        <v>708536 ASSOCIATED PKG/KY LOUISVILLE</v>
      </c>
      <c r="O115" s="17" t="str">
        <f t="shared" si="4"/>
        <v>81193 THINK PACKAGING</v>
      </c>
      <c r="P115" s="17" t="str">
        <f t="shared" si="5"/>
        <v>HP 200 CLR-48mm x 1828m-6 rls/cs-S (100404)</v>
      </c>
    </row>
    <row r="116" spans="1:16" x14ac:dyDescent="0.25">
      <c r="A116" s="60" t="s">
        <v>882</v>
      </c>
      <c r="B116" s="60" t="s">
        <v>883</v>
      </c>
      <c r="C116" s="60" t="s">
        <v>273</v>
      </c>
      <c r="D116" s="60" t="s">
        <v>108</v>
      </c>
      <c r="E116" s="60" t="s">
        <v>947</v>
      </c>
      <c r="F116" s="60" t="s">
        <v>948</v>
      </c>
      <c r="G116" s="60" t="s">
        <v>19</v>
      </c>
      <c r="H116" s="60" t="s">
        <v>222</v>
      </c>
      <c r="I116" s="60" t="s">
        <v>104</v>
      </c>
      <c r="J116" s="61">
        <v>6513.21</v>
      </c>
      <c r="K116" s="61">
        <v>15799.21</v>
      </c>
      <c r="L116" s="62">
        <v>28524.3</v>
      </c>
      <c r="M116" s="64">
        <v>62753.46</v>
      </c>
      <c r="N116" s="17" t="str">
        <f t="shared" si="3"/>
        <v>708536 ASSOCIATED PKG/KY LOUISVILLE</v>
      </c>
      <c r="O116" s="17" t="str">
        <f t="shared" si="4"/>
        <v>701287 AUNT MILLIE'S - COLDWATER BAKE</v>
      </c>
      <c r="P116" s="17" t="str">
        <f t="shared" si="5"/>
        <v>HP 100 CLR-53mm x 1500m-6 rls/cs-S (195553)</v>
      </c>
    </row>
    <row r="117" spans="1:16" x14ac:dyDescent="0.25">
      <c r="A117" s="60" t="s">
        <v>882</v>
      </c>
      <c r="B117" s="60" t="s">
        <v>883</v>
      </c>
      <c r="C117" s="60" t="s">
        <v>273</v>
      </c>
      <c r="D117" s="60" t="s">
        <v>108</v>
      </c>
      <c r="E117" s="60" t="s">
        <v>947</v>
      </c>
      <c r="F117" s="60" t="s">
        <v>948</v>
      </c>
      <c r="G117" s="60" t="s">
        <v>18</v>
      </c>
      <c r="H117" s="60" t="s">
        <v>215</v>
      </c>
      <c r="I117" s="60" t="s">
        <v>50</v>
      </c>
      <c r="J117" s="61"/>
      <c r="K117" s="61">
        <v>1040.69</v>
      </c>
      <c r="L117" s="65"/>
      <c r="M117" s="64">
        <v>4133.2</v>
      </c>
      <c r="N117" s="17" t="str">
        <f t="shared" si="3"/>
        <v>708536 ASSOCIATED PKG/KY LOUISVILLE</v>
      </c>
      <c r="O117" s="17" t="str">
        <f t="shared" si="4"/>
        <v>701287 AUNT MILLIE'S - COLDWATER BAKE</v>
      </c>
      <c r="P117" s="17" t="str">
        <f t="shared" si="5"/>
        <v>HP 200 CLR-48mm x 100m-36 rls/cs-S (207149)</v>
      </c>
    </row>
    <row r="118" spans="1:16" x14ac:dyDescent="0.25">
      <c r="A118" s="60" t="s">
        <v>882</v>
      </c>
      <c r="B118" s="60" t="s">
        <v>883</v>
      </c>
      <c r="C118" s="60" t="s">
        <v>273</v>
      </c>
      <c r="D118" s="60" t="s">
        <v>108</v>
      </c>
      <c r="E118" s="60" t="s">
        <v>947</v>
      </c>
      <c r="F118" s="60" t="s">
        <v>948</v>
      </c>
      <c r="G118" s="60" t="s">
        <v>344</v>
      </c>
      <c r="H118" s="60" t="s">
        <v>345</v>
      </c>
      <c r="I118" s="60" t="s">
        <v>389</v>
      </c>
      <c r="J118" s="61"/>
      <c r="K118" s="61">
        <v>19.48</v>
      </c>
      <c r="L118" s="65"/>
      <c r="M118" s="64">
        <v>0</v>
      </c>
      <c r="N118" s="17" t="str">
        <f t="shared" si="3"/>
        <v>708536 ASSOCIATED PKG/KY LOUISVILLE</v>
      </c>
      <c r="O118" s="17" t="str">
        <f t="shared" si="4"/>
        <v>701287 AUNT MILLIE'S - COLDWATER BAKE</v>
      </c>
      <c r="P118" s="17" t="str">
        <f t="shared" si="5"/>
        <v>SD 932  PISTOL GRIP TAPE DISP. ECONOMY-S (900617)</v>
      </c>
    </row>
    <row r="119" spans="1:16" x14ac:dyDescent="0.25">
      <c r="A119" s="60" t="s">
        <v>882</v>
      </c>
      <c r="B119" s="60" t="s">
        <v>883</v>
      </c>
      <c r="C119" s="60" t="s">
        <v>273</v>
      </c>
      <c r="D119" s="60" t="s">
        <v>108</v>
      </c>
      <c r="E119" s="60" t="s">
        <v>949</v>
      </c>
      <c r="F119" s="60" t="s">
        <v>950</v>
      </c>
      <c r="G119" s="60" t="s">
        <v>61</v>
      </c>
      <c r="H119" s="60" t="s">
        <v>951</v>
      </c>
      <c r="I119" s="60" t="s">
        <v>952</v>
      </c>
      <c r="J119" s="61">
        <v>7274.84</v>
      </c>
      <c r="K119" s="61">
        <v>15276.72</v>
      </c>
      <c r="L119" s="62">
        <v>11333.52</v>
      </c>
      <c r="M119" s="63">
        <v>22667.040000000001</v>
      </c>
      <c r="N119" s="17" t="str">
        <f t="shared" si="3"/>
        <v>708536 ASSOCIATED PKG/KY LOUISVILLE</v>
      </c>
      <c r="O119" s="17" t="str">
        <f t="shared" si="4"/>
        <v>706717 AMERIQUAL PACKAGING</v>
      </c>
      <c r="P119" s="17" t="str">
        <f t="shared" si="5"/>
        <v>HP 500 CLR-48mm x 914m-6 rls/cs-H (208561)</v>
      </c>
    </row>
    <row r="120" spans="1:16" x14ac:dyDescent="0.25">
      <c r="A120" s="60" t="s">
        <v>882</v>
      </c>
      <c r="B120" s="60" t="s">
        <v>883</v>
      </c>
      <c r="C120" s="60" t="s">
        <v>273</v>
      </c>
      <c r="D120" s="60" t="s">
        <v>108</v>
      </c>
      <c r="E120" s="60" t="s">
        <v>273</v>
      </c>
      <c r="F120" s="60" t="s">
        <v>108</v>
      </c>
      <c r="G120" s="60" t="s">
        <v>23</v>
      </c>
      <c r="H120" s="60" t="s">
        <v>477</v>
      </c>
      <c r="I120" s="60" t="s">
        <v>478</v>
      </c>
      <c r="J120" s="61">
        <v>128.30000000000001</v>
      </c>
      <c r="K120" s="61"/>
      <c r="L120" s="62">
        <v>227.32</v>
      </c>
      <c r="M120" s="63"/>
      <c r="N120" s="17" t="str">
        <f t="shared" si="3"/>
        <v>708536 ASSOCIATED PKG/KY LOUISVILLE</v>
      </c>
      <c r="O120" s="17" t="str">
        <f t="shared" si="4"/>
        <v>708536 ASSOCIATED PKG/KY LOUISVILLE</v>
      </c>
      <c r="P120" s="17" t="str">
        <f t="shared" si="5"/>
        <v>CP 105 NAT-24mm x 55m- 36 rls/cs-S (140431)</v>
      </c>
    </row>
    <row r="121" spans="1:16" x14ac:dyDescent="0.25">
      <c r="A121" s="60" t="s">
        <v>882</v>
      </c>
      <c r="B121" s="60" t="s">
        <v>883</v>
      </c>
      <c r="C121" s="60" t="s">
        <v>273</v>
      </c>
      <c r="D121" s="60" t="s">
        <v>108</v>
      </c>
      <c r="E121" s="60" t="s">
        <v>273</v>
      </c>
      <c r="F121" s="60" t="s">
        <v>108</v>
      </c>
      <c r="G121" s="60" t="s">
        <v>19</v>
      </c>
      <c r="H121" s="60" t="s">
        <v>242</v>
      </c>
      <c r="I121" s="60" t="s">
        <v>102</v>
      </c>
      <c r="J121" s="61">
        <v>2794.18</v>
      </c>
      <c r="K121" s="61">
        <v>6001.78</v>
      </c>
      <c r="L121" s="62">
        <v>12399.6</v>
      </c>
      <c r="M121" s="63">
        <v>24799.200000000001</v>
      </c>
      <c r="N121" s="17" t="str">
        <f t="shared" si="3"/>
        <v>708536 ASSOCIATED PKG/KY LOUISVILLE</v>
      </c>
      <c r="O121" s="17" t="str">
        <f t="shared" si="4"/>
        <v>708536 ASSOCIATED PKG/KY LOUISVILLE</v>
      </c>
      <c r="P121" s="17" t="str">
        <f t="shared" si="5"/>
        <v>HP 100 CLR-72mm x 100m-24 rls/cs-S (207194)</v>
      </c>
    </row>
    <row r="122" spans="1:16" x14ac:dyDescent="0.25">
      <c r="A122" s="60" t="s">
        <v>882</v>
      </c>
      <c r="B122" s="60" t="s">
        <v>883</v>
      </c>
      <c r="C122" s="60" t="s">
        <v>273</v>
      </c>
      <c r="D122" s="60" t="s">
        <v>108</v>
      </c>
      <c r="E122" s="60" t="s">
        <v>273</v>
      </c>
      <c r="F122" s="60" t="s">
        <v>108</v>
      </c>
      <c r="G122" s="60" t="s">
        <v>19</v>
      </c>
      <c r="H122" s="60" t="s">
        <v>243</v>
      </c>
      <c r="I122" s="60" t="s">
        <v>87</v>
      </c>
      <c r="J122" s="61">
        <v>741.31</v>
      </c>
      <c r="K122" s="61"/>
      <c r="L122" s="62">
        <v>3148.2</v>
      </c>
      <c r="M122" s="64"/>
      <c r="N122" s="17" t="str">
        <f t="shared" si="3"/>
        <v>708536 ASSOCIATED PKG/KY LOUISVILLE</v>
      </c>
      <c r="O122" s="17" t="str">
        <f t="shared" si="4"/>
        <v>708536 ASSOCIATED PKG/KY LOUISVILLE</v>
      </c>
      <c r="P122" s="17" t="str">
        <f t="shared" si="5"/>
        <v>HP 100 CLR-48mm x 914m-6 rls/cs-S (208453)</v>
      </c>
    </row>
    <row r="123" spans="1:16" x14ac:dyDescent="0.25">
      <c r="A123" s="60" t="s">
        <v>882</v>
      </c>
      <c r="B123" s="60" t="s">
        <v>883</v>
      </c>
      <c r="C123" s="60" t="s">
        <v>273</v>
      </c>
      <c r="D123" s="60" t="s">
        <v>108</v>
      </c>
      <c r="E123" s="60" t="s">
        <v>273</v>
      </c>
      <c r="F123" s="60" t="s">
        <v>108</v>
      </c>
      <c r="G123" s="60" t="s">
        <v>18</v>
      </c>
      <c r="H123" s="60" t="s">
        <v>216</v>
      </c>
      <c r="I123" s="60" t="s">
        <v>91</v>
      </c>
      <c r="J123" s="61">
        <v>5974.69</v>
      </c>
      <c r="K123" s="61">
        <v>6076.09</v>
      </c>
      <c r="L123" s="65">
        <v>22667.4</v>
      </c>
      <c r="M123" s="64">
        <v>22037.75</v>
      </c>
      <c r="N123" s="17" t="str">
        <f t="shared" si="3"/>
        <v>708536 ASSOCIATED PKG/KY LOUISVILLE</v>
      </c>
      <c r="O123" s="17" t="str">
        <f t="shared" si="4"/>
        <v>708536 ASSOCIATED PKG/KY LOUISVILLE</v>
      </c>
      <c r="P123" s="17" t="str">
        <f t="shared" si="5"/>
        <v>HP 200 CLR-48mm x 1828m-6 rls/cs-S (100404)</v>
      </c>
    </row>
    <row r="124" spans="1:16" x14ac:dyDescent="0.25">
      <c r="A124" s="60" t="s">
        <v>882</v>
      </c>
      <c r="B124" s="60" t="s">
        <v>883</v>
      </c>
      <c r="C124" s="60" t="s">
        <v>273</v>
      </c>
      <c r="D124" s="60" t="s">
        <v>108</v>
      </c>
      <c r="E124" s="60" t="s">
        <v>273</v>
      </c>
      <c r="F124" s="60" t="s">
        <v>108</v>
      </c>
      <c r="G124" s="60" t="s">
        <v>18</v>
      </c>
      <c r="H124" s="60" t="s">
        <v>722</v>
      </c>
      <c r="I124" s="60" t="s">
        <v>723</v>
      </c>
      <c r="J124" s="61">
        <v>7757.16</v>
      </c>
      <c r="K124" s="61"/>
      <c r="L124" s="62">
        <v>15111.36</v>
      </c>
      <c r="M124" s="64"/>
      <c r="N124" s="17" t="str">
        <f t="shared" si="3"/>
        <v>708536 ASSOCIATED PKG/KY LOUISVILLE</v>
      </c>
      <c r="O124" s="17" t="str">
        <f t="shared" si="4"/>
        <v>708536 ASSOCIATED PKG/KY LOUISVILLE</v>
      </c>
      <c r="P124" s="17" t="str">
        <f t="shared" si="5"/>
        <v>HP 200 BLU-72mm x 914m-4 rls/cs-H (123897)</v>
      </c>
    </row>
    <row r="125" spans="1:16" x14ac:dyDescent="0.25">
      <c r="A125" s="60" t="s">
        <v>882</v>
      </c>
      <c r="B125" s="60" t="s">
        <v>883</v>
      </c>
      <c r="C125" s="60" t="s">
        <v>273</v>
      </c>
      <c r="D125" s="60" t="s">
        <v>108</v>
      </c>
      <c r="E125" s="60" t="s">
        <v>273</v>
      </c>
      <c r="F125" s="60" t="s">
        <v>108</v>
      </c>
      <c r="G125" s="60" t="s">
        <v>18</v>
      </c>
      <c r="H125" s="60" t="s">
        <v>275</v>
      </c>
      <c r="I125" s="60" t="s">
        <v>75</v>
      </c>
      <c r="J125" s="61">
        <v>36239.46</v>
      </c>
      <c r="K125" s="61"/>
      <c r="L125" s="62">
        <v>131398.848</v>
      </c>
      <c r="M125" s="64"/>
      <c r="N125" s="17" t="str">
        <f t="shared" si="3"/>
        <v>708536 ASSOCIATED PKG/KY LOUISVILLE</v>
      </c>
      <c r="O125" s="17" t="str">
        <f t="shared" si="4"/>
        <v>708536 ASSOCIATED PKG/KY LOUISVILLE</v>
      </c>
      <c r="P125" s="17" t="str">
        <f t="shared" si="5"/>
        <v>HP 200 CLR-53mm x 1371m-6 rls/cs-H (201324)</v>
      </c>
    </row>
    <row r="126" spans="1:16" x14ac:dyDescent="0.25">
      <c r="A126" s="60" t="s">
        <v>882</v>
      </c>
      <c r="B126" s="60" t="s">
        <v>883</v>
      </c>
      <c r="C126" s="60" t="s">
        <v>273</v>
      </c>
      <c r="D126" s="60" t="s">
        <v>108</v>
      </c>
      <c r="E126" s="60" t="s">
        <v>273</v>
      </c>
      <c r="F126" s="60" t="s">
        <v>108</v>
      </c>
      <c r="G126" s="60" t="s">
        <v>18</v>
      </c>
      <c r="H126" s="60" t="s">
        <v>215</v>
      </c>
      <c r="I126" s="60" t="s">
        <v>50</v>
      </c>
      <c r="J126" s="61">
        <v>5987.52</v>
      </c>
      <c r="K126" s="61">
        <v>1561.03</v>
      </c>
      <c r="L126" s="62">
        <v>24799.200000000001</v>
      </c>
      <c r="M126" s="63">
        <v>6199.8</v>
      </c>
      <c r="N126" s="17" t="str">
        <f t="shared" si="3"/>
        <v>708536 ASSOCIATED PKG/KY LOUISVILLE</v>
      </c>
      <c r="O126" s="17" t="str">
        <f t="shared" si="4"/>
        <v>708536 ASSOCIATED PKG/KY LOUISVILLE</v>
      </c>
      <c r="P126" s="17" t="str">
        <f t="shared" si="5"/>
        <v>HP 200 CLR-48mm x 100m-36 rls/cs-S (207149)</v>
      </c>
    </row>
    <row r="127" spans="1:16" x14ac:dyDescent="0.25">
      <c r="A127" s="60" t="s">
        <v>882</v>
      </c>
      <c r="B127" s="60" t="s">
        <v>883</v>
      </c>
      <c r="C127" s="60" t="s">
        <v>273</v>
      </c>
      <c r="D127" s="60" t="s">
        <v>108</v>
      </c>
      <c r="E127" s="60" t="s">
        <v>273</v>
      </c>
      <c r="F127" s="60" t="s">
        <v>108</v>
      </c>
      <c r="G127" s="60" t="s">
        <v>18</v>
      </c>
      <c r="H127" s="60" t="s">
        <v>219</v>
      </c>
      <c r="I127" s="60" t="s">
        <v>60</v>
      </c>
      <c r="J127" s="61">
        <v>323.61</v>
      </c>
      <c r="K127" s="61">
        <v>118.8</v>
      </c>
      <c r="L127" s="65">
        <v>1239.96</v>
      </c>
      <c r="M127" s="64">
        <v>413.32</v>
      </c>
      <c r="N127" s="17" t="str">
        <f t="shared" si="3"/>
        <v>708536 ASSOCIATED PKG/KY LOUISVILLE</v>
      </c>
      <c r="O127" s="17" t="str">
        <f t="shared" si="4"/>
        <v>708536 ASSOCIATED PKG/KY LOUISVILLE</v>
      </c>
      <c r="P127" s="17" t="str">
        <f t="shared" si="5"/>
        <v>HP 200 CLR-72mm x 100m-24 rls/cs-S (207233)</v>
      </c>
    </row>
    <row r="128" spans="1:16" x14ac:dyDescent="0.25">
      <c r="A128" s="60" t="s">
        <v>882</v>
      </c>
      <c r="B128" s="60" t="s">
        <v>883</v>
      </c>
      <c r="C128" s="60" t="s">
        <v>273</v>
      </c>
      <c r="D128" s="60" t="s">
        <v>108</v>
      </c>
      <c r="E128" s="60" t="s">
        <v>273</v>
      </c>
      <c r="F128" s="60" t="s">
        <v>108</v>
      </c>
      <c r="G128" s="60" t="s">
        <v>18</v>
      </c>
      <c r="H128" s="60" t="s">
        <v>212</v>
      </c>
      <c r="I128" s="60" t="s">
        <v>86</v>
      </c>
      <c r="J128" s="61">
        <v>497.89</v>
      </c>
      <c r="K128" s="61">
        <v>173.8</v>
      </c>
      <c r="L128" s="65">
        <v>1888.92</v>
      </c>
      <c r="M128" s="64">
        <v>629.64</v>
      </c>
      <c r="N128" s="17" t="str">
        <f t="shared" si="3"/>
        <v>708536 ASSOCIATED PKG/KY LOUISVILLE</v>
      </c>
      <c r="O128" s="17" t="str">
        <f t="shared" si="4"/>
        <v>708536 ASSOCIATED PKG/KY LOUISVILLE</v>
      </c>
      <c r="P128" s="17" t="str">
        <f t="shared" si="5"/>
        <v>HP 200 CLR-48mm x 914m-6 rls/cs-S (208492)</v>
      </c>
    </row>
    <row r="129" spans="1:16" x14ac:dyDescent="0.25">
      <c r="A129" s="60" t="s">
        <v>882</v>
      </c>
      <c r="B129" s="60" t="s">
        <v>883</v>
      </c>
      <c r="C129" s="60" t="s">
        <v>273</v>
      </c>
      <c r="D129" s="60" t="s">
        <v>108</v>
      </c>
      <c r="E129" s="60" t="s">
        <v>278</v>
      </c>
      <c r="F129" s="60" t="s">
        <v>151</v>
      </c>
      <c r="G129" s="60" t="s">
        <v>19</v>
      </c>
      <c r="H129" s="60" t="s">
        <v>222</v>
      </c>
      <c r="I129" s="60" t="s">
        <v>104</v>
      </c>
      <c r="J129" s="61">
        <v>14913.19</v>
      </c>
      <c r="K129" s="61">
        <v>10372.18</v>
      </c>
      <c r="L129" s="62">
        <v>82149.983999999997</v>
      </c>
      <c r="M129" s="63">
        <v>52484.712</v>
      </c>
      <c r="N129" s="17" t="str">
        <f t="shared" si="3"/>
        <v>708536 ASSOCIATED PKG/KY LOUISVILLE</v>
      </c>
      <c r="O129" s="17" t="str">
        <f t="shared" si="4"/>
        <v>708538 MID STATE WAREHOUSE FOR RICH PRODUC</v>
      </c>
      <c r="P129" s="17" t="str">
        <f t="shared" si="5"/>
        <v>HP 100 CLR-53mm x 1500m-6 rls/cs-S (195553)</v>
      </c>
    </row>
    <row r="130" spans="1:16" x14ac:dyDescent="0.25">
      <c r="A130" s="60" t="s">
        <v>882</v>
      </c>
      <c r="B130" s="60" t="s">
        <v>883</v>
      </c>
      <c r="C130" s="60" t="s">
        <v>273</v>
      </c>
      <c r="D130" s="60" t="s">
        <v>108</v>
      </c>
      <c r="E130" s="60" t="s">
        <v>953</v>
      </c>
      <c r="F130" s="60" t="s">
        <v>954</v>
      </c>
      <c r="G130" s="60" t="s">
        <v>67</v>
      </c>
      <c r="H130" s="60" t="s">
        <v>241</v>
      </c>
      <c r="I130" s="60" t="s">
        <v>78</v>
      </c>
      <c r="J130" s="61"/>
      <c r="K130" s="61">
        <v>630.44000000000005</v>
      </c>
      <c r="L130" s="62"/>
      <c r="M130" s="63">
        <v>378.88</v>
      </c>
      <c r="N130" s="17" t="str">
        <f t="shared" si="3"/>
        <v>708536 ASSOCIATED PKG/KY LOUISVILLE</v>
      </c>
      <c r="O130" s="17" t="str">
        <f t="shared" si="4"/>
        <v>708637 KENCO LOGISTIC SERVICES</v>
      </c>
      <c r="P130" s="17" t="str">
        <f t="shared" si="5"/>
        <v>FP 115 BRN-72mm x 55m-16 rls/cs-H (104663)</v>
      </c>
    </row>
    <row r="131" spans="1:16" x14ac:dyDescent="0.25">
      <c r="A131" s="60" t="s">
        <v>882</v>
      </c>
      <c r="B131" s="60" t="s">
        <v>883</v>
      </c>
      <c r="C131" s="60" t="s">
        <v>273</v>
      </c>
      <c r="D131" s="60" t="s">
        <v>108</v>
      </c>
      <c r="E131" s="60" t="s">
        <v>350</v>
      </c>
      <c r="F131" s="60" t="s">
        <v>351</v>
      </c>
      <c r="G131" s="60" t="s">
        <v>65</v>
      </c>
      <c r="H131" s="60" t="s">
        <v>1347</v>
      </c>
      <c r="I131" s="60" t="s">
        <v>1348</v>
      </c>
      <c r="J131" s="61"/>
      <c r="K131" s="61">
        <v>100.5</v>
      </c>
      <c r="L131" s="62"/>
      <c r="M131" s="63">
        <v>68.89</v>
      </c>
      <c r="N131" s="17" t="str">
        <f t="shared" ref="N131:N177" si="6">C131&amp;" "&amp;D131</f>
        <v>708536 ASSOCIATED PKG/KY LOUISVILLE</v>
      </c>
      <c r="O131" s="17" t="str">
        <f t="shared" ref="O131:O177" si="7">E131&amp;" "&amp;F131</f>
        <v>708654 ORBIS CORPORATION</v>
      </c>
      <c r="P131" s="17" t="str">
        <f t="shared" si="5"/>
        <v>FP 097 KFT-48mm x 50m-24 rls/cs-H (100055)</v>
      </c>
    </row>
    <row r="132" spans="1:16" x14ac:dyDescent="0.25">
      <c r="A132" s="60" t="s">
        <v>882</v>
      </c>
      <c r="B132" s="60" t="s">
        <v>883</v>
      </c>
      <c r="C132" s="60" t="s">
        <v>273</v>
      </c>
      <c r="D132" s="60" t="s">
        <v>108</v>
      </c>
      <c r="E132" s="60" t="s">
        <v>350</v>
      </c>
      <c r="F132" s="60" t="s">
        <v>351</v>
      </c>
      <c r="G132" s="60" t="s">
        <v>61</v>
      </c>
      <c r="H132" s="60" t="s">
        <v>352</v>
      </c>
      <c r="I132" s="60" t="s">
        <v>353</v>
      </c>
      <c r="J132" s="61">
        <v>898.84</v>
      </c>
      <c r="K132" s="61">
        <v>1054.94</v>
      </c>
      <c r="L132" s="62">
        <v>929.97</v>
      </c>
      <c r="M132" s="64">
        <v>1033.3</v>
      </c>
      <c r="N132" s="17" t="str">
        <f t="shared" si="6"/>
        <v>708536 ASSOCIATED PKG/KY LOUISVILLE</v>
      </c>
      <c r="O132" s="17" t="str">
        <f t="shared" si="7"/>
        <v>708654 ORBIS CORPORATION</v>
      </c>
      <c r="P132" s="17" t="str">
        <f t="shared" ref="P132:P195" si="8">I132&amp;" ("&amp;H132&amp;")"</f>
        <v>HP 500 CLR-48mm x 50m-36 rls/cs-H/A (207831)</v>
      </c>
    </row>
    <row r="133" spans="1:16" x14ac:dyDescent="0.25">
      <c r="A133" s="60" t="s">
        <v>882</v>
      </c>
      <c r="B133" s="60" t="s">
        <v>883</v>
      </c>
      <c r="C133" s="60" t="s">
        <v>273</v>
      </c>
      <c r="D133" s="60" t="s">
        <v>108</v>
      </c>
      <c r="E133" s="60" t="s">
        <v>1645</v>
      </c>
      <c r="F133" s="60" t="s">
        <v>1646</v>
      </c>
      <c r="G133" s="60" t="s">
        <v>56</v>
      </c>
      <c r="H133" s="60" t="s">
        <v>239</v>
      </c>
      <c r="I133" s="60" t="s">
        <v>57</v>
      </c>
      <c r="J133" s="61">
        <v>2673</v>
      </c>
      <c r="K133" s="61"/>
      <c r="L133" s="65">
        <v>12398.4</v>
      </c>
      <c r="M133" s="64"/>
      <c r="N133" s="17" t="str">
        <f t="shared" si="6"/>
        <v>708536 ASSOCIATED PKG/KY LOUISVILLE</v>
      </c>
      <c r="O133" s="17" t="str">
        <f t="shared" si="7"/>
        <v>708660 EPW</v>
      </c>
      <c r="P133" s="17" t="str">
        <f t="shared" si="8"/>
        <v>AP 101 CLR-48mm x 100m-36 rls/cs-S (230982)</v>
      </c>
    </row>
    <row r="134" spans="1:16" x14ac:dyDescent="0.25">
      <c r="A134" s="60" t="s">
        <v>882</v>
      </c>
      <c r="B134" s="60" t="s">
        <v>883</v>
      </c>
      <c r="C134" s="60" t="s">
        <v>273</v>
      </c>
      <c r="D134" s="60" t="s">
        <v>108</v>
      </c>
      <c r="E134" s="60" t="s">
        <v>1349</v>
      </c>
      <c r="F134" s="60" t="s">
        <v>448</v>
      </c>
      <c r="G134" s="60" t="s">
        <v>23</v>
      </c>
      <c r="H134" s="60" t="s">
        <v>696</v>
      </c>
      <c r="I134" s="60" t="s">
        <v>697</v>
      </c>
      <c r="J134" s="61">
        <v>279.42</v>
      </c>
      <c r="K134" s="61"/>
      <c r="L134" s="62">
        <v>454.68</v>
      </c>
      <c r="M134" s="64"/>
      <c r="N134" s="17" t="str">
        <f t="shared" si="6"/>
        <v>708536 ASSOCIATED PKG/KY LOUISVILLE</v>
      </c>
      <c r="O134" s="17" t="str">
        <f t="shared" si="7"/>
        <v>708734 PARKER HANNIFIN CORP HVAC DIV</v>
      </c>
      <c r="P134" s="17" t="str">
        <f t="shared" si="8"/>
        <v>CP 105 NAT-72mm x 55m-16 rls/cs-H (113699)</v>
      </c>
    </row>
    <row r="135" spans="1:16" x14ac:dyDescent="0.25">
      <c r="A135" s="60" t="s">
        <v>882</v>
      </c>
      <c r="B135" s="60" t="s">
        <v>883</v>
      </c>
      <c r="C135" s="60" t="s">
        <v>273</v>
      </c>
      <c r="D135" s="60" t="s">
        <v>108</v>
      </c>
      <c r="E135" s="60" t="s">
        <v>1349</v>
      </c>
      <c r="F135" s="60" t="s">
        <v>448</v>
      </c>
      <c r="G135" s="60" t="s">
        <v>1350</v>
      </c>
      <c r="H135" s="60" t="s">
        <v>1351</v>
      </c>
      <c r="I135" s="60" t="s">
        <v>1352</v>
      </c>
      <c r="J135" s="61">
        <v>811.17</v>
      </c>
      <c r="K135" s="61">
        <v>892.43</v>
      </c>
      <c r="L135" s="62">
        <v>137.77600000000001</v>
      </c>
      <c r="M135" s="63">
        <v>137.77600000000001</v>
      </c>
      <c r="N135" s="17" t="str">
        <f t="shared" si="6"/>
        <v>708536 ASSOCIATED PKG/KY LOUISVILLE</v>
      </c>
      <c r="O135" s="17" t="str">
        <f t="shared" si="7"/>
        <v>708734 PARKER HANNIFIN CORP HVAC DIV</v>
      </c>
      <c r="P135" s="17" t="str">
        <f t="shared" si="8"/>
        <v>P- 628 BLK-48mm x 50m-24 RLS/CS-S (138775)</v>
      </c>
    </row>
    <row r="136" spans="1:16" x14ac:dyDescent="0.25">
      <c r="A136" s="60" t="s">
        <v>882</v>
      </c>
      <c r="B136" s="60" t="s">
        <v>883</v>
      </c>
      <c r="C136" s="60" t="s">
        <v>273</v>
      </c>
      <c r="D136" s="60" t="s">
        <v>108</v>
      </c>
      <c r="E136" s="60" t="s">
        <v>484</v>
      </c>
      <c r="F136" s="60" t="s">
        <v>485</v>
      </c>
      <c r="G136" s="60" t="s">
        <v>63</v>
      </c>
      <c r="H136" s="60" t="s">
        <v>269</v>
      </c>
      <c r="I136" s="60" t="s">
        <v>74</v>
      </c>
      <c r="J136" s="61">
        <v>2922.48</v>
      </c>
      <c r="K136" s="61">
        <v>2950.99</v>
      </c>
      <c r="L136" s="62">
        <v>12400.128000000001</v>
      </c>
      <c r="M136" s="63">
        <v>12400.128000000001</v>
      </c>
      <c r="N136" s="17" t="str">
        <f t="shared" si="6"/>
        <v>708536 ASSOCIATED PKG/KY LOUISVILLE</v>
      </c>
      <c r="O136" s="17" t="str">
        <f t="shared" si="7"/>
        <v>708795 KEHE DISTRIBUTORS</v>
      </c>
      <c r="P136" s="17" t="str">
        <f t="shared" si="8"/>
        <v>AP 180 CLR-72mm x 100m-24 rls/cs-H/A (231045)</v>
      </c>
    </row>
    <row r="137" spans="1:16" x14ac:dyDescent="0.25">
      <c r="A137" s="60" t="s">
        <v>882</v>
      </c>
      <c r="B137" s="60" t="s">
        <v>883</v>
      </c>
      <c r="C137" s="60" t="s">
        <v>273</v>
      </c>
      <c r="D137" s="60" t="s">
        <v>108</v>
      </c>
      <c r="E137" s="60" t="s">
        <v>484</v>
      </c>
      <c r="F137" s="60" t="s">
        <v>485</v>
      </c>
      <c r="G137" s="60" t="s">
        <v>18</v>
      </c>
      <c r="H137" s="60" t="s">
        <v>219</v>
      </c>
      <c r="I137" s="60" t="s">
        <v>60</v>
      </c>
      <c r="J137" s="61">
        <v>12573.79</v>
      </c>
      <c r="K137" s="61"/>
      <c r="L137" s="62">
        <v>49598.400000000001</v>
      </c>
      <c r="M137" s="64"/>
      <c r="N137" s="17" t="str">
        <f t="shared" si="6"/>
        <v>708536 ASSOCIATED PKG/KY LOUISVILLE</v>
      </c>
      <c r="O137" s="17" t="str">
        <f t="shared" si="7"/>
        <v>708795 KEHE DISTRIBUTORS</v>
      </c>
      <c r="P137" s="17" t="str">
        <f t="shared" si="8"/>
        <v>HP 200 CLR-72mm x 100m-24 rls/cs-S (207233)</v>
      </c>
    </row>
    <row r="138" spans="1:16" x14ac:dyDescent="0.25">
      <c r="A138" s="60" t="s">
        <v>882</v>
      </c>
      <c r="B138" s="60" t="s">
        <v>883</v>
      </c>
      <c r="C138" s="60" t="s">
        <v>273</v>
      </c>
      <c r="D138" s="60" t="s">
        <v>108</v>
      </c>
      <c r="E138" s="60" t="s">
        <v>484</v>
      </c>
      <c r="F138" s="60" t="s">
        <v>485</v>
      </c>
      <c r="G138" s="60" t="s">
        <v>70</v>
      </c>
      <c r="H138" s="60" t="s">
        <v>361</v>
      </c>
      <c r="I138" s="60" t="s">
        <v>362</v>
      </c>
      <c r="J138" s="61"/>
      <c r="K138" s="61">
        <v>3984.55</v>
      </c>
      <c r="L138" s="65"/>
      <c r="M138" s="64">
        <v>11334.24</v>
      </c>
      <c r="N138" s="17" t="str">
        <f t="shared" si="6"/>
        <v>708536 ASSOCIATED PKG/KY LOUISVILLE</v>
      </c>
      <c r="O138" s="17" t="str">
        <f t="shared" si="7"/>
        <v>708795 KEHE DISTRIBUTORS</v>
      </c>
      <c r="P138" s="17" t="str">
        <f t="shared" si="8"/>
        <v>HP 235 CLR-72mm x 914m-4 rls/cs-H (150721)</v>
      </c>
    </row>
    <row r="139" spans="1:16" x14ac:dyDescent="0.25">
      <c r="A139" s="60" t="s">
        <v>882</v>
      </c>
      <c r="B139" s="60" t="s">
        <v>883</v>
      </c>
      <c r="C139" s="60" t="s">
        <v>273</v>
      </c>
      <c r="D139" s="60" t="s">
        <v>108</v>
      </c>
      <c r="E139" s="60" t="s">
        <v>484</v>
      </c>
      <c r="F139" s="60" t="s">
        <v>485</v>
      </c>
      <c r="G139" s="60" t="s">
        <v>205</v>
      </c>
      <c r="H139" s="60" t="s">
        <v>231</v>
      </c>
      <c r="I139" s="60" t="s">
        <v>379</v>
      </c>
      <c r="J139" s="61">
        <v>195.78</v>
      </c>
      <c r="K139" s="61">
        <v>79.83</v>
      </c>
      <c r="L139" s="62">
        <v>0</v>
      </c>
      <c r="M139" s="64">
        <v>0</v>
      </c>
      <c r="N139" s="17" t="str">
        <f t="shared" si="6"/>
        <v>708536 ASSOCIATED PKG/KY LOUISVILLE</v>
      </c>
      <c r="O139" s="17" t="str">
        <f t="shared" si="7"/>
        <v>708795 KEHE DISTRIBUTORS</v>
      </c>
      <c r="P139" s="17" t="str">
        <f t="shared" si="8"/>
        <v>SD 935  PISTOL GRIP DISPNSR-3 IN. ROLL-S (909535)</v>
      </c>
    </row>
    <row r="140" spans="1:16" x14ac:dyDescent="0.25">
      <c r="A140" s="60" t="s">
        <v>882</v>
      </c>
      <c r="B140" s="60" t="s">
        <v>883</v>
      </c>
      <c r="C140" s="60" t="s">
        <v>273</v>
      </c>
      <c r="D140" s="60" t="s">
        <v>108</v>
      </c>
      <c r="E140" s="60" t="s">
        <v>543</v>
      </c>
      <c r="F140" s="60" t="s">
        <v>544</v>
      </c>
      <c r="G140" s="60" t="s">
        <v>21</v>
      </c>
      <c r="H140" s="60" t="s">
        <v>955</v>
      </c>
      <c r="I140" s="60" t="s">
        <v>956</v>
      </c>
      <c r="J140" s="61"/>
      <c r="K140" s="61">
        <v>166.8</v>
      </c>
      <c r="L140" s="62"/>
      <c r="M140" s="64">
        <v>227.32</v>
      </c>
      <c r="N140" s="17" t="str">
        <f t="shared" si="6"/>
        <v>708536 ASSOCIATED PKG/KY LOUISVILLE</v>
      </c>
      <c r="O140" s="17" t="str">
        <f t="shared" si="7"/>
        <v>710113 AMCOR FLEXIBLE SHELBYVILLE</v>
      </c>
      <c r="P140" s="17" t="str">
        <f t="shared" si="8"/>
        <v>CP 106 NAT-24mm x 55m-36 rls/cs-S (101006)</v>
      </c>
    </row>
    <row r="141" spans="1:16" x14ac:dyDescent="0.25">
      <c r="A141" s="60" t="s">
        <v>882</v>
      </c>
      <c r="B141" s="60" t="s">
        <v>883</v>
      </c>
      <c r="C141" s="60" t="s">
        <v>273</v>
      </c>
      <c r="D141" s="60" t="s">
        <v>108</v>
      </c>
      <c r="E141" s="60" t="s">
        <v>543</v>
      </c>
      <c r="F141" s="60" t="s">
        <v>544</v>
      </c>
      <c r="G141" s="60" t="s">
        <v>21</v>
      </c>
      <c r="H141" s="60" t="s">
        <v>225</v>
      </c>
      <c r="I141" s="60" t="s">
        <v>53</v>
      </c>
      <c r="J141" s="61">
        <v>401.07</v>
      </c>
      <c r="K141" s="61">
        <v>442.88</v>
      </c>
      <c r="L141" s="65">
        <v>606.24</v>
      </c>
      <c r="M141" s="64">
        <v>606.24</v>
      </c>
      <c r="N141" s="17" t="str">
        <f t="shared" si="6"/>
        <v>708536 ASSOCIATED PKG/KY LOUISVILLE</v>
      </c>
      <c r="O141" s="17" t="str">
        <f t="shared" si="7"/>
        <v>710113 AMCOR FLEXIBLE SHELBYVILLE</v>
      </c>
      <c r="P141" s="17" t="str">
        <f t="shared" si="8"/>
        <v>CP 106 NAT-48mm x 55m-24 rls/cs-S (101008)</v>
      </c>
    </row>
    <row r="142" spans="1:16" x14ac:dyDescent="0.25">
      <c r="A142" s="60" t="s">
        <v>882</v>
      </c>
      <c r="B142" s="60" t="s">
        <v>883</v>
      </c>
      <c r="C142" s="60" t="s">
        <v>273</v>
      </c>
      <c r="D142" s="60" t="s">
        <v>108</v>
      </c>
      <c r="E142" s="60" t="s">
        <v>543</v>
      </c>
      <c r="F142" s="60" t="s">
        <v>544</v>
      </c>
      <c r="G142" s="60" t="s">
        <v>65</v>
      </c>
      <c r="H142" s="60" t="s">
        <v>264</v>
      </c>
      <c r="I142" s="60" t="s">
        <v>66</v>
      </c>
      <c r="J142" s="61"/>
      <c r="K142" s="61">
        <v>179.16</v>
      </c>
      <c r="L142" s="62"/>
      <c r="M142" s="63">
        <v>151.56</v>
      </c>
      <c r="N142" s="17" t="str">
        <f t="shared" si="6"/>
        <v>708536 ASSOCIATED PKG/KY LOUISVILLE</v>
      </c>
      <c r="O142" s="17" t="str">
        <f t="shared" si="7"/>
        <v>710113 AMCOR FLEXIBLE SHELBYVILLE</v>
      </c>
      <c r="P142" s="17" t="str">
        <f t="shared" si="8"/>
        <v>FP 097 KFT-48mm x 55m-24 rls/cs-H/A (101072)</v>
      </c>
    </row>
    <row r="143" spans="1:16" x14ac:dyDescent="0.25">
      <c r="A143" s="60" t="s">
        <v>882</v>
      </c>
      <c r="B143" s="60" t="s">
        <v>883</v>
      </c>
      <c r="C143" s="60" t="s">
        <v>273</v>
      </c>
      <c r="D143" s="60" t="s">
        <v>108</v>
      </c>
      <c r="E143" s="60" t="s">
        <v>543</v>
      </c>
      <c r="F143" s="60" t="s">
        <v>544</v>
      </c>
      <c r="G143" s="60" t="s">
        <v>18</v>
      </c>
      <c r="H143" s="60" t="s">
        <v>215</v>
      </c>
      <c r="I143" s="60" t="s">
        <v>50</v>
      </c>
      <c r="J143" s="61"/>
      <c r="K143" s="61">
        <v>468.31</v>
      </c>
      <c r="L143" s="62"/>
      <c r="M143" s="63">
        <v>1859.94</v>
      </c>
      <c r="N143" s="17" t="str">
        <f t="shared" si="6"/>
        <v>708536 ASSOCIATED PKG/KY LOUISVILLE</v>
      </c>
      <c r="O143" s="17" t="str">
        <f t="shared" si="7"/>
        <v>710113 AMCOR FLEXIBLE SHELBYVILLE</v>
      </c>
      <c r="P143" s="17" t="str">
        <f t="shared" si="8"/>
        <v>HP 200 CLR-48mm x 100m-36 rls/cs-S (207149)</v>
      </c>
    </row>
    <row r="144" spans="1:16" x14ac:dyDescent="0.25">
      <c r="A144" s="60" t="s">
        <v>882</v>
      </c>
      <c r="B144" s="60" t="s">
        <v>883</v>
      </c>
      <c r="C144" s="60" t="s">
        <v>273</v>
      </c>
      <c r="D144" s="60" t="s">
        <v>108</v>
      </c>
      <c r="E144" s="60" t="s">
        <v>486</v>
      </c>
      <c r="F144" s="60" t="s">
        <v>487</v>
      </c>
      <c r="G144" s="60" t="s">
        <v>18</v>
      </c>
      <c r="H144" s="60" t="s">
        <v>257</v>
      </c>
      <c r="I144" s="60" t="s">
        <v>85</v>
      </c>
      <c r="J144" s="61"/>
      <c r="K144" s="61">
        <v>9785.32</v>
      </c>
      <c r="L144" s="62"/>
      <c r="M144" s="63">
        <v>37200.239999999998</v>
      </c>
      <c r="N144" s="17" t="str">
        <f t="shared" si="6"/>
        <v>708536 ASSOCIATED PKG/KY LOUISVILLE</v>
      </c>
      <c r="O144" s="17" t="str">
        <f t="shared" si="7"/>
        <v>710544 MAPLEHURST BAKERY</v>
      </c>
      <c r="P144" s="17" t="str">
        <f t="shared" si="8"/>
        <v>HP 200 CLR-48mm x 1500m-6 rls/cs-H (101428)</v>
      </c>
    </row>
    <row r="145" spans="1:16" x14ac:dyDescent="0.25">
      <c r="A145" s="60" t="s">
        <v>882</v>
      </c>
      <c r="B145" s="60" t="s">
        <v>883</v>
      </c>
      <c r="C145" s="60" t="s">
        <v>273</v>
      </c>
      <c r="D145" s="60" t="s">
        <v>108</v>
      </c>
      <c r="E145" s="60" t="s">
        <v>486</v>
      </c>
      <c r="F145" s="60" t="s">
        <v>487</v>
      </c>
      <c r="G145" s="60" t="s">
        <v>18</v>
      </c>
      <c r="H145" s="60" t="s">
        <v>215</v>
      </c>
      <c r="I145" s="60" t="s">
        <v>50</v>
      </c>
      <c r="J145" s="61">
        <v>2993.76</v>
      </c>
      <c r="K145" s="61"/>
      <c r="L145" s="62">
        <v>12399.6</v>
      </c>
      <c r="M145" s="64"/>
      <c r="N145" s="17" t="str">
        <f t="shared" si="6"/>
        <v>708536 ASSOCIATED PKG/KY LOUISVILLE</v>
      </c>
      <c r="O145" s="17" t="str">
        <f t="shared" si="7"/>
        <v>710544 MAPLEHURST BAKERY</v>
      </c>
      <c r="P145" s="17" t="str">
        <f t="shared" si="8"/>
        <v>HP 200 CLR-48mm x 100m-36 rls/cs-S (207149)</v>
      </c>
    </row>
    <row r="146" spans="1:16" x14ac:dyDescent="0.25">
      <c r="A146" s="60" t="s">
        <v>882</v>
      </c>
      <c r="B146" s="60" t="s">
        <v>883</v>
      </c>
      <c r="C146" s="60" t="s">
        <v>273</v>
      </c>
      <c r="D146" s="60" t="s">
        <v>108</v>
      </c>
      <c r="E146" s="60" t="s">
        <v>486</v>
      </c>
      <c r="F146" s="60" t="s">
        <v>487</v>
      </c>
      <c r="G146" s="60" t="s">
        <v>18</v>
      </c>
      <c r="H146" s="60" t="s">
        <v>213</v>
      </c>
      <c r="I146" s="60" t="s">
        <v>157</v>
      </c>
      <c r="J146" s="61">
        <v>5250.48</v>
      </c>
      <c r="K146" s="61"/>
      <c r="L146" s="62">
        <v>21722.58</v>
      </c>
      <c r="M146" s="63"/>
      <c r="N146" s="17" t="str">
        <f t="shared" si="6"/>
        <v>708536 ASSOCIATED PKG/KY LOUISVILLE</v>
      </c>
      <c r="O146" s="17" t="str">
        <f t="shared" si="7"/>
        <v>710544 MAPLEHURST BAKERY</v>
      </c>
      <c r="P146" s="17" t="str">
        <f t="shared" si="8"/>
        <v>HP 200 CLR-48mm x 1371m-6 rls/cs-S (208511)</v>
      </c>
    </row>
    <row r="147" spans="1:16" x14ac:dyDescent="0.25">
      <c r="A147" s="60" t="s">
        <v>882</v>
      </c>
      <c r="B147" s="60" t="s">
        <v>883</v>
      </c>
      <c r="C147" s="60" t="s">
        <v>273</v>
      </c>
      <c r="D147" s="60" t="s">
        <v>108</v>
      </c>
      <c r="E147" s="60" t="s">
        <v>279</v>
      </c>
      <c r="F147" s="60" t="s">
        <v>106</v>
      </c>
      <c r="G147" s="60" t="s">
        <v>19</v>
      </c>
      <c r="H147" s="60" t="s">
        <v>221</v>
      </c>
      <c r="I147" s="60" t="s">
        <v>145</v>
      </c>
      <c r="J147" s="61">
        <v>16726.55</v>
      </c>
      <c r="K147" s="61"/>
      <c r="L147" s="62">
        <v>68001.119999999995</v>
      </c>
      <c r="M147" s="63"/>
      <c r="N147" s="17" t="str">
        <f t="shared" si="6"/>
        <v>708536 ASSOCIATED PKG/KY LOUISVILLE</v>
      </c>
      <c r="O147" s="17" t="str">
        <f t="shared" si="7"/>
        <v>711137 GLOBAL HARVEST FOODS</v>
      </c>
      <c r="P147" s="17" t="str">
        <f t="shared" si="8"/>
        <v>HP 100 CLR-48mm x 1371m-6 rls/cs- S (208470)</v>
      </c>
    </row>
    <row r="148" spans="1:16" x14ac:dyDescent="0.25">
      <c r="A148" s="60" t="s">
        <v>882</v>
      </c>
      <c r="B148" s="60" t="s">
        <v>883</v>
      </c>
      <c r="C148" s="60" t="s">
        <v>273</v>
      </c>
      <c r="D148" s="60" t="s">
        <v>108</v>
      </c>
      <c r="E148" s="60" t="s">
        <v>279</v>
      </c>
      <c r="F148" s="60" t="s">
        <v>106</v>
      </c>
      <c r="G148" s="60" t="s">
        <v>18</v>
      </c>
      <c r="H148" s="60" t="s">
        <v>215</v>
      </c>
      <c r="I148" s="60" t="s">
        <v>50</v>
      </c>
      <c r="J148" s="61">
        <v>798.34</v>
      </c>
      <c r="K148" s="61">
        <v>2543.27</v>
      </c>
      <c r="L148" s="65">
        <v>3306.56</v>
      </c>
      <c r="M148" s="64">
        <v>9919.68</v>
      </c>
      <c r="N148" s="17" t="str">
        <f t="shared" si="6"/>
        <v>708536 ASSOCIATED PKG/KY LOUISVILLE</v>
      </c>
      <c r="O148" s="17" t="str">
        <f t="shared" si="7"/>
        <v>711137 GLOBAL HARVEST FOODS</v>
      </c>
      <c r="P148" s="17" t="str">
        <f t="shared" si="8"/>
        <v>HP 200 CLR-48mm x 100m-36 rls/cs-S (207149)</v>
      </c>
    </row>
    <row r="149" spans="1:16" x14ac:dyDescent="0.25">
      <c r="A149" s="60" t="s">
        <v>882</v>
      </c>
      <c r="B149" s="60" t="s">
        <v>883</v>
      </c>
      <c r="C149" s="60" t="s">
        <v>273</v>
      </c>
      <c r="D149" s="60" t="s">
        <v>108</v>
      </c>
      <c r="E149" s="60" t="s">
        <v>279</v>
      </c>
      <c r="F149" s="60" t="s">
        <v>106</v>
      </c>
      <c r="G149" s="60" t="s">
        <v>18</v>
      </c>
      <c r="H149" s="60" t="s">
        <v>214</v>
      </c>
      <c r="I149" s="60" t="s">
        <v>158</v>
      </c>
      <c r="J149" s="61"/>
      <c r="K149" s="61">
        <v>27858.85</v>
      </c>
      <c r="L149" s="62"/>
      <c r="M149" s="64">
        <v>96334.92</v>
      </c>
      <c r="N149" s="17" t="str">
        <f t="shared" si="6"/>
        <v>708536 ASSOCIATED PKG/KY LOUISVILLE</v>
      </c>
      <c r="O149" s="17" t="str">
        <f t="shared" si="7"/>
        <v>711137 GLOBAL HARVEST FOODS</v>
      </c>
      <c r="P149" s="17" t="str">
        <f t="shared" si="8"/>
        <v>HP 200 CLR-72mm x 914m-4 rls/cs-S (208496)</v>
      </c>
    </row>
    <row r="150" spans="1:16" x14ac:dyDescent="0.25">
      <c r="A150" s="60" t="s">
        <v>882</v>
      </c>
      <c r="B150" s="60" t="s">
        <v>883</v>
      </c>
      <c r="C150" s="60" t="s">
        <v>273</v>
      </c>
      <c r="D150" s="60" t="s">
        <v>108</v>
      </c>
      <c r="E150" s="60" t="s">
        <v>279</v>
      </c>
      <c r="F150" s="60" t="s">
        <v>106</v>
      </c>
      <c r="G150" s="60" t="s">
        <v>18</v>
      </c>
      <c r="H150" s="60" t="s">
        <v>213</v>
      </c>
      <c r="I150" s="60" t="s">
        <v>157</v>
      </c>
      <c r="J150" s="61"/>
      <c r="K150" s="61">
        <v>1190.97</v>
      </c>
      <c r="L150" s="65"/>
      <c r="M150" s="64">
        <v>4722.3</v>
      </c>
      <c r="N150" s="17" t="str">
        <f t="shared" si="6"/>
        <v>708536 ASSOCIATED PKG/KY LOUISVILLE</v>
      </c>
      <c r="O150" s="17" t="str">
        <f t="shared" si="7"/>
        <v>711137 GLOBAL HARVEST FOODS</v>
      </c>
      <c r="P150" s="17" t="str">
        <f t="shared" si="8"/>
        <v>HP 200 CLR-48mm x 1371m-6 rls/cs-S (208511)</v>
      </c>
    </row>
    <row r="151" spans="1:16" x14ac:dyDescent="0.25">
      <c r="A151" s="60" t="s">
        <v>882</v>
      </c>
      <c r="B151" s="60" t="s">
        <v>883</v>
      </c>
      <c r="C151" s="60" t="s">
        <v>273</v>
      </c>
      <c r="D151" s="60" t="s">
        <v>108</v>
      </c>
      <c r="E151" s="60" t="s">
        <v>957</v>
      </c>
      <c r="F151" s="60" t="s">
        <v>958</v>
      </c>
      <c r="G151" s="60" t="s">
        <v>61</v>
      </c>
      <c r="H151" s="60" t="s">
        <v>306</v>
      </c>
      <c r="I151" s="60" t="s">
        <v>160</v>
      </c>
      <c r="J151" s="61">
        <v>12226.9</v>
      </c>
      <c r="K151" s="61">
        <v>15405.98</v>
      </c>
      <c r="L151" s="62">
        <v>12592.923000000001</v>
      </c>
      <c r="M151" s="63">
        <v>15111.508</v>
      </c>
      <c r="N151" s="17" t="str">
        <f t="shared" si="6"/>
        <v>708536 ASSOCIATED PKG/KY LOUISVILLE</v>
      </c>
      <c r="O151" s="17" t="str">
        <f t="shared" si="7"/>
        <v>713453 AAK USA LLC</v>
      </c>
      <c r="P151" s="17" t="str">
        <f t="shared" si="8"/>
        <v>HP 500 CLR-72mm x 914m-4 rls/cs-S (208571)</v>
      </c>
    </row>
    <row r="152" spans="1:16" x14ac:dyDescent="0.25">
      <c r="A152" s="60" t="s">
        <v>882</v>
      </c>
      <c r="B152" s="60" t="s">
        <v>883</v>
      </c>
      <c r="C152" s="60" t="s">
        <v>273</v>
      </c>
      <c r="D152" s="60" t="s">
        <v>108</v>
      </c>
      <c r="E152" s="60" t="s">
        <v>280</v>
      </c>
      <c r="F152" s="60" t="s">
        <v>448</v>
      </c>
      <c r="G152" s="60" t="s">
        <v>20</v>
      </c>
      <c r="H152" s="60" t="s">
        <v>270</v>
      </c>
      <c r="I152" s="60" t="s">
        <v>101</v>
      </c>
      <c r="J152" s="61">
        <v>579.74</v>
      </c>
      <c r="K152" s="61"/>
      <c r="L152" s="65">
        <v>757.8</v>
      </c>
      <c r="M152" s="64"/>
      <c r="N152" s="17" t="str">
        <f t="shared" si="6"/>
        <v>708536 ASSOCIATED PKG/KY LOUISVILLE</v>
      </c>
      <c r="O152" s="17" t="str">
        <f t="shared" si="7"/>
        <v>714666 PARKER HANNIFIN CORP HVAC DIV</v>
      </c>
      <c r="P152" s="17" t="str">
        <f t="shared" si="8"/>
        <v>CP 083 NAT-48mm x 55m-24 rls/cs-S (101536)</v>
      </c>
    </row>
    <row r="153" spans="1:16" x14ac:dyDescent="0.25">
      <c r="A153" s="60" t="s">
        <v>882</v>
      </c>
      <c r="B153" s="60" t="s">
        <v>883</v>
      </c>
      <c r="C153" s="60" t="s">
        <v>273</v>
      </c>
      <c r="D153" s="60" t="s">
        <v>108</v>
      </c>
      <c r="E153" s="60" t="s">
        <v>280</v>
      </c>
      <c r="F153" s="60" t="s">
        <v>448</v>
      </c>
      <c r="G153" s="60" t="s">
        <v>18</v>
      </c>
      <c r="H153" s="60" t="s">
        <v>724</v>
      </c>
      <c r="I153" s="60" t="s">
        <v>725</v>
      </c>
      <c r="J153" s="61">
        <v>330.74</v>
      </c>
      <c r="K153" s="61">
        <v>260.88</v>
      </c>
      <c r="L153" s="62">
        <v>826.68</v>
      </c>
      <c r="M153" s="63">
        <v>620.01</v>
      </c>
      <c r="N153" s="17" t="str">
        <f t="shared" si="6"/>
        <v>708536 ASSOCIATED PKG/KY LOUISVILLE</v>
      </c>
      <c r="O153" s="17" t="str">
        <f t="shared" si="7"/>
        <v>714666 PARKER HANNIFIN CORP HVAC DIV</v>
      </c>
      <c r="P153" s="17" t="str">
        <f t="shared" si="8"/>
        <v>HP 200 WHI-48mm x 100m-36 rls/cs-H (120887)</v>
      </c>
    </row>
    <row r="154" spans="1:16" x14ac:dyDescent="0.25">
      <c r="A154" s="60" t="s">
        <v>882</v>
      </c>
      <c r="B154" s="60" t="s">
        <v>883</v>
      </c>
      <c r="C154" s="60" t="s">
        <v>273</v>
      </c>
      <c r="D154" s="60" t="s">
        <v>108</v>
      </c>
      <c r="E154" s="60" t="s">
        <v>959</v>
      </c>
      <c r="F154" s="60" t="s">
        <v>960</v>
      </c>
      <c r="G154" s="60" t="s">
        <v>19</v>
      </c>
      <c r="H154" s="60" t="s">
        <v>243</v>
      </c>
      <c r="I154" s="60" t="s">
        <v>87</v>
      </c>
      <c r="J154" s="61">
        <v>8331.2099999999991</v>
      </c>
      <c r="K154" s="61"/>
      <c r="L154" s="62">
        <v>30222.720000000001</v>
      </c>
      <c r="M154" s="64"/>
      <c r="N154" s="17" t="str">
        <f t="shared" si="6"/>
        <v>708536 ASSOCIATED PKG/KY LOUISVILLE</v>
      </c>
      <c r="O154" s="17" t="str">
        <f t="shared" si="7"/>
        <v>716771 GENPAK</v>
      </c>
      <c r="P154" s="17" t="str">
        <f t="shared" si="8"/>
        <v>HP 100 CLR-48mm x 914m-6 rls/cs-S (208453)</v>
      </c>
    </row>
    <row r="155" spans="1:16" x14ac:dyDescent="0.25">
      <c r="A155" s="60" t="s">
        <v>882</v>
      </c>
      <c r="B155" s="60" t="s">
        <v>883</v>
      </c>
      <c r="C155" s="60" t="s">
        <v>273</v>
      </c>
      <c r="D155" s="60" t="s">
        <v>108</v>
      </c>
      <c r="E155" s="60" t="s">
        <v>961</v>
      </c>
      <c r="F155" s="60" t="s">
        <v>490</v>
      </c>
      <c r="G155" s="60" t="s">
        <v>18</v>
      </c>
      <c r="H155" s="60" t="s">
        <v>257</v>
      </c>
      <c r="I155" s="60" t="s">
        <v>85</v>
      </c>
      <c r="J155" s="61">
        <v>13978.72</v>
      </c>
      <c r="K155" s="61">
        <v>39141.269999999997</v>
      </c>
      <c r="L155" s="62">
        <v>55800.36</v>
      </c>
      <c r="M155" s="63">
        <v>148800.95999999999</v>
      </c>
      <c r="N155" s="17" t="str">
        <f t="shared" si="6"/>
        <v>708536 ASSOCIATED PKG/KY LOUISVILLE</v>
      </c>
      <c r="O155" s="17" t="str">
        <f t="shared" si="7"/>
        <v>717853 MAPLEHURST BAKERIES</v>
      </c>
      <c r="P155" s="17" t="str">
        <f t="shared" si="8"/>
        <v>HP 200 CLR-48mm x 1500m-6 rls/cs-H (101428)</v>
      </c>
    </row>
    <row r="156" spans="1:16" x14ac:dyDescent="0.25">
      <c r="A156" s="60" t="s">
        <v>882</v>
      </c>
      <c r="B156" s="60" t="s">
        <v>883</v>
      </c>
      <c r="C156" s="60" t="s">
        <v>273</v>
      </c>
      <c r="D156" s="60" t="s">
        <v>108</v>
      </c>
      <c r="E156" s="60" t="s">
        <v>961</v>
      </c>
      <c r="F156" s="60" t="s">
        <v>490</v>
      </c>
      <c r="G156" s="60" t="s">
        <v>18</v>
      </c>
      <c r="H156" s="60" t="s">
        <v>215</v>
      </c>
      <c r="I156" s="60" t="s">
        <v>50</v>
      </c>
      <c r="J156" s="61"/>
      <c r="K156" s="61">
        <v>1040.69</v>
      </c>
      <c r="L156" s="65"/>
      <c r="M156" s="64">
        <v>4133.2</v>
      </c>
      <c r="N156" s="17" t="str">
        <f t="shared" si="6"/>
        <v>708536 ASSOCIATED PKG/KY LOUISVILLE</v>
      </c>
      <c r="O156" s="17" t="str">
        <f t="shared" si="7"/>
        <v>717853 MAPLEHURST BAKERIES</v>
      </c>
      <c r="P156" s="17" t="str">
        <f t="shared" si="8"/>
        <v>HP 200 CLR-48mm x 100m-36 rls/cs-S (207149)</v>
      </c>
    </row>
    <row r="157" spans="1:16" x14ac:dyDescent="0.25">
      <c r="A157" s="60" t="s">
        <v>882</v>
      </c>
      <c r="B157" s="60" t="s">
        <v>883</v>
      </c>
      <c r="C157" s="60" t="s">
        <v>273</v>
      </c>
      <c r="D157" s="60" t="s">
        <v>108</v>
      </c>
      <c r="E157" s="60" t="s">
        <v>962</v>
      </c>
      <c r="F157" s="60" t="s">
        <v>963</v>
      </c>
      <c r="G157" s="60" t="s">
        <v>18</v>
      </c>
      <c r="H157" s="60" t="s">
        <v>215</v>
      </c>
      <c r="I157" s="60" t="s">
        <v>50</v>
      </c>
      <c r="J157" s="61">
        <v>3143.45</v>
      </c>
      <c r="K157" s="61"/>
      <c r="L157" s="62">
        <v>12399.6</v>
      </c>
      <c r="M157" s="64"/>
      <c r="N157" s="17" t="str">
        <f t="shared" si="6"/>
        <v>708536 ASSOCIATED PKG/KY LOUISVILLE</v>
      </c>
      <c r="O157" s="17" t="str">
        <f t="shared" si="7"/>
        <v>717862 PARKER COMMERCIAL STORAGE &amp; DI</v>
      </c>
      <c r="P157" s="17" t="str">
        <f t="shared" si="8"/>
        <v>HP 200 CLR-48mm x 100m-36 rls/cs-S (207149)</v>
      </c>
    </row>
    <row r="158" spans="1:16" x14ac:dyDescent="0.25">
      <c r="A158" s="60" t="s">
        <v>882</v>
      </c>
      <c r="B158" s="60" t="s">
        <v>883</v>
      </c>
      <c r="C158" s="60" t="s">
        <v>273</v>
      </c>
      <c r="D158" s="60" t="s">
        <v>108</v>
      </c>
      <c r="E158" s="60" t="s">
        <v>1353</v>
      </c>
      <c r="F158" s="60" t="s">
        <v>1133</v>
      </c>
      <c r="G158" s="60" t="s">
        <v>1354</v>
      </c>
      <c r="H158" s="60" t="s">
        <v>1355</v>
      </c>
      <c r="I158" s="60" t="s">
        <v>1356</v>
      </c>
      <c r="J158" s="61">
        <v>168.93</v>
      </c>
      <c r="K158" s="61"/>
      <c r="L158" s="62">
        <v>68.89</v>
      </c>
      <c r="M158" s="63"/>
      <c r="N158" s="17" t="str">
        <f t="shared" si="6"/>
        <v>708536 ASSOCIATED PKG/KY LOUISVILLE</v>
      </c>
      <c r="O158" s="17" t="str">
        <f t="shared" si="7"/>
        <v>718089 INTERNATIONAL PAPER</v>
      </c>
      <c r="P158" s="17" t="str">
        <f t="shared" si="8"/>
        <v>DP 380 GLA-48mm x 50m-24 rls/cs-H (232259)</v>
      </c>
    </row>
    <row r="159" spans="1:16" x14ac:dyDescent="0.25">
      <c r="A159" s="60" t="s">
        <v>882</v>
      </c>
      <c r="B159" s="60" t="s">
        <v>883</v>
      </c>
      <c r="C159" s="60" t="s">
        <v>273</v>
      </c>
      <c r="D159" s="60" t="s">
        <v>108</v>
      </c>
      <c r="E159" s="60" t="s">
        <v>964</v>
      </c>
      <c r="F159" s="60" t="s">
        <v>965</v>
      </c>
      <c r="G159" s="60" t="s">
        <v>19</v>
      </c>
      <c r="H159" s="60" t="s">
        <v>233</v>
      </c>
      <c r="I159" s="60" t="s">
        <v>49</v>
      </c>
      <c r="J159" s="61">
        <v>1193.22</v>
      </c>
      <c r="K159" s="61"/>
      <c r="L159" s="62">
        <v>4959.84</v>
      </c>
      <c r="M159" s="63"/>
      <c r="N159" s="17" t="str">
        <f t="shared" si="6"/>
        <v>708536 ASSOCIATED PKG/KY LOUISVILLE</v>
      </c>
      <c r="O159" s="17" t="str">
        <f t="shared" si="7"/>
        <v>719150 T MARZETTI COMPANY</v>
      </c>
      <c r="P159" s="17" t="str">
        <f t="shared" si="8"/>
        <v>HP 100 CLR-48mm x 100m-36 rls/cs-S (207142)</v>
      </c>
    </row>
    <row r="160" spans="1:16" x14ac:dyDescent="0.25">
      <c r="A160" s="60" t="s">
        <v>882</v>
      </c>
      <c r="B160" s="60" t="s">
        <v>883</v>
      </c>
      <c r="C160" s="60" t="s">
        <v>273</v>
      </c>
      <c r="D160" s="60" t="s">
        <v>108</v>
      </c>
      <c r="E160" s="60" t="s">
        <v>726</v>
      </c>
      <c r="F160" s="60" t="s">
        <v>727</v>
      </c>
      <c r="G160" s="60" t="s">
        <v>19</v>
      </c>
      <c r="H160" s="60" t="s">
        <v>222</v>
      </c>
      <c r="I160" s="60" t="s">
        <v>104</v>
      </c>
      <c r="J160" s="61">
        <v>22709.8</v>
      </c>
      <c r="K160" s="61">
        <v>16229.51</v>
      </c>
      <c r="L160" s="62">
        <v>82149.983999999997</v>
      </c>
      <c r="M160" s="63">
        <v>55907.627999999997</v>
      </c>
      <c r="N160" s="17" t="str">
        <f t="shared" si="6"/>
        <v>708536 ASSOCIATED PKG/KY LOUISVILLE</v>
      </c>
      <c r="O160" s="17" t="str">
        <f t="shared" si="7"/>
        <v>719905 PROXIMO DISTILLERS</v>
      </c>
      <c r="P160" s="17" t="str">
        <f t="shared" si="8"/>
        <v>HP 100 CLR-53mm x 1500m-6 rls/cs-S (195553)</v>
      </c>
    </row>
    <row r="161" spans="1:16" x14ac:dyDescent="0.25">
      <c r="A161" s="60" t="s">
        <v>882</v>
      </c>
      <c r="B161" s="60" t="s">
        <v>883</v>
      </c>
      <c r="C161" s="60" t="s">
        <v>273</v>
      </c>
      <c r="D161" s="60" t="s">
        <v>108</v>
      </c>
      <c r="E161" s="60" t="s">
        <v>726</v>
      </c>
      <c r="F161" s="60" t="s">
        <v>727</v>
      </c>
      <c r="G161" s="60" t="s">
        <v>18</v>
      </c>
      <c r="H161" s="60" t="s">
        <v>218</v>
      </c>
      <c r="I161" s="60" t="s">
        <v>82</v>
      </c>
      <c r="J161" s="61"/>
      <c r="K161" s="61">
        <v>1725.57</v>
      </c>
      <c r="L161" s="62"/>
      <c r="M161" s="63">
        <v>3148.2</v>
      </c>
      <c r="N161" s="17" t="str">
        <f t="shared" si="6"/>
        <v>708536 ASSOCIATED PKG/KY LOUISVILLE</v>
      </c>
      <c r="O161" s="17" t="str">
        <f t="shared" si="7"/>
        <v>719905 PROXIMO DISTILLERS</v>
      </c>
      <c r="P161" s="17" t="str">
        <f t="shared" si="8"/>
        <v>HP 200 ORG-48mm x 914m-6 rls/cs-H (136221)</v>
      </c>
    </row>
    <row r="162" spans="1:16" x14ac:dyDescent="0.25">
      <c r="A162" s="60" t="s">
        <v>882</v>
      </c>
      <c r="B162" s="60" t="s">
        <v>883</v>
      </c>
      <c r="C162" s="60" t="s">
        <v>273</v>
      </c>
      <c r="D162" s="60" t="s">
        <v>108</v>
      </c>
      <c r="E162" s="60" t="s">
        <v>495</v>
      </c>
      <c r="F162" s="60" t="s">
        <v>490</v>
      </c>
      <c r="G162" s="60" t="s">
        <v>18</v>
      </c>
      <c r="H162" s="60" t="s">
        <v>257</v>
      </c>
      <c r="I162" s="60" t="s">
        <v>85</v>
      </c>
      <c r="J162" s="61">
        <v>44371.8</v>
      </c>
      <c r="K162" s="61">
        <v>39141.279999999999</v>
      </c>
      <c r="L162" s="62">
        <v>186001.2</v>
      </c>
      <c r="M162" s="63">
        <v>148800.95999999999</v>
      </c>
      <c r="N162" s="17" t="str">
        <f t="shared" si="6"/>
        <v>708536 ASSOCIATED PKG/KY LOUISVILLE</v>
      </c>
      <c r="O162" s="17" t="str">
        <f t="shared" si="7"/>
        <v>720956 MAPLEHURST BAKERIES</v>
      </c>
      <c r="P162" s="17" t="str">
        <f t="shared" si="8"/>
        <v>HP 200 CLR-48mm x 1500m-6 rls/cs-H (101428)</v>
      </c>
    </row>
    <row r="163" spans="1:16" x14ac:dyDescent="0.25">
      <c r="A163" s="60" t="s">
        <v>882</v>
      </c>
      <c r="B163" s="60" t="s">
        <v>883</v>
      </c>
      <c r="C163" s="60" t="s">
        <v>273</v>
      </c>
      <c r="D163" s="60" t="s">
        <v>108</v>
      </c>
      <c r="E163" s="60" t="s">
        <v>966</v>
      </c>
      <c r="F163" s="60" t="s">
        <v>967</v>
      </c>
      <c r="G163" s="60" t="s">
        <v>968</v>
      </c>
      <c r="H163" s="60" t="s">
        <v>969</v>
      </c>
      <c r="I163" s="60" t="s">
        <v>970</v>
      </c>
      <c r="J163" s="61">
        <v>2548.2600000000002</v>
      </c>
      <c r="K163" s="61"/>
      <c r="L163" s="62">
        <v>2954.25</v>
      </c>
      <c r="M163" s="63"/>
      <c r="N163" s="17" t="str">
        <f t="shared" si="6"/>
        <v>708536 ASSOCIATED PKG/KY LOUISVILLE</v>
      </c>
      <c r="O163" s="17" t="str">
        <f t="shared" si="7"/>
        <v>721175 AMERICAN AIR FILTER</v>
      </c>
      <c r="P163" s="17" t="str">
        <f t="shared" si="8"/>
        <v>CP 107 NAT-48mm x 55m-24 rls/cs-H/A (100466)</v>
      </c>
    </row>
    <row r="164" spans="1:16" x14ac:dyDescent="0.25">
      <c r="A164" s="60" t="s">
        <v>882</v>
      </c>
      <c r="B164" s="60" t="s">
        <v>883</v>
      </c>
      <c r="C164" s="60" t="s">
        <v>273</v>
      </c>
      <c r="D164" s="60" t="s">
        <v>108</v>
      </c>
      <c r="E164" s="60" t="s">
        <v>966</v>
      </c>
      <c r="F164" s="60" t="s">
        <v>967</v>
      </c>
      <c r="G164" s="60" t="s">
        <v>1647</v>
      </c>
      <c r="H164" s="60" t="s">
        <v>1648</v>
      </c>
      <c r="I164" s="60" t="s">
        <v>1649</v>
      </c>
      <c r="J164" s="61"/>
      <c r="K164" s="61">
        <v>830.77</v>
      </c>
      <c r="L164" s="62"/>
      <c r="M164" s="64">
        <v>511.47</v>
      </c>
      <c r="N164" s="17" t="str">
        <f t="shared" si="6"/>
        <v>708536 ASSOCIATED PKG/KY LOUISVILLE</v>
      </c>
      <c r="O164" s="17" t="str">
        <f t="shared" si="7"/>
        <v>721175 AMERICAN AIR FILTER</v>
      </c>
      <c r="P164" s="17" t="str">
        <f t="shared" si="8"/>
        <v>CP 500 NAT-24mm x 55m-36 rls/cs-H (188481)</v>
      </c>
    </row>
    <row r="165" spans="1:16" x14ac:dyDescent="0.25">
      <c r="A165" s="60" t="s">
        <v>882</v>
      </c>
      <c r="B165" s="60" t="s">
        <v>883</v>
      </c>
      <c r="C165" s="60" t="s">
        <v>273</v>
      </c>
      <c r="D165" s="60" t="s">
        <v>108</v>
      </c>
      <c r="E165" s="60" t="s">
        <v>1650</v>
      </c>
      <c r="F165" s="60" t="s">
        <v>1651</v>
      </c>
      <c r="G165" s="60" t="s">
        <v>55</v>
      </c>
      <c r="H165" s="60" t="s">
        <v>226</v>
      </c>
      <c r="I165" s="60" t="s">
        <v>98</v>
      </c>
      <c r="J165" s="61">
        <v>320.76</v>
      </c>
      <c r="K165" s="61"/>
      <c r="L165" s="62">
        <v>1033.2</v>
      </c>
      <c r="M165" s="63"/>
      <c r="N165" s="17" t="str">
        <f t="shared" si="6"/>
        <v>708536 ASSOCIATED PKG/KY LOUISVILLE</v>
      </c>
      <c r="O165" s="17" t="str">
        <f t="shared" si="7"/>
        <v>724093 WINKLER INC</v>
      </c>
      <c r="P165" s="17" t="str">
        <f t="shared" si="8"/>
        <v>AP 201 CLR-48mm x 100m-36 rls/cs-H/A (230962)</v>
      </c>
    </row>
    <row r="166" spans="1:16" x14ac:dyDescent="0.25">
      <c r="A166" s="60" t="s">
        <v>882</v>
      </c>
      <c r="B166" s="60" t="s">
        <v>883</v>
      </c>
      <c r="C166" s="60" t="s">
        <v>273</v>
      </c>
      <c r="D166" s="60" t="s">
        <v>108</v>
      </c>
      <c r="E166" s="60" t="s">
        <v>1652</v>
      </c>
      <c r="F166" s="60" t="s">
        <v>1653</v>
      </c>
      <c r="G166" s="60" t="s">
        <v>18</v>
      </c>
      <c r="H166" s="60" t="s">
        <v>213</v>
      </c>
      <c r="I166" s="60" t="s">
        <v>157</v>
      </c>
      <c r="J166" s="61">
        <v>4298.18</v>
      </c>
      <c r="K166" s="61"/>
      <c r="L166" s="65">
        <v>17000.28</v>
      </c>
      <c r="M166" s="64"/>
      <c r="N166" s="17" t="str">
        <f t="shared" si="6"/>
        <v>708536 ASSOCIATED PKG/KY LOUISVILLE</v>
      </c>
      <c r="O166" s="17" t="str">
        <f t="shared" si="7"/>
        <v>724344 RAGE CORPORATION</v>
      </c>
      <c r="P166" s="17" t="str">
        <f t="shared" si="8"/>
        <v>HP 200 CLR-48mm x 1371m-6 rls/cs-S (208511)</v>
      </c>
    </row>
    <row r="167" spans="1:16" x14ac:dyDescent="0.25">
      <c r="A167" s="60" t="s">
        <v>882</v>
      </c>
      <c r="B167" s="60" t="s">
        <v>883</v>
      </c>
      <c r="C167" s="60" t="s">
        <v>273</v>
      </c>
      <c r="D167" s="60" t="s">
        <v>108</v>
      </c>
      <c r="E167" s="60" t="s">
        <v>971</v>
      </c>
      <c r="F167" s="60" t="s">
        <v>972</v>
      </c>
      <c r="G167" s="60" t="s">
        <v>334</v>
      </c>
      <c r="H167" s="60" t="s">
        <v>937</v>
      </c>
      <c r="I167" s="60" t="s">
        <v>938</v>
      </c>
      <c r="J167" s="61">
        <v>100.74</v>
      </c>
      <c r="K167" s="61"/>
      <c r="L167" s="65">
        <v>75.78</v>
      </c>
      <c r="M167" s="64"/>
      <c r="N167" s="17" t="str">
        <f t="shared" si="6"/>
        <v>708536 ASSOCIATED PKG/KY LOUISVILLE</v>
      </c>
      <c r="O167" s="17" t="str">
        <f t="shared" si="7"/>
        <v>729312 NIFCO</v>
      </c>
      <c r="P167" s="17" t="str">
        <f t="shared" si="8"/>
        <v>FP 096 KFT-48mm x 55m-24 rls/cs-S (201806)</v>
      </c>
    </row>
    <row r="168" spans="1:16" x14ac:dyDescent="0.25">
      <c r="A168" s="60" t="s">
        <v>882</v>
      </c>
      <c r="B168" s="60" t="s">
        <v>883</v>
      </c>
      <c r="C168" s="60" t="s">
        <v>273</v>
      </c>
      <c r="D168" s="60" t="s">
        <v>108</v>
      </c>
      <c r="E168" s="60" t="s">
        <v>281</v>
      </c>
      <c r="F168" s="60" t="s">
        <v>173</v>
      </c>
      <c r="G168" s="60" t="s">
        <v>62</v>
      </c>
      <c r="H168" s="60" t="s">
        <v>282</v>
      </c>
      <c r="I168" s="60" t="s">
        <v>89</v>
      </c>
      <c r="J168" s="61">
        <v>1327.39</v>
      </c>
      <c r="K168" s="61">
        <v>1463.62</v>
      </c>
      <c r="L168" s="62">
        <v>3148.2</v>
      </c>
      <c r="M168" s="63">
        <v>3148.2</v>
      </c>
      <c r="N168" s="17" t="str">
        <f t="shared" si="6"/>
        <v>708536 ASSOCIATED PKG/KY LOUISVILLE</v>
      </c>
      <c r="O168" s="17" t="str">
        <f t="shared" si="7"/>
        <v>732105 FRY KRISP FOOD PRODUCTS</v>
      </c>
      <c r="P168" s="17" t="str">
        <f t="shared" si="8"/>
        <v>HP 300 CLR-72mm x 914m-4 rls/cs-H (208660)</v>
      </c>
    </row>
    <row r="169" spans="1:16" x14ac:dyDescent="0.25">
      <c r="A169" s="60" t="s">
        <v>882</v>
      </c>
      <c r="B169" s="60" t="s">
        <v>883</v>
      </c>
      <c r="C169" s="60" t="s">
        <v>273</v>
      </c>
      <c r="D169" s="60" t="s">
        <v>108</v>
      </c>
      <c r="E169" s="60" t="s">
        <v>712</v>
      </c>
      <c r="F169" s="60" t="s">
        <v>713</v>
      </c>
      <c r="G169" s="60" t="s">
        <v>1151</v>
      </c>
      <c r="H169" s="60" t="s">
        <v>1654</v>
      </c>
      <c r="I169" s="60" t="s">
        <v>1655</v>
      </c>
      <c r="J169" s="61"/>
      <c r="K169" s="61">
        <v>336.6</v>
      </c>
      <c r="L169" s="62"/>
      <c r="M169" s="63">
        <v>0</v>
      </c>
      <c r="N169" s="17" t="str">
        <f t="shared" si="6"/>
        <v>708536 ASSOCIATED PKG/KY LOUISVILLE</v>
      </c>
      <c r="O169" s="17" t="str">
        <f t="shared" si="7"/>
        <v>733431 GENERIC ONE TIME SHIP-TO B2B DIST P</v>
      </c>
      <c r="P169" s="17" t="str">
        <f t="shared" si="8"/>
        <v>50385 2" RH/LH Hub (901801)</v>
      </c>
    </row>
    <row r="170" spans="1:16" x14ac:dyDescent="0.25">
      <c r="A170" s="60" t="s">
        <v>882</v>
      </c>
      <c r="B170" s="60" t="s">
        <v>883</v>
      </c>
      <c r="C170" s="60" t="s">
        <v>273</v>
      </c>
      <c r="D170" s="60" t="s">
        <v>108</v>
      </c>
      <c r="E170" s="60" t="s">
        <v>1357</v>
      </c>
      <c r="F170" s="60" t="s">
        <v>1358</v>
      </c>
      <c r="G170" s="60" t="s">
        <v>19</v>
      </c>
      <c r="H170" s="60" t="s">
        <v>233</v>
      </c>
      <c r="I170" s="60" t="s">
        <v>49</v>
      </c>
      <c r="J170" s="61">
        <v>152.9</v>
      </c>
      <c r="K170" s="61">
        <v>254.83</v>
      </c>
      <c r="L170" s="62">
        <v>619.98</v>
      </c>
      <c r="M170" s="63">
        <v>1033.3</v>
      </c>
      <c r="N170" s="17" t="str">
        <f t="shared" si="6"/>
        <v>708536 ASSOCIATED PKG/KY LOUISVILLE</v>
      </c>
      <c r="O170" s="17" t="str">
        <f t="shared" si="7"/>
        <v>734369 AMERICAN MITSUBA</v>
      </c>
      <c r="P170" s="17" t="str">
        <f t="shared" si="8"/>
        <v>HP 100 CLR-48mm x 100m-36 rls/cs-S (207142)</v>
      </c>
    </row>
    <row r="171" spans="1:16" x14ac:dyDescent="0.25">
      <c r="A171" s="60" t="s">
        <v>882</v>
      </c>
      <c r="B171" s="60" t="s">
        <v>883</v>
      </c>
      <c r="C171" s="60" t="s">
        <v>273</v>
      </c>
      <c r="D171" s="60" t="s">
        <v>108</v>
      </c>
      <c r="E171" s="60" t="s">
        <v>390</v>
      </c>
      <c r="F171" s="60" t="s">
        <v>391</v>
      </c>
      <c r="G171" s="60" t="s">
        <v>23</v>
      </c>
      <c r="H171" s="60" t="s">
        <v>477</v>
      </c>
      <c r="I171" s="60" t="s">
        <v>478</v>
      </c>
      <c r="J171" s="61">
        <v>192.46</v>
      </c>
      <c r="K171" s="61">
        <v>183.55</v>
      </c>
      <c r="L171" s="62">
        <v>340.98</v>
      </c>
      <c r="M171" s="64">
        <v>284.14999999999998</v>
      </c>
      <c r="N171" s="17" t="str">
        <f t="shared" si="6"/>
        <v>708536 ASSOCIATED PKG/KY LOUISVILLE</v>
      </c>
      <c r="O171" s="17" t="str">
        <f t="shared" si="7"/>
        <v>736313 ASSOCIATED PKG FOR WHITE CASTLE</v>
      </c>
      <c r="P171" s="17" t="str">
        <f t="shared" si="8"/>
        <v>CP 105 NAT-24mm x 55m- 36 rls/cs-S (140431)</v>
      </c>
    </row>
    <row r="172" spans="1:16" x14ac:dyDescent="0.25">
      <c r="A172" s="60" t="s">
        <v>882</v>
      </c>
      <c r="B172" s="60" t="s">
        <v>883</v>
      </c>
      <c r="C172" s="60" t="s">
        <v>273</v>
      </c>
      <c r="D172" s="60" t="s">
        <v>108</v>
      </c>
      <c r="E172" s="60" t="s">
        <v>390</v>
      </c>
      <c r="F172" s="60" t="s">
        <v>391</v>
      </c>
      <c r="G172" s="60" t="s">
        <v>19</v>
      </c>
      <c r="H172" s="60" t="s">
        <v>222</v>
      </c>
      <c r="I172" s="60" t="s">
        <v>104</v>
      </c>
      <c r="J172" s="61">
        <v>4956.8100000000004</v>
      </c>
      <c r="K172" s="61">
        <v>15614.59</v>
      </c>
      <c r="L172" s="62">
        <v>20537.495999999999</v>
      </c>
      <c r="M172" s="63">
        <v>61612.487999999998</v>
      </c>
      <c r="N172" s="17" t="str">
        <f t="shared" si="6"/>
        <v>708536 ASSOCIATED PKG/KY LOUISVILLE</v>
      </c>
      <c r="O172" s="17" t="str">
        <f t="shared" si="7"/>
        <v>736313 ASSOCIATED PKG FOR WHITE CASTLE</v>
      </c>
      <c r="P172" s="17" t="str">
        <f t="shared" si="8"/>
        <v>HP 100 CLR-53mm x 1500m-6 rls/cs-S (195553)</v>
      </c>
    </row>
    <row r="173" spans="1:16" x14ac:dyDescent="0.25">
      <c r="A173" s="60" t="s">
        <v>882</v>
      </c>
      <c r="B173" s="60" t="s">
        <v>883</v>
      </c>
      <c r="C173" s="60" t="s">
        <v>273</v>
      </c>
      <c r="D173" s="60" t="s">
        <v>108</v>
      </c>
      <c r="E173" s="60" t="s">
        <v>390</v>
      </c>
      <c r="F173" s="60" t="s">
        <v>391</v>
      </c>
      <c r="G173" s="60" t="s">
        <v>18</v>
      </c>
      <c r="H173" s="60" t="s">
        <v>219</v>
      </c>
      <c r="I173" s="60" t="s">
        <v>60</v>
      </c>
      <c r="J173" s="61"/>
      <c r="K173" s="61">
        <v>113.1</v>
      </c>
      <c r="L173" s="62"/>
      <c r="M173" s="63">
        <v>413.32</v>
      </c>
      <c r="N173" s="17" t="str">
        <f t="shared" si="6"/>
        <v>708536 ASSOCIATED PKG/KY LOUISVILLE</v>
      </c>
      <c r="O173" s="17" t="str">
        <f t="shared" si="7"/>
        <v>736313 ASSOCIATED PKG FOR WHITE CASTLE</v>
      </c>
      <c r="P173" s="17" t="str">
        <f t="shared" si="8"/>
        <v>HP 200 CLR-72mm x 100m-24 rls/cs-S (207233)</v>
      </c>
    </row>
    <row r="174" spans="1:16" x14ac:dyDescent="0.25">
      <c r="A174" s="60" t="s">
        <v>882</v>
      </c>
      <c r="B174" s="60" t="s">
        <v>883</v>
      </c>
      <c r="C174" s="60" t="s">
        <v>273</v>
      </c>
      <c r="D174" s="60" t="s">
        <v>108</v>
      </c>
      <c r="E174" s="60" t="s">
        <v>1359</v>
      </c>
      <c r="F174" s="60" t="s">
        <v>1360</v>
      </c>
      <c r="G174" s="60" t="s">
        <v>19</v>
      </c>
      <c r="H174" s="60" t="s">
        <v>222</v>
      </c>
      <c r="I174" s="60" t="s">
        <v>104</v>
      </c>
      <c r="J174" s="61">
        <v>1281.26</v>
      </c>
      <c r="K174" s="61"/>
      <c r="L174" s="62">
        <v>5704.86</v>
      </c>
      <c r="M174" s="63"/>
      <c r="N174" s="17" t="str">
        <f t="shared" si="6"/>
        <v>708536 ASSOCIATED PKG/KY LOUISVILLE</v>
      </c>
      <c r="O174" s="17" t="str">
        <f t="shared" si="7"/>
        <v>738291 ASSOCIATED PKG FOR BERRY GLOBAL/ROL</v>
      </c>
      <c r="P174" s="17" t="str">
        <f t="shared" si="8"/>
        <v>HP 100 CLR-53mm x 1500m-6 rls/cs-S (195553)</v>
      </c>
    </row>
    <row r="175" spans="1:16" x14ac:dyDescent="0.25">
      <c r="A175" s="60" t="s">
        <v>882</v>
      </c>
      <c r="B175" s="60" t="s">
        <v>883</v>
      </c>
      <c r="C175" s="60" t="s">
        <v>273</v>
      </c>
      <c r="D175" s="60" t="s">
        <v>108</v>
      </c>
      <c r="E175" s="60" t="s">
        <v>973</v>
      </c>
      <c r="F175" s="60" t="s">
        <v>974</v>
      </c>
      <c r="G175" s="60" t="s">
        <v>19</v>
      </c>
      <c r="H175" s="60" t="s">
        <v>222</v>
      </c>
      <c r="I175" s="60" t="s">
        <v>104</v>
      </c>
      <c r="J175" s="61">
        <v>13353.12</v>
      </c>
      <c r="K175" s="61">
        <v>5170.66</v>
      </c>
      <c r="L175" s="62">
        <v>57048.6</v>
      </c>
      <c r="M175" s="63">
        <v>20537.495999999999</v>
      </c>
      <c r="N175" s="17" t="str">
        <f t="shared" si="6"/>
        <v>708536 ASSOCIATED PKG/KY LOUISVILLE</v>
      </c>
      <c r="O175" s="17" t="str">
        <f t="shared" si="7"/>
        <v>738552 AUNT MILLIE'S</v>
      </c>
      <c r="P175" s="17" t="str">
        <f t="shared" si="8"/>
        <v>HP 100 CLR-53mm x 1500m-6 rls/cs-S (195553)</v>
      </c>
    </row>
    <row r="176" spans="1:16" x14ac:dyDescent="0.25">
      <c r="A176" s="60" t="s">
        <v>882</v>
      </c>
      <c r="B176" s="60" t="s">
        <v>883</v>
      </c>
      <c r="C176" s="60" t="s">
        <v>273</v>
      </c>
      <c r="D176" s="60" t="s">
        <v>108</v>
      </c>
      <c r="E176" s="60" t="s">
        <v>973</v>
      </c>
      <c r="F176" s="60" t="s">
        <v>974</v>
      </c>
      <c r="G176" s="60" t="s">
        <v>18</v>
      </c>
      <c r="H176" s="60" t="s">
        <v>215</v>
      </c>
      <c r="I176" s="60" t="s">
        <v>50</v>
      </c>
      <c r="J176" s="61"/>
      <c r="K176" s="61">
        <v>520.34</v>
      </c>
      <c r="L176" s="62"/>
      <c r="M176" s="64">
        <v>2066.6</v>
      </c>
      <c r="N176" s="17" t="str">
        <f t="shared" si="6"/>
        <v>708536 ASSOCIATED PKG/KY LOUISVILLE</v>
      </c>
      <c r="O176" s="17" t="str">
        <f t="shared" si="7"/>
        <v>738552 AUNT MILLIE'S</v>
      </c>
      <c r="P176" s="17" t="str">
        <f t="shared" si="8"/>
        <v>HP 200 CLR-48mm x 100m-36 rls/cs-S (207149)</v>
      </c>
    </row>
    <row r="177" spans="1:16" x14ac:dyDescent="0.25">
      <c r="A177" s="60" t="s">
        <v>882</v>
      </c>
      <c r="B177" s="60" t="s">
        <v>883</v>
      </c>
      <c r="C177" s="60" t="s">
        <v>273</v>
      </c>
      <c r="D177" s="60" t="s">
        <v>108</v>
      </c>
      <c r="E177" s="60" t="s">
        <v>497</v>
      </c>
      <c r="F177" s="60" t="s">
        <v>498</v>
      </c>
      <c r="G177" s="60" t="s">
        <v>18</v>
      </c>
      <c r="H177" s="60" t="s">
        <v>214</v>
      </c>
      <c r="I177" s="60" t="s">
        <v>158</v>
      </c>
      <c r="J177" s="61">
        <v>7584.19</v>
      </c>
      <c r="K177" s="61"/>
      <c r="L177" s="65">
        <v>30222.720000000001</v>
      </c>
      <c r="M177" s="64"/>
      <c r="N177" s="17" t="str">
        <f t="shared" si="6"/>
        <v>708536 ASSOCIATED PKG/KY LOUISVILLE</v>
      </c>
      <c r="O177" s="17" t="str">
        <f t="shared" si="7"/>
        <v>738771 MID STATE WAREHOUSE FOR EXPRESS PKG</v>
      </c>
      <c r="P177" s="17" t="str">
        <f t="shared" si="8"/>
        <v>HP 200 CLR-72mm x 914m-4 rls/cs-S (208496)</v>
      </c>
    </row>
    <row r="178" spans="1:16" x14ac:dyDescent="0.25">
      <c r="A178" s="60" t="s">
        <v>882</v>
      </c>
      <c r="B178" s="60" t="s">
        <v>883</v>
      </c>
      <c r="C178" s="60" t="s">
        <v>273</v>
      </c>
      <c r="D178" s="60" t="s">
        <v>108</v>
      </c>
      <c r="E178" s="60" t="s">
        <v>497</v>
      </c>
      <c r="F178" s="60" t="s">
        <v>498</v>
      </c>
      <c r="G178" s="60" t="s">
        <v>18</v>
      </c>
      <c r="H178" s="60" t="s">
        <v>213</v>
      </c>
      <c r="I178" s="60" t="s">
        <v>157</v>
      </c>
      <c r="J178" s="61">
        <v>16251.84</v>
      </c>
      <c r="K178" s="61">
        <v>26879.69</v>
      </c>
      <c r="L178" s="65">
        <v>68001.119999999995</v>
      </c>
      <c r="M178" s="64">
        <v>102001.68</v>
      </c>
      <c r="N178" s="17" t="str">
        <f t="shared" ref="N178:N241" si="9">C178&amp;" "&amp;D178</f>
        <v>708536 ASSOCIATED PKG/KY LOUISVILLE</v>
      </c>
      <c r="O178" s="17" t="str">
        <f t="shared" ref="O178:O241" si="10">E178&amp;" "&amp;F178</f>
        <v>738771 MID STATE WAREHOUSE FOR EXPRESS PKG</v>
      </c>
      <c r="P178" s="17" t="str">
        <f t="shared" si="8"/>
        <v>HP 200 CLR-48mm x 1371m-6 rls/cs-S (208511)</v>
      </c>
    </row>
    <row r="179" spans="1:16" x14ac:dyDescent="0.25">
      <c r="A179" s="60" t="s">
        <v>882</v>
      </c>
      <c r="B179" s="60" t="s">
        <v>883</v>
      </c>
      <c r="C179" s="60" t="s">
        <v>273</v>
      </c>
      <c r="D179" s="60" t="s">
        <v>108</v>
      </c>
      <c r="E179" s="60" t="s">
        <v>1361</v>
      </c>
      <c r="F179" s="60" t="s">
        <v>1362</v>
      </c>
      <c r="G179" s="60" t="s">
        <v>19</v>
      </c>
      <c r="H179" s="60" t="s">
        <v>233</v>
      </c>
      <c r="I179" s="60" t="s">
        <v>49</v>
      </c>
      <c r="J179" s="61">
        <v>203.86</v>
      </c>
      <c r="K179" s="61"/>
      <c r="L179" s="65">
        <v>826.64</v>
      </c>
      <c r="M179" s="64"/>
      <c r="N179" s="17" t="str">
        <f t="shared" si="9"/>
        <v>708536 ASSOCIATED PKG/KY LOUISVILLE</v>
      </c>
      <c r="O179" s="17" t="str">
        <f t="shared" si="10"/>
        <v>739391 THE ROYAL GROUP</v>
      </c>
      <c r="P179" s="17" t="str">
        <f t="shared" si="8"/>
        <v>HP 100 CLR-48mm x 100m-36 rls/cs-S (207142)</v>
      </c>
    </row>
    <row r="180" spans="1:16" x14ac:dyDescent="0.25">
      <c r="A180" s="60" t="s">
        <v>882</v>
      </c>
      <c r="B180" s="60" t="s">
        <v>883</v>
      </c>
      <c r="C180" s="60" t="s">
        <v>273</v>
      </c>
      <c r="D180" s="60" t="s">
        <v>108</v>
      </c>
      <c r="E180" s="60" t="s">
        <v>1361</v>
      </c>
      <c r="F180" s="60" t="s">
        <v>1362</v>
      </c>
      <c r="G180" s="60" t="s">
        <v>19</v>
      </c>
      <c r="H180" s="60" t="s">
        <v>242</v>
      </c>
      <c r="I180" s="60" t="s">
        <v>102</v>
      </c>
      <c r="J180" s="61">
        <v>510.84</v>
      </c>
      <c r="K180" s="61"/>
      <c r="L180" s="65">
        <v>2066.6</v>
      </c>
      <c r="M180" s="64"/>
      <c r="N180" s="17" t="str">
        <f t="shared" si="9"/>
        <v>708536 ASSOCIATED PKG/KY LOUISVILLE</v>
      </c>
      <c r="O180" s="17" t="str">
        <f t="shared" si="10"/>
        <v>739391 THE ROYAL GROUP</v>
      </c>
      <c r="P180" s="17" t="str">
        <f t="shared" si="8"/>
        <v>HP 100 CLR-72mm x 100m-24 rls/cs-S (207194)</v>
      </c>
    </row>
    <row r="181" spans="1:16" x14ac:dyDescent="0.25">
      <c r="A181" s="60" t="s">
        <v>882</v>
      </c>
      <c r="B181" s="60" t="s">
        <v>883</v>
      </c>
      <c r="C181" s="60" t="s">
        <v>273</v>
      </c>
      <c r="D181" s="60" t="s">
        <v>108</v>
      </c>
      <c r="E181" s="60" t="s">
        <v>1656</v>
      </c>
      <c r="F181" s="60" t="s">
        <v>448</v>
      </c>
      <c r="G181" s="60" t="s">
        <v>23</v>
      </c>
      <c r="H181" s="60" t="s">
        <v>477</v>
      </c>
      <c r="I181" s="60" t="s">
        <v>478</v>
      </c>
      <c r="J181" s="61">
        <v>68.430000000000007</v>
      </c>
      <c r="K181" s="61"/>
      <c r="L181" s="65">
        <v>113.66</v>
      </c>
      <c r="M181" s="64"/>
      <c r="N181" s="17" t="str">
        <f t="shared" si="9"/>
        <v>708536 ASSOCIATED PKG/KY LOUISVILLE</v>
      </c>
      <c r="O181" s="17" t="str">
        <f t="shared" si="10"/>
        <v>740267 PARKER HANNIFIN CORP HVAC DIV</v>
      </c>
      <c r="P181" s="17" t="str">
        <f t="shared" si="8"/>
        <v>CP 105 NAT-24mm x 55m- 36 rls/cs-S (140431)</v>
      </c>
    </row>
    <row r="182" spans="1:16" x14ac:dyDescent="0.25">
      <c r="A182" s="60" t="s">
        <v>882</v>
      </c>
      <c r="B182" s="60" t="s">
        <v>883</v>
      </c>
      <c r="C182" s="60" t="s">
        <v>273</v>
      </c>
      <c r="D182" s="60" t="s">
        <v>108</v>
      </c>
      <c r="E182" s="60" t="s">
        <v>392</v>
      </c>
      <c r="F182" s="60" t="s">
        <v>393</v>
      </c>
      <c r="G182" s="60" t="s">
        <v>19</v>
      </c>
      <c r="H182" s="60" t="s">
        <v>244</v>
      </c>
      <c r="I182" s="60" t="s">
        <v>94</v>
      </c>
      <c r="J182" s="61"/>
      <c r="K182" s="61">
        <v>22547.29</v>
      </c>
      <c r="L182" s="65"/>
      <c r="M182" s="64">
        <v>90668.160000000003</v>
      </c>
      <c r="N182" s="17" t="str">
        <f t="shared" si="9"/>
        <v>708536 ASSOCIATED PKG/KY LOUISVILLE</v>
      </c>
      <c r="O182" s="17" t="str">
        <f t="shared" si="10"/>
        <v>740438 MID STATE FOR T MARZETTI</v>
      </c>
      <c r="P182" s="17" t="str">
        <f t="shared" si="8"/>
        <v>HP 100 CLR-72mm x 914m-4 rls/cs-S (208465)</v>
      </c>
    </row>
    <row r="183" spans="1:16" x14ac:dyDescent="0.25">
      <c r="A183" s="60" t="s">
        <v>882</v>
      </c>
      <c r="B183" s="60" t="s">
        <v>883</v>
      </c>
      <c r="C183" s="60" t="s">
        <v>273</v>
      </c>
      <c r="D183" s="60" t="s">
        <v>108</v>
      </c>
      <c r="E183" s="60" t="s">
        <v>392</v>
      </c>
      <c r="F183" s="60" t="s">
        <v>393</v>
      </c>
      <c r="G183" s="60" t="s">
        <v>19</v>
      </c>
      <c r="H183" s="60" t="s">
        <v>221</v>
      </c>
      <c r="I183" s="60" t="s">
        <v>145</v>
      </c>
      <c r="J183" s="61">
        <v>49843.96</v>
      </c>
      <c r="K183" s="61">
        <v>59186.63</v>
      </c>
      <c r="L183" s="65">
        <v>221003.64</v>
      </c>
      <c r="M183" s="64">
        <v>238003.92</v>
      </c>
      <c r="N183" s="17" t="str">
        <f t="shared" si="9"/>
        <v>708536 ASSOCIATED PKG/KY LOUISVILLE</v>
      </c>
      <c r="O183" s="17" t="str">
        <f t="shared" si="10"/>
        <v>740438 MID STATE FOR T MARZETTI</v>
      </c>
      <c r="P183" s="17" t="str">
        <f t="shared" si="8"/>
        <v>HP 100 CLR-48mm x 1371m-6 rls/cs- S (208470)</v>
      </c>
    </row>
    <row r="184" spans="1:16" x14ac:dyDescent="0.25">
      <c r="A184" s="60" t="s">
        <v>882</v>
      </c>
      <c r="B184" s="60" t="s">
        <v>883</v>
      </c>
      <c r="C184" s="60" t="s">
        <v>273</v>
      </c>
      <c r="D184" s="60" t="s">
        <v>108</v>
      </c>
      <c r="E184" s="60" t="s">
        <v>975</v>
      </c>
      <c r="F184" s="60" t="s">
        <v>976</v>
      </c>
      <c r="G184" s="60" t="s">
        <v>18</v>
      </c>
      <c r="H184" s="60" t="s">
        <v>219</v>
      </c>
      <c r="I184" s="60" t="s">
        <v>60</v>
      </c>
      <c r="J184" s="61">
        <v>1130.98</v>
      </c>
      <c r="K184" s="61">
        <v>1188</v>
      </c>
      <c r="L184" s="65">
        <v>4133.2</v>
      </c>
      <c r="M184" s="64">
        <v>4133.2</v>
      </c>
      <c r="N184" s="17" t="str">
        <f t="shared" si="9"/>
        <v>708536 ASSOCIATED PKG/KY LOUISVILLE</v>
      </c>
      <c r="O184" s="17" t="str">
        <f t="shared" si="10"/>
        <v>740747 IMEX GLOBAL SOLUTIONS LLC</v>
      </c>
      <c r="P184" s="17" t="str">
        <f t="shared" si="8"/>
        <v>HP 200 CLR-72mm x 100m-24 rls/cs-S (207233)</v>
      </c>
    </row>
    <row r="185" spans="1:16" x14ac:dyDescent="0.25">
      <c r="A185" s="60" t="s">
        <v>882</v>
      </c>
      <c r="B185" s="60" t="s">
        <v>883</v>
      </c>
      <c r="C185" s="60" t="s">
        <v>273</v>
      </c>
      <c r="D185" s="60" t="s">
        <v>108</v>
      </c>
      <c r="E185" s="60" t="s">
        <v>1657</v>
      </c>
      <c r="F185" s="60" t="s">
        <v>1658</v>
      </c>
      <c r="G185" s="60" t="s">
        <v>19</v>
      </c>
      <c r="H185" s="60" t="s">
        <v>242</v>
      </c>
      <c r="I185" s="60" t="s">
        <v>102</v>
      </c>
      <c r="J185" s="61"/>
      <c r="K185" s="61">
        <v>2922.48</v>
      </c>
      <c r="L185" s="62"/>
      <c r="M185" s="64">
        <v>12399.6</v>
      </c>
      <c r="N185" s="17" t="str">
        <f t="shared" si="9"/>
        <v>708536 ASSOCIATED PKG/KY LOUISVILLE</v>
      </c>
      <c r="O185" s="17" t="str">
        <f t="shared" si="10"/>
        <v>741924 NEXUS VALVE</v>
      </c>
      <c r="P185" s="17" t="str">
        <f t="shared" si="8"/>
        <v>HP 100 CLR-72mm x 100m-24 rls/cs-S (207194)</v>
      </c>
    </row>
    <row r="186" spans="1:16" x14ac:dyDescent="0.25">
      <c r="A186" s="60" t="s">
        <v>882</v>
      </c>
      <c r="B186" s="60" t="s">
        <v>883</v>
      </c>
      <c r="C186" s="60" t="s">
        <v>273</v>
      </c>
      <c r="D186" s="60" t="s">
        <v>108</v>
      </c>
      <c r="E186" s="60" t="s">
        <v>1363</v>
      </c>
      <c r="F186" s="60" t="s">
        <v>1364</v>
      </c>
      <c r="G186" s="60" t="s">
        <v>59</v>
      </c>
      <c r="H186" s="60" t="s">
        <v>223</v>
      </c>
      <c r="I186" s="60" t="s">
        <v>600</v>
      </c>
      <c r="J186" s="61">
        <v>4873.18</v>
      </c>
      <c r="K186" s="61"/>
      <c r="L186" s="62">
        <v>5304.6</v>
      </c>
      <c r="M186" s="63"/>
      <c r="N186" s="17" t="str">
        <f t="shared" si="9"/>
        <v>708536 ASSOCIATED PKG/KY LOUISVILLE</v>
      </c>
      <c r="O186" s="17" t="str">
        <f t="shared" si="10"/>
        <v>742808 ALBANESE CONFECTIONERY DISTR</v>
      </c>
      <c r="P186" s="17" t="str">
        <f t="shared" si="8"/>
        <v>GS 490 CLR-48mm x 55m-24 rls/cs-H/A (101230)</v>
      </c>
    </row>
    <row r="187" spans="1:16" x14ac:dyDescent="0.25">
      <c r="A187" s="60" t="s">
        <v>882</v>
      </c>
      <c r="B187" s="60" t="s">
        <v>883</v>
      </c>
      <c r="C187" s="60" t="s">
        <v>273</v>
      </c>
      <c r="D187" s="60" t="s">
        <v>108</v>
      </c>
      <c r="E187" s="60" t="s">
        <v>545</v>
      </c>
      <c r="F187" s="60" t="s">
        <v>546</v>
      </c>
      <c r="G187" s="60" t="s">
        <v>1059</v>
      </c>
      <c r="H187" s="60" t="s">
        <v>1365</v>
      </c>
      <c r="I187" s="60" t="s">
        <v>1366</v>
      </c>
      <c r="J187" s="61"/>
      <c r="K187" s="61">
        <v>217.64</v>
      </c>
      <c r="L187" s="62"/>
      <c r="M187" s="63">
        <v>151.536</v>
      </c>
      <c r="N187" s="17" t="str">
        <f t="shared" si="9"/>
        <v>708536 ASSOCIATED PKG/KY LOUISVILLE</v>
      </c>
      <c r="O187" s="17" t="str">
        <f t="shared" si="10"/>
        <v>743933 ATCORR PACKAGING PRODUCTS</v>
      </c>
      <c r="P187" s="17" t="str">
        <f t="shared" si="8"/>
        <v>CP 225 GLD-48mm x 55m-24 rls/cs-H/T (105322)</v>
      </c>
    </row>
    <row r="188" spans="1:16" x14ac:dyDescent="0.25">
      <c r="A188" s="60" t="s">
        <v>882</v>
      </c>
      <c r="B188" s="60" t="s">
        <v>883</v>
      </c>
      <c r="C188" s="60" t="s">
        <v>273</v>
      </c>
      <c r="D188" s="60" t="s">
        <v>108</v>
      </c>
      <c r="E188" s="60" t="s">
        <v>545</v>
      </c>
      <c r="F188" s="60" t="s">
        <v>546</v>
      </c>
      <c r="G188" s="60" t="s">
        <v>18</v>
      </c>
      <c r="H188" s="60" t="s">
        <v>215</v>
      </c>
      <c r="I188" s="60" t="s">
        <v>50</v>
      </c>
      <c r="J188" s="61">
        <v>5987.52</v>
      </c>
      <c r="K188" s="61"/>
      <c r="L188" s="62">
        <v>24799.200000000001</v>
      </c>
      <c r="M188" s="64"/>
      <c r="N188" s="17" t="str">
        <f t="shared" si="9"/>
        <v>708536 ASSOCIATED PKG/KY LOUISVILLE</v>
      </c>
      <c r="O188" s="17" t="str">
        <f t="shared" si="10"/>
        <v>743933 ATCORR PACKAGING PRODUCTS</v>
      </c>
      <c r="P188" s="17" t="str">
        <f t="shared" si="8"/>
        <v>HP 200 CLR-48mm x 100m-36 rls/cs-S (207149)</v>
      </c>
    </row>
    <row r="189" spans="1:16" x14ac:dyDescent="0.25">
      <c r="A189" s="60" t="s">
        <v>882</v>
      </c>
      <c r="B189" s="60" t="s">
        <v>883</v>
      </c>
      <c r="C189" s="60" t="s">
        <v>273</v>
      </c>
      <c r="D189" s="60" t="s">
        <v>108</v>
      </c>
      <c r="E189" s="60" t="s">
        <v>617</v>
      </c>
      <c r="F189" s="60" t="s">
        <v>333</v>
      </c>
      <c r="G189" s="60" t="s">
        <v>18</v>
      </c>
      <c r="H189" s="60" t="s">
        <v>249</v>
      </c>
      <c r="I189" s="60" t="s">
        <v>588</v>
      </c>
      <c r="J189" s="61">
        <v>49149</v>
      </c>
      <c r="K189" s="61">
        <v>12287.25</v>
      </c>
      <c r="L189" s="62">
        <v>204003.36</v>
      </c>
      <c r="M189" s="63">
        <v>51000.84</v>
      </c>
      <c r="N189" s="17" t="str">
        <f t="shared" si="9"/>
        <v>708536 ASSOCIATED PKG/KY LOUISVILLE</v>
      </c>
      <c r="O189" s="17" t="str">
        <f t="shared" si="10"/>
        <v>744750 LYONS MAGNUS</v>
      </c>
      <c r="P189" s="17" t="str">
        <f t="shared" si="8"/>
        <v>HP 200 CLR-72mm x 1371m-4 rls/cs-S (208529)</v>
      </c>
    </row>
    <row r="190" spans="1:16" x14ac:dyDescent="0.25">
      <c r="A190" s="60" t="s">
        <v>882</v>
      </c>
      <c r="B190" s="60" t="s">
        <v>883</v>
      </c>
      <c r="C190" s="60" t="s">
        <v>273</v>
      </c>
      <c r="D190" s="60" t="s">
        <v>108</v>
      </c>
      <c r="E190" s="60" t="s">
        <v>1659</v>
      </c>
      <c r="F190" s="60" t="s">
        <v>1660</v>
      </c>
      <c r="G190" s="60" t="s">
        <v>61</v>
      </c>
      <c r="H190" s="60" t="s">
        <v>951</v>
      </c>
      <c r="I190" s="60" t="s">
        <v>952</v>
      </c>
      <c r="J190" s="61">
        <v>348.5</v>
      </c>
      <c r="K190" s="61"/>
      <c r="L190" s="62">
        <v>314.82</v>
      </c>
      <c r="M190" s="63"/>
      <c r="N190" s="17" t="str">
        <f t="shared" si="9"/>
        <v>708536 ASSOCIATED PKG/KY LOUISVILLE</v>
      </c>
      <c r="O190" s="17" t="str">
        <f t="shared" si="10"/>
        <v>745777 MCI FULFILLMENT SERVICES</v>
      </c>
      <c r="P190" s="17" t="str">
        <f t="shared" si="8"/>
        <v>HP 500 CLR-48mm x 914m-6 rls/cs-H (208561)</v>
      </c>
    </row>
    <row r="191" spans="1:16" x14ac:dyDescent="0.25">
      <c r="A191" s="60" t="s">
        <v>882</v>
      </c>
      <c r="B191" s="60" t="s">
        <v>883</v>
      </c>
      <c r="C191" s="60" t="s">
        <v>273</v>
      </c>
      <c r="D191" s="60" t="s">
        <v>108</v>
      </c>
      <c r="E191" s="60" t="s">
        <v>632</v>
      </c>
      <c r="F191" s="60" t="s">
        <v>633</v>
      </c>
      <c r="G191" s="60" t="s">
        <v>55</v>
      </c>
      <c r="H191" s="60" t="s">
        <v>977</v>
      </c>
      <c r="I191" s="60" t="s">
        <v>978</v>
      </c>
      <c r="J191" s="61">
        <v>277.27999999999997</v>
      </c>
      <c r="K191" s="61"/>
      <c r="L191" s="62">
        <v>826.56</v>
      </c>
      <c r="M191" s="64"/>
      <c r="N191" s="17" t="str">
        <f t="shared" si="9"/>
        <v>708536 ASSOCIATED PKG/KY LOUISVILLE</v>
      </c>
      <c r="O191" s="17" t="str">
        <f t="shared" si="10"/>
        <v>746094 AF SHELBYVILLE KY</v>
      </c>
      <c r="P191" s="17" t="str">
        <f t="shared" si="8"/>
        <v>AP 201 RED 48mm x 100m-36 rls/cs-H/A (105302)</v>
      </c>
    </row>
    <row r="192" spans="1:16" x14ac:dyDescent="0.25">
      <c r="A192" s="60" t="s">
        <v>882</v>
      </c>
      <c r="B192" s="60" t="s">
        <v>883</v>
      </c>
      <c r="C192" s="60" t="s">
        <v>273</v>
      </c>
      <c r="D192" s="60" t="s">
        <v>108</v>
      </c>
      <c r="E192" s="60" t="s">
        <v>632</v>
      </c>
      <c r="F192" s="60" t="s">
        <v>633</v>
      </c>
      <c r="G192" s="60" t="s">
        <v>21</v>
      </c>
      <c r="H192" s="60" t="s">
        <v>955</v>
      </c>
      <c r="I192" s="60" t="s">
        <v>956</v>
      </c>
      <c r="J192" s="61"/>
      <c r="K192" s="61">
        <v>500.39</v>
      </c>
      <c r="L192" s="62"/>
      <c r="M192" s="63">
        <v>681.96</v>
      </c>
      <c r="N192" s="17" t="str">
        <f t="shared" si="9"/>
        <v>708536 ASSOCIATED PKG/KY LOUISVILLE</v>
      </c>
      <c r="O192" s="17" t="str">
        <f t="shared" si="10"/>
        <v>746094 AF SHELBYVILLE KY</v>
      </c>
      <c r="P192" s="17" t="str">
        <f t="shared" si="8"/>
        <v>CP 106 NAT-24mm x 55m-36 rls/cs-S (101006)</v>
      </c>
    </row>
    <row r="193" spans="1:16" x14ac:dyDescent="0.25">
      <c r="A193" s="60" t="s">
        <v>882</v>
      </c>
      <c r="B193" s="60" t="s">
        <v>883</v>
      </c>
      <c r="C193" s="60" t="s">
        <v>273</v>
      </c>
      <c r="D193" s="60" t="s">
        <v>108</v>
      </c>
      <c r="E193" s="60" t="s">
        <v>632</v>
      </c>
      <c r="F193" s="60" t="s">
        <v>633</v>
      </c>
      <c r="G193" s="60" t="s">
        <v>21</v>
      </c>
      <c r="H193" s="60" t="s">
        <v>225</v>
      </c>
      <c r="I193" s="60" t="s">
        <v>53</v>
      </c>
      <c r="J193" s="61">
        <v>802.13</v>
      </c>
      <c r="K193" s="61">
        <v>1107.22</v>
      </c>
      <c r="L193" s="62">
        <v>1212.48</v>
      </c>
      <c r="M193" s="63">
        <v>1515.6</v>
      </c>
      <c r="N193" s="17" t="str">
        <f t="shared" si="9"/>
        <v>708536 ASSOCIATED PKG/KY LOUISVILLE</v>
      </c>
      <c r="O193" s="17" t="str">
        <f t="shared" si="10"/>
        <v>746094 AF SHELBYVILLE KY</v>
      </c>
      <c r="P193" s="17" t="str">
        <f t="shared" si="8"/>
        <v>CP 106 NAT-48mm x 55m-24 rls/cs-S (101008)</v>
      </c>
    </row>
    <row r="194" spans="1:16" x14ac:dyDescent="0.25">
      <c r="A194" s="60" t="s">
        <v>882</v>
      </c>
      <c r="B194" s="60" t="s">
        <v>883</v>
      </c>
      <c r="C194" s="60" t="s">
        <v>273</v>
      </c>
      <c r="D194" s="60" t="s">
        <v>108</v>
      </c>
      <c r="E194" s="60" t="s">
        <v>632</v>
      </c>
      <c r="F194" s="60" t="s">
        <v>633</v>
      </c>
      <c r="G194" s="60" t="s">
        <v>21</v>
      </c>
      <c r="H194" s="60" t="s">
        <v>234</v>
      </c>
      <c r="I194" s="60" t="s">
        <v>168</v>
      </c>
      <c r="J194" s="61">
        <v>210.99</v>
      </c>
      <c r="K194" s="61"/>
      <c r="L194" s="62">
        <v>227.32</v>
      </c>
      <c r="M194" s="63"/>
      <c r="N194" s="17" t="str">
        <f t="shared" si="9"/>
        <v>708536 ASSOCIATED PKG/KY LOUISVILLE</v>
      </c>
      <c r="O194" s="17" t="str">
        <f t="shared" si="10"/>
        <v>746094 AF SHELBYVILLE KY</v>
      </c>
      <c r="P194" s="17" t="str">
        <f t="shared" si="8"/>
        <v>CP 106 NAT-12mm x 55m-72 rls/cs-H/A (101330)</v>
      </c>
    </row>
    <row r="195" spans="1:16" x14ac:dyDescent="0.25">
      <c r="A195" s="60" t="s">
        <v>882</v>
      </c>
      <c r="B195" s="60" t="s">
        <v>883</v>
      </c>
      <c r="C195" s="60" t="s">
        <v>273</v>
      </c>
      <c r="D195" s="60" t="s">
        <v>108</v>
      </c>
      <c r="E195" s="60" t="s">
        <v>660</v>
      </c>
      <c r="F195" s="60" t="s">
        <v>661</v>
      </c>
      <c r="G195" s="60" t="s">
        <v>70</v>
      </c>
      <c r="H195" s="60" t="s">
        <v>361</v>
      </c>
      <c r="I195" s="60" t="s">
        <v>362</v>
      </c>
      <c r="J195" s="61">
        <v>10158.99</v>
      </c>
      <c r="K195" s="61"/>
      <c r="L195" s="62">
        <v>30224.639999999999</v>
      </c>
      <c r="M195" s="64"/>
      <c r="N195" s="17" t="str">
        <f t="shared" si="9"/>
        <v>708536 ASSOCIATED PKG/KY LOUISVILLE</v>
      </c>
      <c r="O195" s="17" t="str">
        <f t="shared" si="10"/>
        <v>746252 CAITO FOODS FOR HUNGRYROOT</v>
      </c>
      <c r="P195" s="17" t="str">
        <f t="shared" si="8"/>
        <v>HP 235 CLR-72mm x 914m-4 rls/cs-H (150721)</v>
      </c>
    </row>
    <row r="196" spans="1:16" x14ac:dyDescent="0.25">
      <c r="A196" s="60" t="s">
        <v>882</v>
      </c>
      <c r="B196" s="60" t="s">
        <v>883</v>
      </c>
      <c r="C196" s="60" t="s">
        <v>273</v>
      </c>
      <c r="D196" s="60" t="s">
        <v>108</v>
      </c>
      <c r="E196" s="60" t="s">
        <v>728</v>
      </c>
      <c r="F196" s="60" t="s">
        <v>729</v>
      </c>
      <c r="G196" s="60" t="s">
        <v>979</v>
      </c>
      <c r="H196" s="60" t="s">
        <v>980</v>
      </c>
      <c r="I196" s="60" t="s">
        <v>981</v>
      </c>
      <c r="J196" s="61">
        <v>558.84</v>
      </c>
      <c r="K196" s="61"/>
      <c r="L196" s="65">
        <v>190.13499999999999</v>
      </c>
      <c r="M196" s="64"/>
      <c r="N196" s="17" t="str">
        <f t="shared" si="9"/>
        <v>708536 ASSOCIATED PKG/KY LOUISVILLE</v>
      </c>
      <c r="O196" s="17" t="str">
        <f t="shared" si="10"/>
        <v>746780 ASSOCIATED FOR AAK</v>
      </c>
      <c r="P196" s="17" t="str">
        <f t="shared" ref="P196:P259" si="11">I196&amp;" ("&amp;H196&amp;")"</f>
        <v>AF 975 SIL-48mm x 46m-24 rls/cs-S (232032)</v>
      </c>
    </row>
    <row r="197" spans="1:16" x14ac:dyDescent="0.25">
      <c r="A197" s="60" t="s">
        <v>882</v>
      </c>
      <c r="B197" s="60" t="s">
        <v>883</v>
      </c>
      <c r="C197" s="60" t="s">
        <v>273</v>
      </c>
      <c r="D197" s="60" t="s">
        <v>108</v>
      </c>
      <c r="E197" s="60" t="s">
        <v>728</v>
      </c>
      <c r="F197" s="60" t="s">
        <v>729</v>
      </c>
      <c r="G197" s="60" t="s">
        <v>21</v>
      </c>
      <c r="H197" s="60" t="s">
        <v>955</v>
      </c>
      <c r="I197" s="60" t="s">
        <v>956</v>
      </c>
      <c r="J197" s="61">
        <v>427.32</v>
      </c>
      <c r="K197" s="61"/>
      <c r="L197" s="62">
        <v>625.13</v>
      </c>
      <c r="M197" s="63"/>
      <c r="N197" s="17" t="str">
        <f t="shared" si="9"/>
        <v>708536 ASSOCIATED PKG/KY LOUISVILLE</v>
      </c>
      <c r="O197" s="17" t="str">
        <f t="shared" si="10"/>
        <v>746780 ASSOCIATED FOR AAK</v>
      </c>
      <c r="P197" s="17" t="str">
        <f t="shared" si="11"/>
        <v>CP 106 NAT-24mm x 55m-36 rls/cs-S (101006)</v>
      </c>
    </row>
    <row r="198" spans="1:16" x14ac:dyDescent="0.25">
      <c r="A198" s="60" t="s">
        <v>882</v>
      </c>
      <c r="B198" s="60" t="s">
        <v>883</v>
      </c>
      <c r="C198" s="60" t="s">
        <v>273</v>
      </c>
      <c r="D198" s="60" t="s">
        <v>108</v>
      </c>
      <c r="E198" s="60" t="s">
        <v>728</v>
      </c>
      <c r="F198" s="60" t="s">
        <v>729</v>
      </c>
      <c r="G198" s="60" t="s">
        <v>19</v>
      </c>
      <c r="H198" s="60" t="s">
        <v>243</v>
      </c>
      <c r="I198" s="60" t="s">
        <v>87</v>
      </c>
      <c r="J198" s="61">
        <v>889.57</v>
      </c>
      <c r="K198" s="61"/>
      <c r="L198" s="62">
        <v>3777.84</v>
      </c>
      <c r="M198" s="64"/>
      <c r="N198" s="17" t="str">
        <f t="shared" si="9"/>
        <v>708536 ASSOCIATED PKG/KY LOUISVILLE</v>
      </c>
      <c r="O198" s="17" t="str">
        <f t="shared" si="10"/>
        <v>746780 ASSOCIATED FOR AAK</v>
      </c>
      <c r="P198" s="17" t="str">
        <f t="shared" si="11"/>
        <v>HP 100 CLR-48mm x 914m-6 rls/cs-S (208453)</v>
      </c>
    </row>
    <row r="199" spans="1:16" x14ac:dyDescent="0.25">
      <c r="A199" s="60" t="s">
        <v>882</v>
      </c>
      <c r="B199" s="60" t="s">
        <v>883</v>
      </c>
      <c r="C199" s="60" t="s">
        <v>273</v>
      </c>
      <c r="D199" s="60" t="s">
        <v>108</v>
      </c>
      <c r="E199" s="60" t="s">
        <v>728</v>
      </c>
      <c r="F199" s="60" t="s">
        <v>729</v>
      </c>
      <c r="G199" s="60" t="s">
        <v>18</v>
      </c>
      <c r="H199" s="60" t="s">
        <v>216</v>
      </c>
      <c r="I199" s="60" t="s">
        <v>91</v>
      </c>
      <c r="J199" s="61">
        <v>16555.86</v>
      </c>
      <c r="K199" s="61"/>
      <c r="L199" s="65">
        <v>61076.05</v>
      </c>
      <c r="M199" s="64"/>
      <c r="N199" s="17" t="str">
        <f t="shared" si="9"/>
        <v>708536 ASSOCIATED PKG/KY LOUISVILLE</v>
      </c>
      <c r="O199" s="17" t="str">
        <f t="shared" si="10"/>
        <v>746780 ASSOCIATED FOR AAK</v>
      </c>
      <c r="P199" s="17" t="str">
        <f t="shared" si="11"/>
        <v>HP 200 CLR-48mm x 1828m-6 rls/cs-S (100404)</v>
      </c>
    </row>
    <row r="200" spans="1:16" x14ac:dyDescent="0.25">
      <c r="A200" s="60" t="s">
        <v>882</v>
      </c>
      <c r="B200" s="60" t="s">
        <v>883</v>
      </c>
      <c r="C200" s="60" t="s">
        <v>273</v>
      </c>
      <c r="D200" s="60" t="s">
        <v>108</v>
      </c>
      <c r="E200" s="60" t="s">
        <v>728</v>
      </c>
      <c r="F200" s="60" t="s">
        <v>729</v>
      </c>
      <c r="G200" s="60" t="s">
        <v>18</v>
      </c>
      <c r="H200" s="60" t="s">
        <v>722</v>
      </c>
      <c r="I200" s="60" t="s">
        <v>723</v>
      </c>
      <c r="J200" s="61">
        <v>24047.02</v>
      </c>
      <c r="K200" s="61">
        <v>17103.400000000001</v>
      </c>
      <c r="L200" s="62">
        <v>45334.080000000002</v>
      </c>
      <c r="M200" s="63">
        <v>30222.720000000001</v>
      </c>
      <c r="N200" s="17" t="str">
        <f t="shared" si="9"/>
        <v>708536 ASSOCIATED PKG/KY LOUISVILLE</v>
      </c>
      <c r="O200" s="17" t="str">
        <f t="shared" si="10"/>
        <v>746780 ASSOCIATED FOR AAK</v>
      </c>
      <c r="P200" s="17" t="str">
        <f t="shared" si="11"/>
        <v>HP 200 BLU-72mm x 914m-4 rls/cs-H (123897)</v>
      </c>
    </row>
    <row r="201" spans="1:16" x14ac:dyDescent="0.25">
      <c r="A201" s="60" t="s">
        <v>882</v>
      </c>
      <c r="B201" s="60" t="s">
        <v>883</v>
      </c>
      <c r="C201" s="60" t="s">
        <v>273</v>
      </c>
      <c r="D201" s="60" t="s">
        <v>108</v>
      </c>
      <c r="E201" s="60" t="s">
        <v>728</v>
      </c>
      <c r="F201" s="60" t="s">
        <v>729</v>
      </c>
      <c r="G201" s="60" t="s">
        <v>18</v>
      </c>
      <c r="H201" s="60" t="s">
        <v>215</v>
      </c>
      <c r="I201" s="60" t="s">
        <v>50</v>
      </c>
      <c r="J201" s="61">
        <v>8981.2800000000007</v>
      </c>
      <c r="K201" s="61"/>
      <c r="L201" s="62">
        <v>37198.800000000003</v>
      </c>
      <c r="M201" s="63"/>
      <c r="N201" s="17" t="str">
        <f t="shared" si="9"/>
        <v>708536 ASSOCIATED PKG/KY LOUISVILLE</v>
      </c>
      <c r="O201" s="17" t="str">
        <f t="shared" si="10"/>
        <v>746780 ASSOCIATED FOR AAK</v>
      </c>
      <c r="P201" s="17" t="str">
        <f t="shared" si="11"/>
        <v>HP 200 CLR-48mm x 100m-36 rls/cs-S (207149)</v>
      </c>
    </row>
    <row r="202" spans="1:16" x14ac:dyDescent="0.25">
      <c r="A202" s="60" t="s">
        <v>882</v>
      </c>
      <c r="B202" s="60" t="s">
        <v>883</v>
      </c>
      <c r="C202" s="60" t="s">
        <v>273</v>
      </c>
      <c r="D202" s="60" t="s">
        <v>108</v>
      </c>
      <c r="E202" s="60" t="s">
        <v>728</v>
      </c>
      <c r="F202" s="60" t="s">
        <v>729</v>
      </c>
      <c r="G202" s="60" t="s">
        <v>18</v>
      </c>
      <c r="H202" s="60" t="s">
        <v>219</v>
      </c>
      <c r="I202" s="60" t="s">
        <v>60</v>
      </c>
      <c r="J202" s="61"/>
      <c r="K202" s="61">
        <v>113.1</v>
      </c>
      <c r="L202" s="62"/>
      <c r="M202" s="63">
        <v>413.32</v>
      </c>
      <c r="N202" s="17" t="str">
        <f t="shared" si="9"/>
        <v>708536 ASSOCIATED PKG/KY LOUISVILLE</v>
      </c>
      <c r="O202" s="17" t="str">
        <f t="shared" si="10"/>
        <v>746780 ASSOCIATED FOR AAK</v>
      </c>
      <c r="P202" s="17" t="str">
        <f t="shared" si="11"/>
        <v>HP 200 CLR-72mm x 100m-24 rls/cs-S (207233)</v>
      </c>
    </row>
    <row r="203" spans="1:16" x14ac:dyDescent="0.25">
      <c r="A203" s="60" t="s">
        <v>882</v>
      </c>
      <c r="B203" s="60" t="s">
        <v>883</v>
      </c>
      <c r="C203" s="60" t="s">
        <v>273</v>
      </c>
      <c r="D203" s="60" t="s">
        <v>108</v>
      </c>
      <c r="E203" s="60" t="s">
        <v>728</v>
      </c>
      <c r="F203" s="60" t="s">
        <v>729</v>
      </c>
      <c r="G203" s="60" t="s">
        <v>18</v>
      </c>
      <c r="H203" s="60" t="s">
        <v>212</v>
      </c>
      <c r="I203" s="60" t="s">
        <v>86</v>
      </c>
      <c r="J203" s="61"/>
      <c r="K203" s="61">
        <v>695.22</v>
      </c>
      <c r="L203" s="62"/>
      <c r="M203" s="63">
        <v>2518.56</v>
      </c>
      <c r="N203" s="17" t="str">
        <f t="shared" si="9"/>
        <v>708536 ASSOCIATED PKG/KY LOUISVILLE</v>
      </c>
      <c r="O203" s="17" t="str">
        <f t="shared" si="10"/>
        <v>746780 ASSOCIATED FOR AAK</v>
      </c>
      <c r="P203" s="17" t="str">
        <f t="shared" si="11"/>
        <v>HP 200 CLR-48mm x 914m-6 rls/cs-S (208492)</v>
      </c>
    </row>
    <row r="204" spans="1:16" x14ac:dyDescent="0.25">
      <c r="A204" s="60" t="s">
        <v>882</v>
      </c>
      <c r="B204" s="60" t="s">
        <v>883</v>
      </c>
      <c r="C204" s="60" t="s">
        <v>273</v>
      </c>
      <c r="D204" s="60" t="s">
        <v>108</v>
      </c>
      <c r="E204" s="60" t="s">
        <v>982</v>
      </c>
      <c r="F204" s="60" t="s">
        <v>983</v>
      </c>
      <c r="G204" s="60" t="s">
        <v>18</v>
      </c>
      <c r="H204" s="60" t="s">
        <v>257</v>
      </c>
      <c r="I204" s="60" t="s">
        <v>85</v>
      </c>
      <c r="J204" s="61">
        <v>45261.37</v>
      </c>
      <c r="K204" s="61"/>
      <c r="L204" s="65">
        <v>186001.2</v>
      </c>
      <c r="M204" s="64"/>
      <c r="N204" s="17" t="str">
        <f t="shared" si="9"/>
        <v>708536 ASSOCIATED PKG/KY LOUISVILLE</v>
      </c>
      <c r="O204" s="17" t="str">
        <f t="shared" si="10"/>
        <v>746841 ASSOCIATED FOR MAPLEHURST</v>
      </c>
      <c r="P204" s="17" t="str">
        <f t="shared" si="11"/>
        <v>HP 200 CLR-48mm x 1500m-6 rls/cs-H (101428)</v>
      </c>
    </row>
    <row r="205" spans="1:16" x14ac:dyDescent="0.25">
      <c r="A205" s="60" t="s">
        <v>882</v>
      </c>
      <c r="B205" s="60" t="s">
        <v>883</v>
      </c>
      <c r="C205" s="60" t="s">
        <v>273</v>
      </c>
      <c r="D205" s="60" t="s">
        <v>108</v>
      </c>
      <c r="E205" s="60" t="s">
        <v>982</v>
      </c>
      <c r="F205" s="60" t="s">
        <v>983</v>
      </c>
      <c r="G205" s="60" t="s">
        <v>18</v>
      </c>
      <c r="H205" s="60" t="s">
        <v>215</v>
      </c>
      <c r="I205" s="60" t="s">
        <v>50</v>
      </c>
      <c r="J205" s="61">
        <v>6137.21</v>
      </c>
      <c r="K205" s="61"/>
      <c r="L205" s="62">
        <v>24799.200000000001</v>
      </c>
      <c r="M205" s="63"/>
      <c r="N205" s="17" t="str">
        <f t="shared" si="9"/>
        <v>708536 ASSOCIATED PKG/KY LOUISVILLE</v>
      </c>
      <c r="O205" s="17" t="str">
        <f t="shared" si="10"/>
        <v>746841 ASSOCIATED FOR MAPLEHURST</v>
      </c>
      <c r="P205" s="17" t="str">
        <f t="shared" si="11"/>
        <v>HP 200 CLR-48mm x 100m-36 rls/cs-S (207149)</v>
      </c>
    </row>
    <row r="206" spans="1:16" x14ac:dyDescent="0.25">
      <c r="A206" s="60" t="s">
        <v>882</v>
      </c>
      <c r="B206" s="60" t="s">
        <v>883</v>
      </c>
      <c r="C206" s="60" t="s">
        <v>273</v>
      </c>
      <c r="D206" s="60" t="s">
        <v>108</v>
      </c>
      <c r="E206" s="60" t="s">
        <v>982</v>
      </c>
      <c r="F206" s="60" t="s">
        <v>983</v>
      </c>
      <c r="G206" s="60" t="s">
        <v>18</v>
      </c>
      <c r="H206" s="60" t="s">
        <v>213</v>
      </c>
      <c r="I206" s="60" t="s">
        <v>157</v>
      </c>
      <c r="J206" s="61">
        <v>16226.18</v>
      </c>
      <c r="K206" s="61"/>
      <c r="L206" s="62">
        <v>68001.119999999995</v>
      </c>
      <c r="M206" s="63"/>
      <c r="N206" s="17" t="str">
        <f t="shared" si="9"/>
        <v>708536 ASSOCIATED PKG/KY LOUISVILLE</v>
      </c>
      <c r="O206" s="17" t="str">
        <f t="shared" si="10"/>
        <v>746841 ASSOCIATED FOR MAPLEHURST</v>
      </c>
      <c r="P206" s="17" t="str">
        <f t="shared" si="11"/>
        <v>HP 200 CLR-48mm x 1371m-6 rls/cs-S (208511)</v>
      </c>
    </row>
    <row r="207" spans="1:16" x14ac:dyDescent="0.25">
      <c r="A207" s="60" t="s">
        <v>882</v>
      </c>
      <c r="B207" s="60" t="s">
        <v>883</v>
      </c>
      <c r="C207" s="60" t="s">
        <v>273</v>
      </c>
      <c r="D207" s="60" t="s">
        <v>108</v>
      </c>
      <c r="E207" s="60" t="s">
        <v>730</v>
      </c>
      <c r="F207" s="60" t="s">
        <v>731</v>
      </c>
      <c r="G207" s="60" t="s">
        <v>18</v>
      </c>
      <c r="H207" s="60" t="s">
        <v>275</v>
      </c>
      <c r="I207" s="60" t="s">
        <v>75</v>
      </c>
      <c r="J207" s="61">
        <v>15531.2</v>
      </c>
      <c r="K207" s="61">
        <v>49660.07</v>
      </c>
      <c r="L207" s="65">
        <v>56313.792000000001</v>
      </c>
      <c r="M207" s="64">
        <v>168941.37599999999</v>
      </c>
      <c r="N207" s="17" t="str">
        <f t="shared" si="9"/>
        <v>708536 ASSOCIATED PKG/KY LOUISVILLE</v>
      </c>
      <c r="O207" s="17" t="str">
        <f t="shared" si="10"/>
        <v>746902 INDIANA BEVERAGE INC</v>
      </c>
      <c r="P207" s="17" t="str">
        <f t="shared" si="11"/>
        <v>HP 200 CLR-53mm x 1371m-6 rls/cs-H (201324)</v>
      </c>
    </row>
    <row r="208" spans="1:16" x14ac:dyDescent="0.25">
      <c r="A208" s="60" t="s">
        <v>882</v>
      </c>
      <c r="B208" s="60" t="s">
        <v>883</v>
      </c>
      <c r="C208" s="60" t="s">
        <v>273</v>
      </c>
      <c r="D208" s="60" t="s">
        <v>108</v>
      </c>
      <c r="E208" s="60" t="s">
        <v>984</v>
      </c>
      <c r="F208" s="60" t="s">
        <v>985</v>
      </c>
      <c r="G208" s="60" t="s">
        <v>18</v>
      </c>
      <c r="H208" s="60" t="s">
        <v>213</v>
      </c>
      <c r="I208" s="60" t="s">
        <v>157</v>
      </c>
      <c r="J208" s="61">
        <v>4092.9</v>
      </c>
      <c r="K208" s="61"/>
      <c r="L208" s="62">
        <v>17000.28</v>
      </c>
      <c r="M208" s="63"/>
      <c r="N208" s="17" t="str">
        <f t="shared" si="9"/>
        <v>708536 ASSOCIATED PKG/KY LOUISVILLE</v>
      </c>
      <c r="O208" s="17" t="str">
        <f t="shared" si="10"/>
        <v>746910 RAGE PLASTICS</v>
      </c>
      <c r="P208" s="17" t="str">
        <f t="shared" si="11"/>
        <v>HP 200 CLR-48mm x 1371m-6 rls/cs-S (208511)</v>
      </c>
    </row>
    <row r="209" spans="1:16" x14ac:dyDescent="0.25">
      <c r="A209" s="60" t="s">
        <v>882</v>
      </c>
      <c r="B209" s="60" t="s">
        <v>883</v>
      </c>
      <c r="C209" s="60" t="s">
        <v>273</v>
      </c>
      <c r="D209" s="60" t="s">
        <v>108</v>
      </c>
      <c r="E209" s="60" t="s">
        <v>986</v>
      </c>
      <c r="F209" s="60" t="s">
        <v>987</v>
      </c>
      <c r="G209" s="60" t="s">
        <v>334</v>
      </c>
      <c r="H209" s="60" t="s">
        <v>937</v>
      </c>
      <c r="I209" s="60" t="s">
        <v>938</v>
      </c>
      <c r="J209" s="61">
        <v>208.61</v>
      </c>
      <c r="K209" s="61"/>
      <c r="L209" s="65">
        <v>151.56</v>
      </c>
      <c r="M209" s="64"/>
      <c r="N209" s="17" t="str">
        <f t="shared" si="9"/>
        <v>708536 ASSOCIATED PKG/KY LOUISVILLE</v>
      </c>
      <c r="O209" s="17" t="str">
        <f t="shared" si="10"/>
        <v>746950 NEXGEN MOLD &amp; TOOL INC</v>
      </c>
      <c r="P209" s="17" t="str">
        <f t="shared" si="11"/>
        <v>FP 096 KFT-48mm x 55m-24 rls/cs-S (201806)</v>
      </c>
    </row>
    <row r="210" spans="1:16" x14ac:dyDescent="0.25">
      <c r="A210" s="60" t="s">
        <v>882</v>
      </c>
      <c r="B210" s="60" t="s">
        <v>883</v>
      </c>
      <c r="C210" s="60" t="s">
        <v>273</v>
      </c>
      <c r="D210" s="60" t="s">
        <v>108</v>
      </c>
      <c r="E210" s="60" t="s">
        <v>1367</v>
      </c>
      <c r="F210" s="60" t="s">
        <v>1368</v>
      </c>
      <c r="G210" s="60" t="s">
        <v>18</v>
      </c>
      <c r="H210" s="60" t="s">
        <v>213</v>
      </c>
      <c r="I210" s="60" t="s">
        <v>157</v>
      </c>
      <c r="J210" s="61">
        <v>2507.27</v>
      </c>
      <c r="K210" s="61"/>
      <c r="L210" s="62">
        <v>9916.83</v>
      </c>
      <c r="M210" s="64"/>
      <c r="N210" s="17" t="str">
        <f t="shared" si="9"/>
        <v>708536 ASSOCIATED PKG/KY LOUISVILLE</v>
      </c>
      <c r="O210" s="17" t="str">
        <f t="shared" si="10"/>
        <v>747290 AAF ATLANTA PLANT</v>
      </c>
      <c r="P210" s="17" t="str">
        <f t="shared" si="11"/>
        <v>HP 200 CLR-48mm x 1371m-6 rls/cs-S (208511)</v>
      </c>
    </row>
    <row r="211" spans="1:16" x14ac:dyDescent="0.25">
      <c r="A211" s="60" t="s">
        <v>882</v>
      </c>
      <c r="B211" s="60" t="s">
        <v>883</v>
      </c>
      <c r="C211" s="60" t="s">
        <v>273</v>
      </c>
      <c r="D211" s="60" t="s">
        <v>108</v>
      </c>
      <c r="E211" s="60" t="s">
        <v>780</v>
      </c>
      <c r="F211" s="60" t="s">
        <v>354</v>
      </c>
      <c r="G211" s="60" t="s">
        <v>19</v>
      </c>
      <c r="H211" s="60" t="s">
        <v>242</v>
      </c>
      <c r="I211" s="60" t="s">
        <v>102</v>
      </c>
      <c r="J211" s="61">
        <v>255.42</v>
      </c>
      <c r="K211" s="61"/>
      <c r="L211" s="65">
        <v>1033.3</v>
      </c>
      <c r="M211" s="64"/>
      <c r="N211" s="17" t="str">
        <f t="shared" si="9"/>
        <v>708536 ASSOCIATED PKG/KY LOUISVILLE</v>
      </c>
      <c r="O211" s="17" t="str">
        <f t="shared" si="10"/>
        <v>747482 THE KINGSWOOD COMPANY</v>
      </c>
      <c r="P211" s="17" t="str">
        <f t="shared" si="11"/>
        <v>HP 100 CLR-72mm x 100m-24 rls/cs-S (207194)</v>
      </c>
    </row>
    <row r="212" spans="1:16" x14ac:dyDescent="0.25">
      <c r="A212" s="60" t="s">
        <v>882</v>
      </c>
      <c r="B212" s="60" t="s">
        <v>883</v>
      </c>
      <c r="C212" s="60" t="s">
        <v>273</v>
      </c>
      <c r="D212" s="60" t="s">
        <v>108</v>
      </c>
      <c r="E212" s="60" t="s">
        <v>780</v>
      </c>
      <c r="F212" s="60" t="s">
        <v>354</v>
      </c>
      <c r="G212" s="60" t="s">
        <v>19</v>
      </c>
      <c r="H212" s="60" t="s">
        <v>244</v>
      </c>
      <c r="I212" s="60" t="s">
        <v>94</v>
      </c>
      <c r="J212" s="61">
        <v>389.07</v>
      </c>
      <c r="K212" s="61">
        <v>1119.26</v>
      </c>
      <c r="L212" s="62">
        <v>1574.1</v>
      </c>
      <c r="M212" s="63">
        <v>4407.4799999999996</v>
      </c>
      <c r="N212" s="17" t="str">
        <f t="shared" si="9"/>
        <v>708536 ASSOCIATED PKG/KY LOUISVILLE</v>
      </c>
      <c r="O212" s="17" t="str">
        <f t="shared" si="10"/>
        <v>747482 THE KINGSWOOD COMPANY</v>
      </c>
      <c r="P212" s="17" t="str">
        <f t="shared" si="11"/>
        <v>HP 100 CLR-72mm x 914m-4 rls/cs-S (208465)</v>
      </c>
    </row>
    <row r="213" spans="1:16" x14ac:dyDescent="0.25">
      <c r="A213" s="60" t="s">
        <v>882</v>
      </c>
      <c r="B213" s="60" t="s">
        <v>883</v>
      </c>
      <c r="C213" s="60" t="s">
        <v>273</v>
      </c>
      <c r="D213" s="60" t="s">
        <v>108</v>
      </c>
      <c r="E213" s="60" t="s">
        <v>808</v>
      </c>
      <c r="F213" s="60" t="s">
        <v>809</v>
      </c>
      <c r="G213" s="60" t="s">
        <v>18</v>
      </c>
      <c r="H213" s="60" t="s">
        <v>215</v>
      </c>
      <c r="I213" s="60" t="s">
        <v>50</v>
      </c>
      <c r="J213" s="61">
        <v>1047.82</v>
      </c>
      <c r="K213" s="61"/>
      <c r="L213" s="62">
        <v>4133.2</v>
      </c>
      <c r="M213" s="64"/>
      <c r="N213" s="17" t="str">
        <f t="shared" si="9"/>
        <v>708536 ASSOCIATED PKG/KY LOUISVILLE</v>
      </c>
      <c r="O213" s="17" t="str">
        <f t="shared" si="10"/>
        <v>747719 NORMA GROUP CRAIG ASSEMBLY</v>
      </c>
      <c r="P213" s="17" t="str">
        <f t="shared" si="11"/>
        <v>HP 200 CLR-48mm x 100m-36 rls/cs-S (207149)</v>
      </c>
    </row>
    <row r="214" spans="1:16" x14ac:dyDescent="0.25">
      <c r="A214" s="60" t="s">
        <v>882</v>
      </c>
      <c r="B214" s="60" t="s">
        <v>883</v>
      </c>
      <c r="C214" s="60" t="s">
        <v>273</v>
      </c>
      <c r="D214" s="60" t="s">
        <v>108</v>
      </c>
      <c r="E214" s="60" t="s">
        <v>808</v>
      </c>
      <c r="F214" s="60" t="s">
        <v>809</v>
      </c>
      <c r="G214" s="60" t="s">
        <v>18</v>
      </c>
      <c r="H214" s="60" t="s">
        <v>708</v>
      </c>
      <c r="I214" s="60" t="s">
        <v>709</v>
      </c>
      <c r="J214" s="61"/>
      <c r="K214" s="61">
        <v>1539.65</v>
      </c>
      <c r="L214" s="62"/>
      <c r="M214" s="64">
        <v>4959.84</v>
      </c>
      <c r="N214" s="17" t="str">
        <f t="shared" si="9"/>
        <v>708536 ASSOCIATED PKG/KY LOUISVILLE</v>
      </c>
      <c r="O214" s="17" t="str">
        <f t="shared" si="10"/>
        <v>747719 NORMA GROUP CRAIG ASSEMBLY</v>
      </c>
      <c r="P214" s="17" t="str">
        <f t="shared" si="11"/>
        <v>HP 200 TAN-48mm x 100m-36 rls/cs-H/A (207223)</v>
      </c>
    </row>
    <row r="215" spans="1:16" x14ac:dyDescent="0.25">
      <c r="A215" s="60" t="s">
        <v>882</v>
      </c>
      <c r="B215" s="60" t="s">
        <v>883</v>
      </c>
      <c r="C215" s="60" t="s">
        <v>273</v>
      </c>
      <c r="D215" s="60" t="s">
        <v>108</v>
      </c>
      <c r="E215" s="60" t="s">
        <v>832</v>
      </c>
      <c r="F215" s="60" t="s">
        <v>833</v>
      </c>
      <c r="G215" s="60" t="s">
        <v>18</v>
      </c>
      <c r="H215" s="60" t="s">
        <v>212</v>
      </c>
      <c r="I215" s="60" t="s">
        <v>86</v>
      </c>
      <c r="J215" s="61"/>
      <c r="K215" s="61">
        <v>12733.46</v>
      </c>
      <c r="L215" s="62"/>
      <c r="M215" s="63">
        <v>45334.080000000002</v>
      </c>
      <c r="N215" s="17" t="str">
        <f t="shared" si="9"/>
        <v>708536 ASSOCIATED PKG/KY LOUISVILLE</v>
      </c>
      <c r="O215" s="17" t="str">
        <f t="shared" si="10"/>
        <v>748161 CATALINA CRUNCH</v>
      </c>
      <c r="P215" s="17" t="str">
        <f t="shared" si="11"/>
        <v>HP 200 CLR-48mm x 914m-6 rls/cs-S (208492)</v>
      </c>
    </row>
    <row r="216" spans="1:16" x14ac:dyDescent="0.25">
      <c r="A216" s="60" t="s">
        <v>882</v>
      </c>
      <c r="B216" s="60" t="s">
        <v>883</v>
      </c>
      <c r="C216" s="60" t="s">
        <v>273</v>
      </c>
      <c r="D216" s="60" t="s">
        <v>108</v>
      </c>
      <c r="E216" s="60" t="s">
        <v>848</v>
      </c>
      <c r="F216" s="60" t="s">
        <v>849</v>
      </c>
      <c r="G216" s="60" t="s">
        <v>63</v>
      </c>
      <c r="H216" s="60" t="s">
        <v>224</v>
      </c>
      <c r="I216" s="60" t="s">
        <v>64</v>
      </c>
      <c r="J216" s="61"/>
      <c r="K216" s="61">
        <v>208.14</v>
      </c>
      <c r="L216" s="62"/>
      <c r="M216" s="64">
        <v>826.56</v>
      </c>
      <c r="N216" s="17" t="str">
        <f t="shared" si="9"/>
        <v>708536 ASSOCIATED PKG/KY LOUISVILLE</v>
      </c>
      <c r="O216" s="17" t="str">
        <f t="shared" si="10"/>
        <v>749571 NORMA MICHIGAN INC</v>
      </c>
      <c r="P216" s="17" t="str">
        <f t="shared" si="11"/>
        <v>AP 180 CLR-48mm x 100m-36 rls/cs-H/A (231044)</v>
      </c>
    </row>
    <row r="217" spans="1:16" x14ac:dyDescent="0.25">
      <c r="A217" s="60" t="s">
        <v>882</v>
      </c>
      <c r="B217" s="60" t="s">
        <v>883</v>
      </c>
      <c r="C217" s="60" t="s">
        <v>273</v>
      </c>
      <c r="D217" s="60" t="s">
        <v>108</v>
      </c>
      <c r="E217" s="60" t="s">
        <v>868</v>
      </c>
      <c r="F217" s="60" t="s">
        <v>869</v>
      </c>
      <c r="G217" s="60" t="s">
        <v>18</v>
      </c>
      <c r="H217" s="60" t="s">
        <v>219</v>
      </c>
      <c r="I217" s="60" t="s">
        <v>60</v>
      </c>
      <c r="J217" s="61"/>
      <c r="K217" s="61">
        <v>2021.98</v>
      </c>
      <c r="L217" s="62"/>
      <c r="M217" s="64">
        <v>7233.1</v>
      </c>
      <c r="N217" s="17" t="str">
        <f t="shared" si="9"/>
        <v>708536 ASSOCIATED PKG/KY LOUISVILLE</v>
      </c>
      <c r="O217" s="17" t="str">
        <f t="shared" si="10"/>
        <v>749972 LACROSSE FOOTWEAR INC</v>
      </c>
      <c r="P217" s="17" t="str">
        <f t="shared" si="11"/>
        <v>HP 200 CLR-72mm x 100m-24 rls/cs-S (207233)</v>
      </c>
    </row>
    <row r="218" spans="1:16" x14ac:dyDescent="0.25">
      <c r="A218" s="60" t="s">
        <v>882</v>
      </c>
      <c r="B218" s="60" t="s">
        <v>883</v>
      </c>
      <c r="C218" s="60" t="s">
        <v>273</v>
      </c>
      <c r="D218" s="60" t="s">
        <v>108</v>
      </c>
      <c r="E218" s="60" t="s">
        <v>868</v>
      </c>
      <c r="F218" s="60" t="s">
        <v>869</v>
      </c>
      <c r="G218" s="60" t="s">
        <v>18</v>
      </c>
      <c r="H218" s="60" t="s">
        <v>212</v>
      </c>
      <c r="I218" s="60" t="s">
        <v>86</v>
      </c>
      <c r="J218" s="61"/>
      <c r="K218" s="61">
        <v>457.38</v>
      </c>
      <c r="L218" s="65"/>
      <c r="M218" s="64">
        <v>1574.1</v>
      </c>
      <c r="N218" s="17" t="str">
        <f t="shared" si="9"/>
        <v>708536 ASSOCIATED PKG/KY LOUISVILLE</v>
      </c>
      <c r="O218" s="17" t="str">
        <f t="shared" si="10"/>
        <v>749972 LACROSSE FOOTWEAR INC</v>
      </c>
      <c r="P218" s="17" t="str">
        <f t="shared" si="11"/>
        <v>HP 200 CLR-48mm x 914m-6 rls/cs-S (208492)</v>
      </c>
    </row>
    <row r="219" spans="1:16" x14ac:dyDescent="0.25">
      <c r="A219" s="60" t="s">
        <v>882</v>
      </c>
      <c r="B219" s="60" t="s">
        <v>883</v>
      </c>
      <c r="C219" s="60" t="s">
        <v>273</v>
      </c>
      <c r="D219" s="60" t="s">
        <v>108</v>
      </c>
      <c r="E219" s="60" t="s">
        <v>868</v>
      </c>
      <c r="F219" s="60" t="s">
        <v>869</v>
      </c>
      <c r="G219" s="60" t="s">
        <v>18</v>
      </c>
      <c r="H219" s="60" t="s">
        <v>232</v>
      </c>
      <c r="I219" s="60" t="s">
        <v>83</v>
      </c>
      <c r="J219" s="61"/>
      <c r="K219" s="61">
        <v>-291.54000000000002</v>
      </c>
      <c r="L219" s="65"/>
      <c r="M219" s="64">
        <v>-944.46</v>
      </c>
      <c r="N219" s="17" t="str">
        <f t="shared" si="9"/>
        <v>708536 ASSOCIATED PKG/KY LOUISVILLE</v>
      </c>
      <c r="O219" s="17" t="str">
        <f t="shared" si="10"/>
        <v>749972 LACROSSE FOOTWEAR INC</v>
      </c>
      <c r="P219" s="17" t="str">
        <f t="shared" si="11"/>
        <v>HP 200 TAN-48mm x 914m-6 rls/cs-H (208494)</v>
      </c>
    </row>
    <row r="220" spans="1:16" x14ac:dyDescent="0.25">
      <c r="A220" s="60" t="s">
        <v>882</v>
      </c>
      <c r="B220" s="60" t="s">
        <v>883</v>
      </c>
      <c r="C220" s="60" t="s">
        <v>273</v>
      </c>
      <c r="D220" s="60" t="s">
        <v>108</v>
      </c>
      <c r="E220" s="60" t="s">
        <v>988</v>
      </c>
      <c r="F220" s="60" t="s">
        <v>989</v>
      </c>
      <c r="G220" s="60" t="s">
        <v>70</v>
      </c>
      <c r="H220" s="60" t="s">
        <v>361</v>
      </c>
      <c r="I220" s="60" t="s">
        <v>362</v>
      </c>
      <c r="J220" s="61"/>
      <c r="K220" s="61">
        <v>8074.6</v>
      </c>
      <c r="L220" s="62"/>
      <c r="M220" s="63">
        <v>22668.48</v>
      </c>
      <c r="N220" s="17" t="str">
        <f t="shared" si="9"/>
        <v>708536 ASSOCIATED PKG/KY LOUISVILLE</v>
      </c>
      <c r="O220" s="17" t="str">
        <f t="shared" si="10"/>
        <v>750389 HUNGRYROOT INC</v>
      </c>
      <c r="P220" s="17" t="str">
        <f t="shared" si="11"/>
        <v>HP 235 CLR-72mm x 914m-4 rls/cs-H (150721)</v>
      </c>
    </row>
    <row r="221" spans="1:16" x14ac:dyDescent="0.25">
      <c r="A221" s="60" t="s">
        <v>237</v>
      </c>
      <c r="B221" s="60" t="s">
        <v>878</v>
      </c>
      <c r="C221" s="60" t="s">
        <v>298</v>
      </c>
      <c r="D221" s="60" t="s">
        <v>127</v>
      </c>
      <c r="E221" s="60" t="s">
        <v>298</v>
      </c>
      <c r="F221" s="60" t="s">
        <v>127</v>
      </c>
      <c r="G221" s="60" t="s">
        <v>55</v>
      </c>
      <c r="H221" s="60" t="s">
        <v>226</v>
      </c>
      <c r="I221" s="60" t="s">
        <v>98</v>
      </c>
      <c r="J221" s="61"/>
      <c r="K221" s="61">
        <v>808.32</v>
      </c>
      <c r="L221" s="65"/>
      <c r="M221" s="64">
        <v>2479.6799999999998</v>
      </c>
      <c r="N221" s="17" t="str">
        <f t="shared" si="9"/>
        <v>3838 ASSOCIATED PKG/NC STATESVILLE</v>
      </c>
      <c r="O221" s="17" t="str">
        <f t="shared" si="10"/>
        <v>3838 ASSOCIATED PKG/NC STATESVILLE</v>
      </c>
      <c r="P221" s="17" t="str">
        <f t="shared" si="11"/>
        <v>AP 201 CLR-48mm x 100m-36 rls/cs-H/A (230962)</v>
      </c>
    </row>
    <row r="222" spans="1:16" x14ac:dyDescent="0.25">
      <c r="A222" s="60" t="s">
        <v>237</v>
      </c>
      <c r="B222" s="60" t="s">
        <v>878</v>
      </c>
      <c r="C222" s="60" t="s">
        <v>298</v>
      </c>
      <c r="D222" s="60" t="s">
        <v>127</v>
      </c>
      <c r="E222" s="60" t="s">
        <v>298</v>
      </c>
      <c r="F222" s="60" t="s">
        <v>127</v>
      </c>
      <c r="G222" s="60" t="s">
        <v>55</v>
      </c>
      <c r="H222" s="60" t="s">
        <v>997</v>
      </c>
      <c r="I222" s="60" t="s">
        <v>998</v>
      </c>
      <c r="J222" s="61">
        <v>4719.68</v>
      </c>
      <c r="K222" s="61">
        <v>7238.17</v>
      </c>
      <c r="L222" s="65">
        <v>15111.552</v>
      </c>
      <c r="M222" s="64">
        <v>23296.975999999999</v>
      </c>
      <c r="N222" s="17" t="str">
        <f t="shared" si="9"/>
        <v>3838 ASSOCIATED PKG/NC STATESVILLE</v>
      </c>
      <c r="O222" s="17" t="str">
        <f t="shared" si="10"/>
        <v>3838 ASSOCIATED PKG/NC STATESVILLE</v>
      </c>
      <c r="P222" s="17" t="str">
        <f t="shared" si="11"/>
        <v>AP 201 CLR-72mm x 914m-4 rls/cs-H (230966)</v>
      </c>
    </row>
    <row r="223" spans="1:16" x14ac:dyDescent="0.25">
      <c r="A223" s="60" t="s">
        <v>237</v>
      </c>
      <c r="B223" s="60" t="s">
        <v>878</v>
      </c>
      <c r="C223" s="60" t="s">
        <v>298</v>
      </c>
      <c r="D223" s="60" t="s">
        <v>127</v>
      </c>
      <c r="E223" s="60" t="s">
        <v>298</v>
      </c>
      <c r="F223" s="60" t="s">
        <v>127</v>
      </c>
      <c r="G223" s="60" t="s">
        <v>19</v>
      </c>
      <c r="H223" s="60" t="s">
        <v>233</v>
      </c>
      <c r="I223" s="60" t="s">
        <v>49</v>
      </c>
      <c r="J223" s="61">
        <v>5752.29</v>
      </c>
      <c r="K223" s="61">
        <v>2950.99</v>
      </c>
      <c r="L223" s="62">
        <v>24799.200000000001</v>
      </c>
      <c r="M223" s="64">
        <v>12399.6</v>
      </c>
      <c r="N223" s="17" t="str">
        <f t="shared" si="9"/>
        <v>3838 ASSOCIATED PKG/NC STATESVILLE</v>
      </c>
      <c r="O223" s="17" t="str">
        <f t="shared" si="10"/>
        <v>3838 ASSOCIATED PKG/NC STATESVILLE</v>
      </c>
      <c r="P223" s="17" t="str">
        <f t="shared" si="11"/>
        <v>HP 100 CLR-48mm x 100m-36 rls/cs-S (207142)</v>
      </c>
    </row>
    <row r="224" spans="1:16" x14ac:dyDescent="0.25">
      <c r="A224" s="60" t="s">
        <v>237</v>
      </c>
      <c r="B224" s="60" t="s">
        <v>878</v>
      </c>
      <c r="C224" s="60" t="s">
        <v>298</v>
      </c>
      <c r="D224" s="60" t="s">
        <v>127</v>
      </c>
      <c r="E224" s="60" t="s">
        <v>298</v>
      </c>
      <c r="F224" s="60" t="s">
        <v>127</v>
      </c>
      <c r="G224" s="60" t="s">
        <v>19</v>
      </c>
      <c r="H224" s="60" t="s">
        <v>242</v>
      </c>
      <c r="I224" s="60" t="s">
        <v>102</v>
      </c>
      <c r="J224" s="61">
        <v>613.01</v>
      </c>
      <c r="K224" s="61">
        <v>613.01</v>
      </c>
      <c r="L224" s="65">
        <v>2479.92</v>
      </c>
      <c r="M224" s="64">
        <v>2479.92</v>
      </c>
      <c r="N224" s="17" t="str">
        <f t="shared" si="9"/>
        <v>3838 ASSOCIATED PKG/NC STATESVILLE</v>
      </c>
      <c r="O224" s="17" t="str">
        <f t="shared" si="10"/>
        <v>3838 ASSOCIATED PKG/NC STATESVILLE</v>
      </c>
      <c r="P224" s="17" t="str">
        <f t="shared" si="11"/>
        <v>HP 100 CLR-72mm x 100m-24 rls/cs-S (207194)</v>
      </c>
    </row>
    <row r="225" spans="1:16" x14ac:dyDescent="0.25">
      <c r="A225" s="60" t="s">
        <v>237</v>
      </c>
      <c r="B225" s="60" t="s">
        <v>878</v>
      </c>
      <c r="C225" s="60" t="s">
        <v>298</v>
      </c>
      <c r="D225" s="60" t="s">
        <v>127</v>
      </c>
      <c r="E225" s="60" t="s">
        <v>298</v>
      </c>
      <c r="F225" s="60" t="s">
        <v>127</v>
      </c>
      <c r="G225" s="60" t="s">
        <v>76</v>
      </c>
      <c r="H225" s="60" t="s">
        <v>299</v>
      </c>
      <c r="I225" s="60" t="s">
        <v>153</v>
      </c>
      <c r="J225" s="61">
        <v>17363.82</v>
      </c>
      <c r="K225" s="61">
        <v>7544.28</v>
      </c>
      <c r="L225" s="62">
        <v>60759.216</v>
      </c>
      <c r="M225" s="64">
        <v>26039.664000000001</v>
      </c>
      <c r="N225" s="17" t="str">
        <f t="shared" si="9"/>
        <v>3838 ASSOCIATED PKG/NC STATESVILLE</v>
      </c>
      <c r="O225" s="17" t="str">
        <f t="shared" si="10"/>
        <v>3838 ASSOCIATED PKG/NC STATESVILLE</v>
      </c>
      <c r="P225" s="17" t="str">
        <f t="shared" si="11"/>
        <v>HP 132 CLR-72mm x 100m-24 rls/cs-H (116083)</v>
      </c>
    </row>
    <row r="226" spans="1:16" x14ac:dyDescent="0.25">
      <c r="A226" s="60" t="s">
        <v>237</v>
      </c>
      <c r="B226" s="60" t="s">
        <v>878</v>
      </c>
      <c r="C226" s="60" t="s">
        <v>298</v>
      </c>
      <c r="D226" s="60" t="s">
        <v>127</v>
      </c>
      <c r="E226" s="60" t="s">
        <v>298</v>
      </c>
      <c r="F226" s="60" t="s">
        <v>127</v>
      </c>
      <c r="G226" s="60" t="s">
        <v>18</v>
      </c>
      <c r="H226" s="60" t="s">
        <v>215</v>
      </c>
      <c r="I226" s="60" t="s">
        <v>50</v>
      </c>
      <c r="J226" s="61">
        <v>112.62</v>
      </c>
      <c r="K226" s="61"/>
      <c r="L226" s="62">
        <v>413.32</v>
      </c>
      <c r="M226" s="64"/>
      <c r="N226" s="17" t="str">
        <f t="shared" si="9"/>
        <v>3838 ASSOCIATED PKG/NC STATESVILLE</v>
      </c>
      <c r="O226" s="17" t="str">
        <f t="shared" si="10"/>
        <v>3838 ASSOCIATED PKG/NC STATESVILLE</v>
      </c>
      <c r="P226" s="17" t="str">
        <f t="shared" si="11"/>
        <v>HP 200 CLR-48mm x 100m-36 rls/cs-S (207149)</v>
      </c>
    </row>
    <row r="227" spans="1:16" x14ac:dyDescent="0.25">
      <c r="A227" s="60" t="s">
        <v>237</v>
      </c>
      <c r="B227" s="60" t="s">
        <v>878</v>
      </c>
      <c r="C227" s="60" t="s">
        <v>298</v>
      </c>
      <c r="D227" s="60" t="s">
        <v>127</v>
      </c>
      <c r="E227" s="60" t="s">
        <v>298</v>
      </c>
      <c r="F227" s="60" t="s">
        <v>127</v>
      </c>
      <c r="G227" s="60" t="s">
        <v>18</v>
      </c>
      <c r="H227" s="60" t="s">
        <v>212</v>
      </c>
      <c r="I227" s="60" t="s">
        <v>86</v>
      </c>
      <c r="J227" s="61">
        <v>5751.23</v>
      </c>
      <c r="K227" s="61"/>
      <c r="L227" s="62">
        <v>20778.12</v>
      </c>
      <c r="M227" s="63"/>
      <c r="N227" s="17" t="str">
        <f t="shared" si="9"/>
        <v>3838 ASSOCIATED PKG/NC STATESVILLE</v>
      </c>
      <c r="O227" s="17" t="str">
        <f t="shared" si="10"/>
        <v>3838 ASSOCIATED PKG/NC STATESVILLE</v>
      </c>
      <c r="P227" s="17" t="str">
        <f t="shared" si="11"/>
        <v>HP 200 CLR-48mm x 914m-6 rls/cs-S (208492)</v>
      </c>
    </row>
    <row r="228" spans="1:16" x14ac:dyDescent="0.25">
      <c r="A228" s="60" t="s">
        <v>237</v>
      </c>
      <c r="B228" s="60" t="s">
        <v>878</v>
      </c>
      <c r="C228" s="60" t="s">
        <v>298</v>
      </c>
      <c r="D228" s="60" t="s">
        <v>127</v>
      </c>
      <c r="E228" s="60" t="s">
        <v>298</v>
      </c>
      <c r="F228" s="60" t="s">
        <v>127</v>
      </c>
      <c r="G228" s="60" t="s">
        <v>18</v>
      </c>
      <c r="H228" s="60" t="s">
        <v>214</v>
      </c>
      <c r="I228" s="60" t="s">
        <v>158</v>
      </c>
      <c r="J228" s="61">
        <v>6359.76</v>
      </c>
      <c r="K228" s="61">
        <v>4172.25</v>
      </c>
      <c r="L228" s="62">
        <v>22981.86</v>
      </c>
      <c r="M228" s="64">
        <v>15111.36</v>
      </c>
      <c r="N228" s="17" t="str">
        <f t="shared" si="9"/>
        <v>3838 ASSOCIATED PKG/NC STATESVILLE</v>
      </c>
      <c r="O228" s="17" t="str">
        <f t="shared" si="10"/>
        <v>3838 ASSOCIATED PKG/NC STATESVILLE</v>
      </c>
      <c r="P228" s="17" t="str">
        <f t="shared" si="11"/>
        <v>HP 200 CLR-72mm x 914m-4 rls/cs-S (208496)</v>
      </c>
    </row>
    <row r="229" spans="1:16" x14ac:dyDescent="0.25">
      <c r="A229" s="60" t="s">
        <v>237</v>
      </c>
      <c r="B229" s="60" t="s">
        <v>878</v>
      </c>
      <c r="C229" s="60" t="s">
        <v>298</v>
      </c>
      <c r="D229" s="60" t="s">
        <v>127</v>
      </c>
      <c r="E229" s="60" t="s">
        <v>1369</v>
      </c>
      <c r="F229" s="60" t="s">
        <v>1370</v>
      </c>
      <c r="G229" s="60" t="s">
        <v>18</v>
      </c>
      <c r="H229" s="60" t="s">
        <v>212</v>
      </c>
      <c r="I229" s="60" t="s">
        <v>86</v>
      </c>
      <c r="J229" s="61">
        <v>2091.36</v>
      </c>
      <c r="K229" s="61"/>
      <c r="L229" s="62">
        <v>7555.68</v>
      </c>
      <c r="M229" s="63"/>
      <c r="N229" s="17" t="str">
        <f t="shared" si="9"/>
        <v>3838 ASSOCIATED PKG/NC STATESVILLE</v>
      </c>
      <c r="O229" s="17" t="str">
        <f t="shared" si="10"/>
        <v>10941 MOUNTAIN STATE BEVERAGE</v>
      </c>
      <c r="P229" s="17" t="str">
        <f t="shared" si="11"/>
        <v>HP 200 CLR-48mm x 914m-6 rls/cs-S (208492)</v>
      </c>
    </row>
    <row r="230" spans="1:16" x14ac:dyDescent="0.25">
      <c r="A230" s="60" t="s">
        <v>237</v>
      </c>
      <c r="B230" s="60" t="s">
        <v>878</v>
      </c>
      <c r="C230" s="60" t="s">
        <v>298</v>
      </c>
      <c r="D230" s="60" t="s">
        <v>127</v>
      </c>
      <c r="E230" s="60" t="s">
        <v>990</v>
      </c>
      <c r="F230" s="60" t="s">
        <v>991</v>
      </c>
      <c r="G230" s="60" t="s">
        <v>19</v>
      </c>
      <c r="H230" s="60" t="s">
        <v>242</v>
      </c>
      <c r="I230" s="60" t="s">
        <v>102</v>
      </c>
      <c r="J230" s="61">
        <v>1839.02</v>
      </c>
      <c r="K230" s="61">
        <v>1839.02</v>
      </c>
      <c r="L230" s="65">
        <v>7439.76</v>
      </c>
      <c r="M230" s="64">
        <v>7439.76</v>
      </c>
      <c r="N230" s="17" t="str">
        <f t="shared" si="9"/>
        <v>3838 ASSOCIATED PKG/NC STATESVILLE</v>
      </c>
      <c r="O230" s="17" t="str">
        <f t="shared" si="10"/>
        <v>20424 PROGRESS PRINTING CO INC</v>
      </c>
      <c r="P230" s="17" t="str">
        <f t="shared" si="11"/>
        <v>HP 100 CLR-72mm x 100m-24 rls/cs-S (207194)</v>
      </c>
    </row>
    <row r="231" spans="1:16" x14ac:dyDescent="0.25">
      <c r="A231" s="60" t="s">
        <v>237</v>
      </c>
      <c r="B231" s="60" t="s">
        <v>878</v>
      </c>
      <c r="C231" s="60" t="s">
        <v>298</v>
      </c>
      <c r="D231" s="60" t="s">
        <v>127</v>
      </c>
      <c r="E231" s="60" t="s">
        <v>990</v>
      </c>
      <c r="F231" s="60" t="s">
        <v>991</v>
      </c>
      <c r="G231" s="60" t="s">
        <v>18</v>
      </c>
      <c r="H231" s="60" t="s">
        <v>212</v>
      </c>
      <c r="I231" s="60" t="s">
        <v>86</v>
      </c>
      <c r="J231" s="61">
        <v>1742.8</v>
      </c>
      <c r="K231" s="61"/>
      <c r="L231" s="65">
        <v>6296.4</v>
      </c>
      <c r="M231" s="64"/>
      <c r="N231" s="17" t="str">
        <f t="shared" si="9"/>
        <v>3838 ASSOCIATED PKG/NC STATESVILLE</v>
      </c>
      <c r="O231" s="17" t="str">
        <f t="shared" si="10"/>
        <v>20424 PROGRESS PRINTING CO INC</v>
      </c>
      <c r="P231" s="17" t="str">
        <f t="shared" si="11"/>
        <v>HP 200 CLR-48mm x 914m-6 rls/cs-S (208492)</v>
      </c>
    </row>
    <row r="232" spans="1:16" x14ac:dyDescent="0.25">
      <c r="A232" s="60" t="s">
        <v>237</v>
      </c>
      <c r="B232" s="60" t="s">
        <v>878</v>
      </c>
      <c r="C232" s="60" t="s">
        <v>298</v>
      </c>
      <c r="D232" s="60" t="s">
        <v>127</v>
      </c>
      <c r="E232" s="60" t="s">
        <v>300</v>
      </c>
      <c r="F232" s="60" t="s">
        <v>128</v>
      </c>
      <c r="G232" s="60" t="s">
        <v>18</v>
      </c>
      <c r="H232" s="60" t="s">
        <v>219</v>
      </c>
      <c r="I232" s="60" t="s">
        <v>60</v>
      </c>
      <c r="J232" s="61">
        <v>4008.78</v>
      </c>
      <c r="K232" s="61">
        <v>2782.77</v>
      </c>
      <c r="L232" s="62">
        <v>14879.52</v>
      </c>
      <c r="M232" s="63">
        <v>9919.68</v>
      </c>
      <c r="N232" s="17" t="str">
        <f t="shared" si="9"/>
        <v>3838 ASSOCIATED PKG/NC STATESVILLE</v>
      </c>
      <c r="O232" s="17" t="str">
        <f t="shared" si="10"/>
        <v>27825 ROBERTSON MARKETING GROUP</v>
      </c>
      <c r="P232" s="17" t="str">
        <f t="shared" si="11"/>
        <v>HP 200 CLR-72mm x 100m-24 rls/cs-S (207233)</v>
      </c>
    </row>
    <row r="233" spans="1:16" x14ac:dyDescent="0.25">
      <c r="A233" s="60" t="s">
        <v>237</v>
      </c>
      <c r="B233" s="60" t="s">
        <v>878</v>
      </c>
      <c r="C233" s="60" t="s">
        <v>298</v>
      </c>
      <c r="D233" s="60" t="s">
        <v>127</v>
      </c>
      <c r="E233" s="60" t="s">
        <v>1371</v>
      </c>
      <c r="F233" s="60" t="s">
        <v>1372</v>
      </c>
      <c r="G233" s="60" t="s">
        <v>56</v>
      </c>
      <c r="H233" s="60" t="s">
        <v>239</v>
      </c>
      <c r="I233" s="60" t="s">
        <v>57</v>
      </c>
      <c r="J233" s="61">
        <v>983.66</v>
      </c>
      <c r="K233" s="61">
        <v>933.77</v>
      </c>
      <c r="L233" s="65">
        <v>4132.8</v>
      </c>
      <c r="M233" s="64">
        <v>4132.8</v>
      </c>
      <c r="N233" s="17" t="str">
        <f t="shared" si="9"/>
        <v>3838 ASSOCIATED PKG/NC STATESVILLE</v>
      </c>
      <c r="O233" s="17" t="str">
        <f t="shared" si="10"/>
        <v>33406 ALFA SUPPLY, INC.</v>
      </c>
      <c r="P233" s="17" t="str">
        <f t="shared" si="11"/>
        <v>AP 101 CLR-48mm x 100m-36 rls/cs-S (230982)</v>
      </c>
    </row>
    <row r="234" spans="1:16" x14ac:dyDescent="0.25">
      <c r="A234" s="60" t="s">
        <v>237</v>
      </c>
      <c r="B234" s="60" t="s">
        <v>878</v>
      </c>
      <c r="C234" s="60" t="s">
        <v>298</v>
      </c>
      <c r="D234" s="60" t="s">
        <v>127</v>
      </c>
      <c r="E234" s="60" t="s">
        <v>605</v>
      </c>
      <c r="F234" s="60" t="s">
        <v>606</v>
      </c>
      <c r="G234" s="60" t="s">
        <v>62</v>
      </c>
      <c r="H234" s="60" t="s">
        <v>245</v>
      </c>
      <c r="I234" s="60" t="s">
        <v>118</v>
      </c>
      <c r="J234" s="61">
        <v>1007.42</v>
      </c>
      <c r="K234" s="61"/>
      <c r="L234" s="62">
        <v>2066.6999999999998</v>
      </c>
      <c r="M234" s="63"/>
      <c r="N234" s="17" t="str">
        <f t="shared" si="9"/>
        <v>3838 ASSOCIATED PKG/NC STATESVILLE</v>
      </c>
      <c r="O234" s="17" t="str">
        <f t="shared" si="10"/>
        <v>38117 POSITEC TOOL CORPORATION</v>
      </c>
      <c r="P234" s="17" t="str">
        <f t="shared" si="11"/>
        <v>HP 300 CLR-72mm x 100m-24 RLS/CS-H (207870)</v>
      </c>
    </row>
    <row r="235" spans="1:16" x14ac:dyDescent="0.25">
      <c r="A235" s="60" t="s">
        <v>237</v>
      </c>
      <c r="B235" s="60" t="s">
        <v>878</v>
      </c>
      <c r="C235" s="60" t="s">
        <v>298</v>
      </c>
      <c r="D235" s="60" t="s">
        <v>127</v>
      </c>
      <c r="E235" s="60" t="s">
        <v>507</v>
      </c>
      <c r="F235" s="60" t="s">
        <v>508</v>
      </c>
      <c r="G235" s="60" t="s">
        <v>63</v>
      </c>
      <c r="H235" s="60" t="s">
        <v>269</v>
      </c>
      <c r="I235" s="60" t="s">
        <v>74</v>
      </c>
      <c r="J235" s="61">
        <v>5901.98</v>
      </c>
      <c r="K235" s="61">
        <v>5388.77</v>
      </c>
      <c r="L235" s="62">
        <v>24800.256000000001</v>
      </c>
      <c r="M235" s="63">
        <v>24800.256000000001</v>
      </c>
      <c r="N235" s="17" t="str">
        <f t="shared" si="9"/>
        <v>3838 ASSOCIATED PKG/NC STATESVILLE</v>
      </c>
      <c r="O235" s="17" t="str">
        <f t="shared" si="10"/>
        <v>43903 BIMBO BAKEHOUSE LLC</v>
      </c>
      <c r="P235" s="17" t="str">
        <f t="shared" si="11"/>
        <v>AP 180 CLR-72mm x 100m-24 rls/cs-H/A (231045)</v>
      </c>
    </row>
    <row r="236" spans="1:16" x14ac:dyDescent="0.25">
      <c r="A236" s="60" t="s">
        <v>237</v>
      </c>
      <c r="B236" s="60" t="s">
        <v>878</v>
      </c>
      <c r="C236" s="60" t="s">
        <v>298</v>
      </c>
      <c r="D236" s="60" t="s">
        <v>127</v>
      </c>
      <c r="E236" s="60" t="s">
        <v>840</v>
      </c>
      <c r="F236" s="60" t="s">
        <v>841</v>
      </c>
      <c r="G236" s="60" t="s">
        <v>56</v>
      </c>
      <c r="H236" s="60" t="s">
        <v>239</v>
      </c>
      <c r="I236" s="60" t="s">
        <v>57</v>
      </c>
      <c r="J236" s="61"/>
      <c r="K236" s="61">
        <v>1033.56</v>
      </c>
      <c r="L236" s="62"/>
      <c r="M236" s="64">
        <v>4132.8</v>
      </c>
      <c r="N236" s="17" t="str">
        <f t="shared" si="9"/>
        <v>3838 ASSOCIATED PKG/NC STATESVILLE</v>
      </c>
      <c r="O236" s="17" t="str">
        <f t="shared" si="10"/>
        <v>75226 ATLAS COLD STORAGE</v>
      </c>
      <c r="P236" s="17" t="str">
        <f t="shared" si="11"/>
        <v>AP 101 CLR-48mm x 100m-36 rls/cs-S (230982)</v>
      </c>
    </row>
    <row r="237" spans="1:16" x14ac:dyDescent="0.25">
      <c r="A237" s="60" t="s">
        <v>237</v>
      </c>
      <c r="B237" s="60" t="s">
        <v>878</v>
      </c>
      <c r="C237" s="60" t="s">
        <v>298</v>
      </c>
      <c r="D237" s="60" t="s">
        <v>127</v>
      </c>
      <c r="E237" s="60" t="s">
        <v>301</v>
      </c>
      <c r="F237" s="60" t="s">
        <v>130</v>
      </c>
      <c r="G237" s="60" t="s">
        <v>19</v>
      </c>
      <c r="H237" s="60" t="s">
        <v>242</v>
      </c>
      <c r="I237" s="60" t="s">
        <v>102</v>
      </c>
      <c r="J237" s="61">
        <v>8667.66</v>
      </c>
      <c r="K237" s="61"/>
      <c r="L237" s="65">
        <v>37198.800000000003</v>
      </c>
      <c r="M237" s="64"/>
      <c r="N237" s="17" t="str">
        <f t="shared" si="9"/>
        <v>3838 ASSOCIATED PKG/NC STATESVILLE</v>
      </c>
      <c r="O237" s="17" t="str">
        <f t="shared" si="10"/>
        <v>84691 CAMRETT LOGISTICS</v>
      </c>
      <c r="P237" s="17" t="str">
        <f t="shared" si="11"/>
        <v>HP 100 CLR-72mm x 100m-24 rls/cs-S (207194)</v>
      </c>
    </row>
    <row r="238" spans="1:16" x14ac:dyDescent="0.25">
      <c r="A238" s="60" t="s">
        <v>237</v>
      </c>
      <c r="B238" s="60" t="s">
        <v>878</v>
      </c>
      <c r="C238" s="60" t="s">
        <v>298</v>
      </c>
      <c r="D238" s="60" t="s">
        <v>127</v>
      </c>
      <c r="E238" s="60" t="s">
        <v>301</v>
      </c>
      <c r="F238" s="60" t="s">
        <v>130</v>
      </c>
      <c r="G238" s="60" t="s">
        <v>19</v>
      </c>
      <c r="H238" s="60" t="s">
        <v>243</v>
      </c>
      <c r="I238" s="60" t="s">
        <v>87</v>
      </c>
      <c r="J238" s="61">
        <v>7293.37</v>
      </c>
      <c r="K238" s="61"/>
      <c r="L238" s="65">
        <v>30222.720000000001</v>
      </c>
      <c r="M238" s="64"/>
      <c r="N238" s="17" t="str">
        <f t="shared" si="9"/>
        <v>3838 ASSOCIATED PKG/NC STATESVILLE</v>
      </c>
      <c r="O238" s="17" t="str">
        <f t="shared" si="10"/>
        <v>84691 CAMRETT LOGISTICS</v>
      </c>
      <c r="P238" s="17" t="str">
        <f t="shared" si="11"/>
        <v>HP 100 CLR-48mm x 914m-6 rls/cs-S (208453)</v>
      </c>
    </row>
    <row r="239" spans="1:16" x14ac:dyDescent="0.25">
      <c r="A239" s="60" t="s">
        <v>237</v>
      </c>
      <c r="B239" s="60" t="s">
        <v>878</v>
      </c>
      <c r="C239" s="60" t="s">
        <v>298</v>
      </c>
      <c r="D239" s="60" t="s">
        <v>127</v>
      </c>
      <c r="E239" s="60" t="s">
        <v>399</v>
      </c>
      <c r="F239" s="60" t="s">
        <v>398</v>
      </c>
      <c r="G239" s="60" t="s">
        <v>19</v>
      </c>
      <c r="H239" s="60" t="s">
        <v>242</v>
      </c>
      <c r="I239" s="60" t="s">
        <v>102</v>
      </c>
      <c r="J239" s="61">
        <v>2794.18</v>
      </c>
      <c r="K239" s="61"/>
      <c r="L239" s="65">
        <v>12399.6</v>
      </c>
      <c r="M239" s="64"/>
      <c r="N239" s="17" t="str">
        <f t="shared" si="9"/>
        <v>3838 ASSOCIATED PKG/NC STATESVILLE</v>
      </c>
      <c r="O239" s="17" t="str">
        <f t="shared" si="10"/>
        <v>703143 WM T BURNETT</v>
      </c>
      <c r="P239" s="17" t="str">
        <f t="shared" si="11"/>
        <v>HP 100 CLR-72mm x 100m-24 rls/cs-S (207194)</v>
      </c>
    </row>
    <row r="240" spans="1:16" x14ac:dyDescent="0.25">
      <c r="A240" s="60" t="s">
        <v>237</v>
      </c>
      <c r="B240" s="60" t="s">
        <v>878</v>
      </c>
      <c r="C240" s="60" t="s">
        <v>298</v>
      </c>
      <c r="D240" s="60" t="s">
        <v>127</v>
      </c>
      <c r="E240" s="60" t="s">
        <v>399</v>
      </c>
      <c r="F240" s="60" t="s">
        <v>398</v>
      </c>
      <c r="G240" s="60" t="s">
        <v>109</v>
      </c>
      <c r="H240" s="60" t="s">
        <v>355</v>
      </c>
      <c r="I240" s="60" t="s">
        <v>356</v>
      </c>
      <c r="J240" s="61">
        <v>2523.31</v>
      </c>
      <c r="K240" s="61"/>
      <c r="L240" s="65">
        <v>4611</v>
      </c>
      <c r="M240" s="64"/>
      <c r="N240" s="17" t="str">
        <f t="shared" si="9"/>
        <v>3838 ASSOCIATED PKG/NC STATESVILLE</v>
      </c>
      <c r="O240" s="17" t="str">
        <f t="shared" si="10"/>
        <v>703143 WM T BURNETT</v>
      </c>
      <c r="P240" s="17" t="str">
        <f t="shared" si="11"/>
        <v>WP 100 NAT-70mm x 153m(500ft)-6 rls/cs-H (101688)</v>
      </c>
    </row>
    <row r="241" spans="1:16" x14ac:dyDescent="0.25">
      <c r="A241" s="60" t="s">
        <v>237</v>
      </c>
      <c r="B241" s="60" t="s">
        <v>878</v>
      </c>
      <c r="C241" s="60" t="s">
        <v>298</v>
      </c>
      <c r="D241" s="60" t="s">
        <v>127</v>
      </c>
      <c r="E241" s="60" t="s">
        <v>992</v>
      </c>
      <c r="F241" s="60" t="s">
        <v>1661</v>
      </c>
      <c r="G241" s="60" t="s">
        <v>65</v>
      </c>
      <c r="H241" s="60" t="s">
        <v>252</v>
      </c>
      <c r="I241" s="60" t="s">
        <v>152</v>
      </c>
      <c r="J241" s="61"/>
      <c r="K241" s="61">
        <v>1094.8599999999999</v>
      </c>
      <c r="L241" s="65"/>
      <c r="M241" s="64">
        <v>909.36</v>
      </c>
      <c r="N241" s="17" t="str">
        <f t="shared" si="9"/>
        <v>3838 ASSOCIATED PKG/NC STATESVILLE</v>
      </c>
      <c r="O241" s="17" t="str">
        <f t="shared" si="10"/>
        <v>704061 WRBP-MARION</v>
      </c>
      <c r="P241" s="17" t="str">
        <f t="shared" si="11"/>
        <v>FP 097 KFT-72mm x 55m-16 rls/cs-H/A (101073)</v>
      </c>
    </row>
    <row r="242" spans="1:16" x14ac:dyDescent="0.25">
      <c r="A242" s="60" t="s">
        <v>237</v>
      </c>
      <c r="B242" s="60" t="s">
        <v>878</v>
      </c>
      <c r="C242" s="60" t="s">
        <v>298</v>
      </c>
      <c r="D242" s="60" t="s">
        <v>127</v>
      </c>
      <c r="E242" s="60" t="s">
        <v>1373</v>
      </c>
      <c r="F242" s="60" t="s">
        <v>1374</v>
      </c>
      <c r="G242" s="60" t="s">
        <v>109</v>
      </c>
      <c r="H242" s="60" t="s">
        <v>1375</v>
      </c>
      <c r="I242" s="60" t="s">
        <v>1376</v>
      </c>
      <c r="J242" s="61">
        <v>710.82</v>
      </c>
      <c r="K242" s="61"/>
      <c r="L242" s="65">
        <v>1155.3</v>
      </c>
      <c r="M242" s="64"/>
      <c r="N242" s="17" t="str">
        <f t="shared" ref="N242:N305" si="12">C242&amp;" "&amp;D242</f>
        <v>3838 ASSOCIATED PKG/NC STATESVILLE</v>
      </c>
      <c r="O242" s="17" t="str">
        <f t="shared" ref="O242:O305" si="13">E242&amp;" "&amp;F242</f>
        <v>707919 WHOLESALE BOUTIQUE</v>
      </c>
      <c r="P242" s="17" t="str">
        <f t="shared" si="11"/>
        <v>WP 100 NAT-70mmx138m(450ft)-10rls/cs-H/A (101685)</v>
      </c>
    </row>
    <row r="243" spans="1:16" x14ac:dyDescent="0.25">
      <c r="A243" s="60" t="s">
        <v>237</v>
      </c>
      <c r="B243" s="60" t="s">
        <v>878</v>
      </c>
      <c r="C243" s="60" t="s">
        <v>298</v>
      </c>
      <c r="D243" s="60" t="s">
        <v>127</v>
      </c>
      <c r="E243" s="60" t="s">
        <v>698</v>
      </c>
      <c r="F243" s="60" t="s">
        <v>699</v>
      </c>
      <c r="G243" s="60" t="s">
        <v>19</v>
      </c>
      <c r="H243" s="60" t="s">
        <v>993</v>
      </c>
      <c r="I243" s="60" t="s">
        <v>994</v>
      </c>
      <c r="J243" s="61">
        <v>3678.05</v>
      </c>
      <c r="K243" s="61"/>
      <c r="L243" s="65">
        <v>12399.6</v>
      </c>
      <c r="M243" s="64"/>
      <c r="N243" s="17" t="str">
        <f t="shared" si="12"/>
        <v>3838 ASSOCIATED PKG/NC STATESVILLE</v>
      </c>
      <c r="O243" s="17" t="str">
        <f t="shared" si="13"/>
        <v>714105 DHL ROCK HILL</v>
      </c>
      <c r="P243" s="17" t="str">
        <f t="shared" si="11"/>
        <v>HP 100 CLR-48mm x 50m-36 rls/cs-S (207141)</v>
      </c>
    </row>
    <row r="244" spans="1:16" x14ac:dyDescent="0.25">
      <c r="A244" s="60" t="s">
        <v>237</v>
      </c>
      <c r="B244" s="60" t="s">
        <v>878</v>
      </c>
      <c r="C244" s="60" t="s">
        <v>298</v>
      </c>
      <c r="D244" s="60" t="s">
        <v>127</v>
      </c>
      <c r="E244" s="60" t="s">
        <v>698</v>
      </c>
      <c r="F244" s="60" t="s">
        <v>699</v>
      </c>
      <c r="G244" s="60" t="s">
        <v>70</v>
      </c>
      <c r="H244" s="60" t="s">
        <v>363</v>
      </c>
      <c r="I244" s="60" t="s">
        <v>364</v>
      </c>
      <c r="J244" s="61"/>
      <c r="K244" s="61">
        <v>10307.09</v>
      </c>
      <c r="L244" s="62"/>
      <c r="M244" s="63">
        <v>24801.119999999999</v>
      </c>
      <c r="N244" s="17" t="str">
        <f t="shared" si="12"/>
        <v>3838 ASSOCIATED PKG/NC STATESVILLE</v>
      </c>
      <c r="O244" s="17" t="str">
        <f t="shared" si="13"/>
        <v>714105 DHL ROCK HILL</v>
      </c>
      <c r="P244" s="17" t="str">
        <f t="shared" si="11"/>
        <v>HP 235 CLR-48mm x 100m-36 rls/cs-H (188923)</v>
      </c>
    </row>
    <row r="245" spans="1:16" x14ac:dyDescent="0.25">
      <c r="A245" s="60" t="s">
        <v>237</v>
      </c>
      <c r="B245" s="60" t="s">
        <v>878</v>
      </c>
      <c r="C245" s="60" t="s">
        <v>298</v>
      </c>
      <c r="D245" s="60" t="s">
        <v>127</v>
      </c>
      <c r="E245" s="60" t="s">
        <v>698</v>
      </c>
      <c r="F245" s="60" t="s">
        <v>699</v>
      </c>
      <c r="G245" s="60" t="s">
        <v>204</v>
      </c>
      <c r="H245" s="60" t="s">
        <v>230</v>
      </c>
      <c r="I245" s="60" t="s">
        <v>376</v>
      </c>
      <c r="J245" s="61">
        <v>95.83</v>
      </c>
      <c r="K245" s="61"/>
      <c r="L245" s="65">
        <v>0</v>
      </c>
      <c r="M245" s="64"/>
      <c r="N245" s="17" t="str">
        <f t="shared" si="12"/>
        <v>3838 ASSOCIATED PKG/NC STATESVILLE</v>
      </c>
      <c r="O245" s="17" t="str">
        <f t="shared" si="13"/>
        <v>714105 DHL ROCK HILL</v>
      </c>
      <c r="P245" s="17" t="str">
        <f t="shared" si="11"/>
        <v>SD 934  PISTOL GRIP TAPE DISPNSR PREM.-S (903000)</v>
      </c>
    </row>
    <row r="246" spans="1:16" x14ac:dyDescent="0.25">
      <c r="A246" s="60" t="s">
        <v>237</v>
      </c>
      <c r="B246" s="60" t="s">
        <v>878</v>
      </c>
      <c r="C246" s="60" t="s">
        <v>298</v>
      </c>
      <c r="D246" s="60" t="s">
        <v>127</v>
      </c>
      <c r="E246" s="60" t="s">
        <v>842</v>
      </c>
      <c r="F246" s="60" t="s">
        <v>843</v>
      </c>
      <c r="G246" s="60" t="s">
        <v>1662</v>
      </c>
      <c r="H246" s="60" t="s">
        <v>1663</v>
      </c>
      <c r="I246" s="60" t="s">
        <v>1664</v>
      </c>
      <c r="J246" s="61"/>
      <c r="K246" s="61">
        <v>194.34</v>
      </c>
      <c r="L246" s="62"/>
      <c r="M246" s="64">
        <v>0</v>
      </c>
      <c r="N246" s="17" t="str">
        <f t="shared" si="12"/>
        <v>3838 ASSOCIATED PKG/NC STATESVILLE</v>
      </c>
      <c r="O246" s="17" t="str">
        <f t="shared" si="13"/>
        <v>717314 PHOENIX PACKAGING OPERATIONS</v>
      </c>
      <c r="P246" s="17" t="str">
        <f t="shared" si="11"/>
        <v>03042 SPARE CLEAR WIPER FOR FE-3 (903238)</v>
      </c>
    </row>
    <row r="247" spans="1:16" x14ac:dyDescent="0.25">
      <c r="A247" s="60" t="s">
        <v>237</v>
      </c>
      <c r="B247" s="60" t="s">
        <v>878</v>
      </c>
      <c r="C247" s="60" t="s">
        <v>298</v>
      </c>
      <c r="D247" s="60" t="s">
        <v>127</v>
      </c>
      <c r="E247" s="60" t="s">
        <v>842</v>
      </c>
      <c r="F247" s="60" t="s">
        <v>843</v>
      </c>
      <c r="G247" s="60" t="s">
        <v>742</v>
      </c>
      <c r="H247" s="60" t="s">
        <v>743</v>
      </c>
      <c r="I247" s="60" t="s">
        <v>744</v>
      </c>
      <c r="J247" s="61"/>
      <c r="K247" s="61">
        <v>786.98</v>
      </c>
      <c r="L247" s="62"/>
      <c r="M247" s="64">
        <v>0</v>
      </c>
      <c r="N247" s="17" t="str">
        <f t="shared" si="12"/>
        <v>3838 ASSOCIATED PKG/NC STATESVILLE</v>
      </c>
      <c r="O247" s="17" t="str">
        <f t="shared" si="13"/>
        <v>717314 PHOENIX PACKAGING OPERATIONS</v>
      </c>
      <c r="P247" s="17" t="str">
        <f t="shared" si="11"/>
        <v>FE-3 Folded-Edge Tape Dispenser - H (903251)</v>
      </c>
    </row>
    <row r="248" spans="1:16" x14ac:dyDescent="0.25">
      <c r="A248" s="60" t="s">
        <v>237</v>
      </c>
      <c r="B248" s="60" t="s">
        <v>878</v>
      </c>
      <c r="C248" s="60" t="s">
        <v>298</v>
      </c>
      <c r="D248" s="60" t="s">
        <v>127</v>
      </c>
      <c r="E248" s="60" t="s">
        <v>1665</v>
      </c>
      <c r="F248" s="60" t="s">
        <v>1666</v>
      </c>
      <c r="G248" s="60" t="s">
        <v>18</v>
      </c>
      <c r="H248" s="60" t="s">
        <v>215</v>
      </c>
      <c r="I248" s="60" t="s">
        <v>50</v>
      </c>
      <c r="J248" s="61"/>
      <c r="K248" s="61">
        <v>3207.6</v>
      </c>
      <c r="L248" s="65"/>
      <c r="M248" s="64">
        <v>12399.6</v>
      </c>
      <c r="N248" s="17" t="str">
        <f t="shared" si="12"/>
        <v>3838 ASSOCIATED PKG/NC STATESVILLE</v>
      </c>
      <c r="O248" s="17" t="str">
        <f t="shared" si="13"/>
        <v>720725 EASTERN STATES STEEL</v>
      </c>
      <c r="P248" s="17" t="str">
        <f t="shared" si="11"/>
        <v>HP 200 CLR-48mm x 100m-36 rls/cs-S (207149)</v>
      </c>
    </row>
    <row r="249" spans="1:16" x14ac:dyDescent="0.25">
      <c r="A249" s="60" t="s">
        <v>237</v>
      </c>
      <c r="B249" s="60" t="s">
        <v>878</v>
      </c>
      <c r="C249" s="60" t="s">
        <v>298</v>
      </c>
      <c r="D249" s="60" t="s">
        <v>127</v>
      </c>
      <c r="E249" s="60" t="s">
        <v>302</v>
      </c>
      <c r="F249" s="60" t="s">
        <v>107</v>
      </c>
      <c r="G249" s="60" t="s">
        <v>19</v>
      </c>
      <c r="H249" s="60" t="s">
        <v>222</v>
      </c>
      <c r="I249" s="60" t="s">
        <v>104</v>
      </c>
      <c r="J249" s="61">
        <v>15097.1</v>
      </c>
      <c r="K249" s="61">
        <v>16700.919999999998</v>
      </c>
      <c r="L249" s="62">
        <v>82149.983999999997</v>
      </c>
      <c r="M249" s="64">
        <v>82149.983999999997</v>
      </c>
      <c r="N249" s="17" t="str">
        <f t="shared" si="12"/>
        <v>3838 ASSOCIATED PKG/NC STATESVILLE</v>
      </c>
      <c r="O249" s="17" t="str">
        <f t="shared" si="13"/>
        <v>721758 RICH PRODUCTS</v>
      </c>
      <c r="P249" s="17" t="str">
        <f t="shared" si="11"/>
        <v>HP 100 CLR-53mm x 1500m-6 rls/cs-S (195553)</v>
      </c>
    </row>
    <row r="250" spans="1:16" x14ac:dyDescent="0.25">
      <c r="A250" s="60" t="s">
        <v>237</v>
      </c>
      <c r="B250" s="60" t="s">
        <v>878</v>
      </c>
      <c r="C250" s="60" t="s">
        <v>298</v>
      </c>
      <c r="D250" s="60" t="s">
        <v>127</v>
      </c>
      <c r="E250" s="60" t="s">
        <v>995</v>
      </c>
      <c r="F250" s="60" t="s">
        <v>996</v>
      </c>
      <c r="G250" s="60" t="s">
        <v>55</v>
      </c>
      <c r="H250" s="60" t="s">
        <v>997</v>
      </c>
      <c r="I250" s="60" t="s">
        <v>998</v>
      </c>
      <c r="J250" s="61"/>
      <c r="K250" s="61">
        <v>2493.9699999999998</v>
      </c>
      <c r="L250" s="62"/>
      <c r="M250" s="64">
        <v>6611.3040000000001</v>
      </c>
      <c r="N250" s="17" t="str">
        <f t="shared" si="12"/>
        <v>3838 ASSOCIATED PKG/NC STATESVILLE</v>
      </c>
      <c r="O250" s="17" t="str">
        <f t="shared" si="13"/>
        <v>722360 SARSTEDT INC</v>
      </c>
      <c r="P250" s="17" t="str">
        <f t="shared" si="11"/>
        <v>AP 201 CLR-72mm x 914m-4 rls/cs-H (230966)</v>
      </c>
    </row>
    <row r="251" spans="1:16" x14ac:dyDescent="0.25">
      <c r="A251" s="60" t="s">
        <v>237</v>
      </c>
      <c r="B251" s="60" t="s">
        <v>878</v>
      </c>
      <c r="C251" s="60" t="s">
        <v>298</v>
      </c>
      <c r="D251" s="60" t="s">
        <v>127</v>
      </c>
      <c r="E251" s="60" t="s">
        <v>999</v>
      </c>
      <c r="F251" s="60" t="s">
        <v>1000</v>
      </c>
      <c r="G251" s="60" t="s">
        <v>18</v>
      </c>
      <c r="H251" s="60" t="s">
        <v>464</v>
      </c>
      <c r="I251" s="60" t="s">
        <v>465</v>
      </c>
      <c r="J251" s="61">
        <v>199.58</v>
      </c>
      <c r="K251" s="61"/>
      <c r="L251" s="62">
        <v>314.82</v>
      </c>
      <c r="M251" s="64"/>
      <c r="N251" s="17" t="str">
        <f t="shared" si="12"/>
        <v>3838 ASSOCIATED PKG/NC STATESVILLE</v>
      </c>
      <c r="O251" s="17" t="str">
        <f t="shared" si="13"/>
        <v>727933 PIONEER ECLIPSE CORP</v>
      </c>
      <c r="P251" s="17" t="str">
        <f t="shared" si="11"/>
        <v>HP 200 YEL-48mm x 914m-6 rls/cs-H (106042)</v>
      </c>
    </row>
    <row r="252" spans="1:16" x14ac:dyDescent="0.25">
      <c r="A252" s="60" t="s">
        <v>237</v>
      </c>
      <c r="B252" s="60" t="s">
        <v>878</v>
      </c>
      <c r="C252" s="60" t="s">
        <v>298</v>
      </c>
      <c r="D252" s="60" t="s">
        <v>127</v>
      </c>
      <c r="E252" s="60" t="s">
        <v>999</v>
      </c>
      <c r="F252" s="60" t="s">
        <v>1000</v>
      </c>
      <c r="G252" s="60" t="s">
        <v>18</v>
      </c>
      <c r="H252" s="60" t="s">
        <v>217</v>
      </c>
      <c r="I252" s="60" t="s">
        <v>149</v>
      </c>
      <c r="J252" s="61">
        <v>199.58</v>
      </c>
      <c r="K252" s="61">
        <v>220.02</v>
      </c>
      <c r="L252" s="62">
        <v>314.82</v>
      </c>
      <c r="M252" s="63">
        <v>314.82</v>
      </c>
      <c r="N252" s="17" t="str">
        <f t="shared" si="12"/>
        <v>3838 ASSOCIATED PKG/NC STATESVILLE</v>
      </c>
      <c r="O252" s="17" t="str">
        <f t="shared" si="13"/>
        <v>727933 PIONEER ECLIPSE CORP</v>
      </c>
      <c r="P252" s="17" t="str">
        <f t="shared" si="11"/>
        <v>HP 200 GRN-48mm x 914m-6 rls/cs-H/A (129199)</v>
      </c>
    </row>
    <row r="253" spans="1:16" x14ac:dyDescent="0.25">
      <c r="A253" s="60" t="s">
        <v>237</v>
      </c>
      <c r="B253" s="60" t="s">
        <v>878</v>
      </c>
      <c r="C253" s="60" t="s">
        <v>298</v>
      </c>
      <c r="D253" s="60" t="s">
        <v>127</v>
      </c>
      <c r="E253" s="60" t="s">
        <v>999</v>
      </c>
      <c r="F253" s="60" t="s">
        <v>1000</v>
      </c>
      <c r="G253" s="60" t="s">
        <v>18</v>
      </c>
      <c r="H253" s="60" t="s">
        <v>459</v>
      </c>
      <c r="I253" s="60" t="s">
        <v>460</v>
      </c>
      <c r="J253" s="61">
        <v>798.34</v>
      </c>
      <c r="K253" s="61">
        <v>880.07</v>
      </c>
      <c r="L253" s="62">
        <v>1259.28</v>
      </c>
      <c r="M253" s="63">
        <v>1259.28</v>
      </c>
      <c r="N253" s="17" t="str">
        <f t="shared" si="12"/>
        <v>3838 ASSOCIATED PKG/NC STATESVILLE</v>
      </c>
      <c r="O253" s="17" t="str">
        <f t="shared" si="13"/>
        <v>727933 PIONEER ECLIPSE CORP</v>
      </c>
      <c r="P253" s="17" t="str">
        <f t="shared" si="11"/>
        <v>HP 200 BLU-48mm x 914m-6 rls/cs-H (162592)</v>
      </c>
    </row>
    <row r="254" spans="1:16" x14ac:dyDescent="0.25">
      <c r="A254" s="60" t="s">
        <v>237</v>
      </c>
      <c r="B254" s="60" t="s">
        <v>878</v>
      </c>
      <c r="C254" s="60" t="s">
        <v>298</v>
      </c>
      <c r="D254" s="60" t="s">
        <v>127</v>
      </c>
      <c r="E254" s="60" t="s">
        <v>999</v>
      </c>
      <c r="F254" s="60" t="s">
        <v>1000</v>
      </c>
      <c r="G254" s="60" t="s">
        <v>18</v>
      </c>
      <c r="H254" s="60" t="s">
        <v>215</v>
      </c>
      <c r="I254" s="60" t="s">
        <v>50</v>
      </c>
      <c r="J254" s="61">
        <v>53.46</v>
      </c>
      <c r="K254" s="61"/>
      <c r="L254" s="62">
        <v>206.66</v>
      </c>
      <c r="M254" s="63"/>
      <c r="N254" s="17" t="str">
        <f t="shared" si="12"/>
        <v>3838 ASSOCIATED PKG/NC STATESVILLE</v>
      </c>
      <c r="O254" s="17" t="str">
        <f t="shared" si="13"/>
        <v>727933 PIONEER ECLIPSE CORP</v>
      </c>
      <c r="P254" s="17" t="str">
        <f t="shared" si="11"/>
        <v>HP 200 CLR-48mm x 100m-36 rls/cs-S (207149)</v>
      </c>
    </row>
    <row r="255" spans="1:16" x14ac:dyDescent="0.25">
      <c r="A255" s="60" t="s">
        <v>237</v>
      </c>
      <c r="B255" s="60" t="s">
        <v>878</v>
      </c>
      <c r="C255" s="60" t="s">
        <v>298</v>
      </c>
      <c r="D255" s="60" t="s">
        <v>127</v>
      </c>
      <c r="E255" s="60" t="s">
        <v>999</v>
      </c>
      <c r="F255" s="60" t="s">
        <v>1000</v>
      </c>
      <c r="G255" s="60" t="s">
        <v>18</v>
      </c>
      <c r="H255" s="60" t="s">
        <v>212</v>
      </c>
      <c r="I255" s="60" t="s">
        <v>86</v>
      </c>
      <c r="J255" s="61">
        <v>997.93</v>
      </c>
      <c r="K255" s="61">
        <v>1650.13</v>
      </c>
      <c r="L255" s="62">
        <v>3148.2</v>
      </c>
      <c r="M255" s="64">
        <v>4722.3</v>
      </c>
      <c r="N255" s="17" t="str">
        <f t="shared" si="12"/>
        <v>3838 ASSOCIATED PKG/NC STATESVILLE</v>
      </c>
      <c r="O255" s="17" t="str">
        <f t="shared" si="13"/>
        <v>727933 PIONEER ECLIPSE CORP</v>
      </c>
      <c r="P255" s="17" t="str">
        <f t="shared" si="11"/>
        <v>HP 200 CLR-48mm x 914m-6 rls/cs-S (208492)</v>
      </c>
    </row>
    <row r="256" spans="1:16" x14ac:dyDescent="0.25">
      <c r="A256" s="60" t="s">
        <v>237</v>
      </c>
      <c r="B256" s="60" t="s">
        <v>878</v>
      </c>
      <c r="C256" s="60" t="s">
        <v>298</v>
      </c>
      <c r="D256" s="60" t="s">
        <v>127</v>
      </c>
      <c r="E256" s="60" t="s">
        <v>999</v>
      </c>
      <c r="F256" s="60" t="s">
        <v>1000</v>
      </c>
      <c r="G256" s="60" t="s">
        <v>18</v>
      </c>
      <c r="H256" s="60" t="s">
        <v>493</v>
      </c>
      <c r="I256" s="60" t="s">
        <v>494</v>
      </c>
      <c r="J256" s="61">
        <v>199.58</v>
      </c>
      <c r="K256" s="61">
        <v>220.02</v>
      </c>
      <c r="L256" s="65">
        <v>314.82</v>
      </c>
      <c r="M256" s="64">
        <v>314.82</v>
      </c>
      <c r="N256" s="17" t="str">
        <f t="shared" si="12"/>
        <v>3838 ASSOCIATED PKG/NC STATESVILLE</v>
      </c>
      <c r="O256" s="17" t="str">
        <f t="shared" si="13"/>
        <v>727933 PIONEER ECLIPSE CORP</v>
      </c>
      <c r="P256" s="17" t="str">
        <f t="shared" si="11"/>
        <v>HP 200 RED-48mm x 914m-6 rls/cs-H (218104)</v>
      </c>
    </row>
    <row r="257" spans="1:16" x14ac:dyDescent="0.25">
      <c r="A257" s="60" t="s">
        <v>237</v>
      </c>
      <c r="B257" s="60" t="s">
        <v>878</v>
      </c>
      <c r="C257" s="60" t="s">
        <v>298</v>
      </c>
      <c r="D257" s="60" t="s">
        <v>127</v>
      </c>
      <c r="E257" s="60" t="s">
        <v>1001</v>
      </c>
      <c r="F257" s="60" t="s">
        <v>1002</v>
      </c>
      <c r="G257" s="60" t="s">
        <v>18</v>
      </c>
      <c r="H257" s="60" t="s">
        <v>548</v>
      </c>
      <c r="I257" s="60" t="s">
        <v>549</v>
      </c>
      <c r="J257" s="61"/>
      <c r="K257" s="61">
        <v>2401.0300000000002</v>
      </c>
      <c r="L257" s="65"/>
      <c r="M257" s="64">
        <v>8185.32</v>
      </c>
      <c r="N257" s="17" t="str">
        <f t="shared" si="12"/>
        <v>3838 ASSOCIATED PKG/NC STATESVILLE</v>
      </c>
      <c r="O257" s="17" t="str">
        <f t="shared" si="13"/>
        <v>728841 ELIZABETH ARDEN</v>
      </c>
      <c r="P257" s="17" t="str">
        <f t="shared" si="11"/>
        <v>HP 200 TAN-72mm x 914m-4 rls/cs-H (208498)</v>
      </c>
    </row>
    <row r="258" spans="1:16" x14ac:dyDescent="0.25">
      <c r="A258" s="60" t="s">
        <v>237</v>
      </c>
      <c r="B258" s="60" t="s">
        <v>878</v>
      </c>
      <c r="C258" s="60" t="s">
        <v>298</v>
      </c>
      <c r="D258" s="60" t="s">
        <v>127</v>
      </c>
      <c r="E258" s="60" t="s">
        <v>1667</v>
      </c>
      <c r="F258" s="60" t="s">
        <v>1668</v>
      </c>
      <c r="G258" s="60" t="s">
        <v>1354</v>
      </c>
      <c r="H258" s="60" t="s">
        <v>1669</v>
      </c>
      <c r="I258" s="60" t="s">
        <v>1670</v>
      </c>
      <c r="J258" s="61">
        <v>738.46</v>
      </c>
      <c r="K258" s="61"/>
      <c r="L258" s="62">
        <v>327.16800000000001</v>
      </c>
      <c r="M258" s="63"/>
      <c r="N258" s="17" t="str">
        <f t="shared" si="12"/>
        <v>3838 ASSOCIATED PKG/NC STATESVILLE</v>
      </c>
      <c r="O258" s="17" t="str">
        <f t="shared" si="13"/>
        <v>732361 TEAM IMAGE MARKETING</v>
      </c>
      <c r="P258" s="17" t="str">
        <f t="shared" si="11"/>
        <v>DP 380 GLA-19mm x 50m-48 rls/cs-H (232262)</v>
      </c>
    </row>
    <row r="259" spans="1:16" x14ac:dyDescent="0.25">
      <c r="A259" s="60" t="s">
        <v>237</v>
      </c>
      <c r="B259" s="60" t="s">
        <v>878</v>
      </c>
      <c r="C259" s="60" t="s">
        <v>298</v>
      </c>
      <c r="D259" s="60" t="s">
        <v>127</v>
      </c>
      <c r="E259" s="60" t="s">
        <v>1667</v>
      </c>
      <c r="F259" s="60" t="s">
        <v>1668</v>
      </c>
      <c r="G259" s="60" t="s">
        <v>19</v>
      </c>
      <c r="H259" s="60" t="s">
        <v>243</v>
      </c>
      <c r="I259" s="60" t="s">
        <v>87</v>
      </c>
      <c r="J259" s="61">
        <v>155.63</v>
      </c>
      <c r="K259" s="61"/>
      <c r="L259" s="62">
        <v>629.64</v>
      </c>
      <c r="M259" s="63"/>
      <c r="N259" s="17" t="str">
        <f t="shared" si="12"/>
        <v>3838 ASSOCIATED PKG/NC STATESVILLE</v>
      </c>
      <c r="O259" s="17" t="str">
        <f t="shared" si="13"/>
        <v>732361 TEAM IMAGE MARKETING</v>
      </c>
      <c r="P259" s="17" t="str">
        <f t="shared" si="11"/>
        <v>HP 100 CLR-48mm x 914m-6 rls/cs-S (208453)</v>
      </c>
    </row>
    <row r="260" spans="1:16" x14ac:dyDescent="0.25">
      <c r="A260" s="60" t="s">
        <v>237</v>
      </c>
      <c r="B260" s="60" t="s">
        <v>878</v>
      </c>
      <c r="C260" s="60" t="s">
        <v>298</v>
      </c>
      <c r="D260" s="60" t="s">
        <v>127</v>
      </c>
      <c r="E260" s="60" t="s">
        <v>700</v>
      </c>
      <c r="F260" s="60" t="s">
        <v>701</v>
      </c>
      <c r="G260" s="60" t="s">
        <v>76</v>
      </c>
      <c r="H260" s="60" t="s">
        <v>299</v>
      </c>
      <c r="I260" s="60" t="s">
        <v>153</v>
      </c>
      <c r="J260" s="61"/>
      <c r="K260" s="61">
        <v>7985.03</v>
      </c>
      <c r="L260" s="65"/>
      <c r="M260" s="64">
        <v>27486.312000000002</v>
      </c>
      <c r="N260" s="17" t="str">
        <f t="shared" si="12"/>
        <v>3838 ASSOCIATED PKG/NC STATESVILLE</v>
      </c>
      <c r="O260" s="17" t="str">
        <f t="shared" si="13"/>
        <v>733232 CARGILL MEAT</v>
      </c>
      <c r="P260" s="17" t="str">
        <f t="shared" ref="P260:P323" si="14">I260&amp;" ("&amp;H260&amp;")"</f>
        <v>HP 132 CLR-72mm x 100m-24 rls/cs-H (116083)</v>
      </c>
    </row>
    <row r="261" spans="1:16" x14ac:dyDescent="0.25">
      <c r="A261" s="60" t="s">
        <v>237</v>
      </c>
      <c r="B261" s="60" t="s">
        <v>878</v>
      </c>
      <c r="C261" s="60" t="s">
        <v>298</v>
      </c>
      <c r="D261" s="60" t="s">
        <v>127</v>
      </c>
      <c r="E261" s="60" t="s">
        <v>700</v>
      </c>
      <c r="F261" s="60" t="s">
        <v>701</v>
      </c>
      <c r="G261" s="60" t="s">
        <v>76</v>
      </c>
      <c r="H261" s="60" t="s">
        <v>1003</v>
      </c>
      <c r="I261" s="60" t="s">
        <v>1004</v>
      </c>
      <c r="J261" s="61">
        <v>10692</v>
      </c>
      <c r="K261" s="61"/>
      <c r="L261" s="62">
        <v>30222.720000000001</v>
      </c>
      <c r="M261" s="63"/>
      <c r="N261" s="17" t="str">
        <f t="shared" si="12"/>
        <v>3838 ASSOCIATED PKG/NC STATESVILLE</v>
      </c>
      <c r="O261" s="17" t="str">
        <f t="shared" si="13"/>
        <v>733232 CARGILL MEAT</v>
      </c>
      <c r="P261" s="17" t="str">
        <f t="shared" si="14"/>
        <v>HP 132 CLR-48mm x 914m-6 rls/cs-S (176748)</v>
      </c>
    </row>
    <row r="262" spans="1:16" x14ac:dyDescent="0.25">
      <c r="A262" s="60" t="s">
        <v>237</v>
      </c>
      <c r="B262" s="60" t="s">
        <v>878</v>
      </c>
      <c r="C262" s="60" t="s">
        <v>298</v>
      </c>
      <c r="D262" s="60" t="s">
        <v>127</v>
      </c>
      <c r="E262" s="60" t="s">
        <v>862</v>
      </c>
      <c r="F262" s="60" t="s">
        <v>1384</v>
      </c>
      <c r="G262" s="60" t="s">
        <v>70</v>
      </c>
      <c r="H262" s="60" t="s">
        <v>361</v>
      </c>
      <c r="I262" s="60" t="s">
        <v>362</v>
      </c>
      <c r="J262" s="61"/>
      <c r="K262" s="61">
        <v>15271.03</v>
      </c>
      <c r="L262" s="65"/>
      <c r="M262" s="64">
        <v>34002.720000000001</v>
      </c>
      <c r="N262" s="17" t="str">
        <f t="shared" si="12"/>
        <v>3838 ASSOCIATED PKG/NC STATESVILLE</v>
      </c>
      <c r="O262" s="17" t="str">
        <f t="shared" si="13"/>
        <v>739404 READERLINK DISTRIBUTION DNU</v>
      </c>
      <c r="P262" s="17" t="str">
        <f t="shared" si="14"/>
        <v>HP 235 CLR-72mm x 914m-4 rls/cs-H (150721)</v>
      </c>
    </row>
    <row r="263" spans="1:16" x14ac:dyDescent="0.25">
      <c r="A263" s="60" t="s">
        <v>237</v>
      </c>
      <c r="B263" s="60" t="s">
        <v>878</v>
      </c>
      <c r="C263" s="60" t="s">
        <v>298</v>
      </c>
      <c r="D263" s="60" t="s">
        <v>127</v>
      </c>
      <c r="E263" s="60" t="s">
        <v>317</v>
      </c>
      <c r="F263" s="60" t="s">
        <v>318</v>
      </c>
      <c r="G263" s="60" t="s">
        <v>63</v>
      </c>
      <c r="H263" s="60" t="s">
        <v>269</v>
      </c>
      <c r="I263" s="60" t="s">
        <v>74</v>
      </c>
      <c r="J263" s="61">
        <v>2566.08</v>
      </c>
      <c r="K263" s="61">
        <v>4847.04</v>
      </c>
      <c r="L263" s="62">
        <v>12400.128000000001</v>
      </c>
      <c r="M263" s="63">
        <v>24800.256000000001</v>
      </c>
      <c r="N263" s="17" t="str">
        <f t="shared" si="12"/>
        <v>3838 ASSOCIATED PKG/NC STATESVILLE</v>
      </c>
      <c r="O263" s="17" t="str">
        <f t="shared" si="13"/>
        <v>739415 DEHAVEN TRANSPORTATION</v>
      </c>
      <c r="P263" s="17" t="str">
        <f t="shared" si="14"/>
        <v>AP 180 CLR-72mm x 100m-24 rls/cs-H/A (231045)</v>
      </c>
    </row>
    <row r="264" spans="1:16" x14ac:dyDescent="0.25">
      <c r="A264" s="60" t="s">
        <v>237</v>
      </c>
      <c r="B264" s="60" t="s">
        <v>878</v>
      </c>
      <c r="C264" s="60" t="s">
        <v>298</v>
      </c>
      <c r="D264" s="60" t="s">
        <v>127</v>
      </c>
      <c r="E264" s="60" t="s">
        <v>317</v>
      </c>
      <c r="F264" s="60" t="s">
        <v>318</v>
      </c>
      <c r="G264" s="60" t="s">
        <v>63</v>
      </c>
      <c r="H264" s="60" t="s">
        <v>277</v>
      </c>
      <c r="I264" s="60" t="s">
        <v>105</v>
      </c>
      <c r="J264" s="61">
        <v>42853.54</v>
      </c>
      <c r="K264" s="61">
        <v>58301.34</v>
      </c>
      <c r="L264" s="62">
        <v>170002.28599999999</v>
      </c>
      <c r="M264" s="63">
        <v>204002.742</v>
      </c>
      <c r="N264" s="17" t="str">
        <f t="shared" si="12"/>
        <v>3838 ASSOCIATED PKG/NC STATESVILLE</v>
      </c>
      <c r="O264" s="17" t="str">
        <f t="shared" si="13"/>
        <v>739415 DEHAVEN TRANSPORTATION</v>
      </c>
      <c r="P264" s="17" t="str">
        <f t="shared" si="14"/>
        <v>AP 180 CLR-72mm x 1371m-4 rls/cs-H (231051)</v>
      </c>
    </row>
    <row r="265" spans="1:16" x14ac:dyDescent="0.25">
      <c r="A265" s="60" t="s">
        <v>237</v>
      </c>
      <c r="B265" s="60" t="s">
        <v>878</v>
      </c>
      <c r="C265" s="60" t="s">
        <v>298</v>
      </c>
      <c r="D265" s="60" t="s">
        <v>127</v>
      </c>
      <c r="E265" s="60" t="s">
        <v>317</v>
      </c>
      <c r="F265" s="60" t="s">
        <v>318</v>
      </c>
      <c r="G265" s="60" t="s">
        <v>742</v>
      </c>
      <c r="H265" s="60" t="s">
        <v>743</v>
      </c>
      <c r="I265" s="60" t="s">
        <v>744</v>
      </c>
      <c r="J265" s="61"/>
      <c r="K265" s="61">
        <v>888.04</v>
      </c>
      <c r="L265" s="65"/>
      <c r="M265" s="64">
        <v>0</v>
      </c>
      <c r="N265" s="17" t="str">
        <f t="shared" si="12"/>
        <v>3838 ASSOCIATED PKG/NC STATESVILLE</v>
      </c>
      <c r="O265" s="17" t="str">
        <f t="shared" si="13"/>
        <v>739415 DEHAVEN TRANSPORTATION</v>
      </c>
      <c r="P265" s="17" t="str">
        <f t="shared" si="14"/>
        <v>FE-3 Folded-Edge Tape Dispenser - H (903251)</v>
      </c>
    </row>
    <row r="266" spans="1:16" x14ac:dyDescent="0.25">
      <c r="A266" s="60" t="s">
        <v>237</v>
      </c>
      <c r="B266" s="60" t="s">
        <v>878</v>
      </c>
      <c r="C266" s="60" t="s">
        <v>298</v>
      </c>
      <c r="D266" s="60" t="s">
        <v>127</v>
      </c>
      <c r="E266" s="60" t="s">
        <v>317</v>
      </c>
      <c r="F266" s="60" t="s">
        <v>318</v>
      </c>
      <c r="G266" s="60" t="s">
        <v>19</v>
      </c>
      <c r="H266" s="60" t="s">
        <v>242</v>
      </c>
      <c r="I266" s="60" t="s">
        <v>102</v>
      </c>
      <c r="J266" s="61">
        <v>2936.74</v>
      </c>
      <c r="K266" s="61">
        <v>11846.74</v>
      </c>
      <c r="L266" s="62">
        <v>12399.6</v>
      </c>
      <c r="M266" s="63">
        <v>49598.400000000001</v>
      </c>
      <c r="N266" s="17" t="str">
        <f t="shared" si="12"/>
        <v>3838 ASSOCIATED PKG/NC STATESVILLE</v>
      </c>
      <c r="O266" s="17" t="str">
        <f t="shared" si="13"/>
        <v>739415 DEHAVEN TRANSPORTATION</v>
      </c>
      <c r="P266" s="17" t="str">
        <f t="shared" si="14"/>
        <v>HP 100 CLR-72mm x 100m-24 rls/cs-S (207194)</v>
      </c>
    </row>
    <row r="267" spans="1:16" x14ac:dyDescent="0.25">
      <c r="A267" s="60" t="s">
        <v>237</v>
      </c>
      <c r="B267" s="60" t="s">
        <v>878</v>
      </c>
      <c r="C267" s="60" t="s">
        <v>298</v>
      </c>
      <c r="D267" s="60" t="s">
        <v>127</v>
      </c>
      <c r="E267" s="60" t="s">
        <v>317</v>
      </c>
      <c r="F267" s="60" t="s">
        <v>318</v>
      </c>
      <c r="G267" s="60" t="s">
        <v>19</v>
      </c>
      <c r="H267" s="60" t="s">
        <v>244</v>
      </c>
      <c r="I267" s="60" t="s">
        <v>94</v>
      </c>
      <c r="J267" s="61">
        <v>3735.07</v>
      </c>
      <c r="K267" s="61">
        <v>11372.49</v>
      </c>
      <c r="L267" s="62">
        <v>15111.36</v>
      </c>
      <c r="M267" s="63">
        <v>45334.080000000002</v>
      </c>
      <c r="N267" s="17" t="str">
        <f t="shared" si="12"/>
        <v>3838 ASSOCIATED PKG/NC STATESVILLE</v>
      </c>
      <c r="O267" s="17" t="str">
        <f t="shared" si="13"/>
        <v>739415 DEHAVEN TRANSPORTATION</v>
      </c>
      <c r="P267" s="17" t="str">
        <f t="shared" si="14"/>
        <v>HP 100 CLR-72mm x 914m-4 rls/cs-S (208465)</v>
      </c>
    </row>
    <row r="268" spans="1:16" x14ac:dyDescent="0.25">
      <c r="A268" s="60" t="s">
        <v>237</v>
      </c>
      <c r="B268" s="60" t="s">
        <v>878</v>
      </c>
      <c r="C268" s="60" t="s">
        <v>298</v>
      </c>
      <c r="D268" s="60" t="s">
        <v>127</v>
      </c>
      <c r="E268" s="60" t="s">
        <v>317</v>
      </c>
      <c r="F268" s="60" t="s">
        <v>318</v>
      </c>
      <c r="G268" s="60" t="s">
        <v>18</v>
      </c>
      <c r="H268" s="60" t="s">
        <v>708</v>
      </c>
      <c r="I268" s="60" t="s">
        <v>709</v>
      </c>
      <c r="J268" s="61"/>
      <c r="K268" s="61">
        <v>3656.66</v>
      </c>
      <c r="L268" s="62"/>
      <c r="M268" s="63">
        <v>12399.6</v>
      </c>
      <c r="N268" s="17" t="str">
        <f t="shared" si="12"/>
        <v>3838 ASSOCIATED PKG/NC STATESVILLE</v>
      </c>
      <c r="O268" s="17" t="str">
        <f t="shared" si="13"/>
        <v>739415 DEHAVEN TRANSPORTATION</v>
      </c>
      <c r="P268" s="17" t="str">
        <f t="shared" si="14"/>
        <v>HP 200 TAN-48mm x 100m-36 rls/cs-H/A (207223)</v>
      </c>
    </row>
    <row r="269" spans="1:16" x14ac:dyDescent="0.25">
      <c r="A269" s="60" t="s">
        <v>237</v>
      </c>
      <c r="B269" s="60" t="s">
        <v>878</v>
      </c>
      <c r="C269" s="60" t="s">
        <v>298</v>
      </c>
      <c r="D269" s="60" t="s">
        <v>127</v>
      </c>
      <c r="E269" s="60" t="s">
        <v>317</v>
      </c>
      <c r="F269" s="60" t="s">
        <v>318</v>
      </c>
      <c r="G269" s="60" t="s">
        <v>18</v>
      </c>
      <c r="H269" s="60" t="s">
        <v>232</v>
      </c>
      <c r="I269" s="60" t="s">
        <v>83</v>
      </c>
      <c r="J269" s="61">
        <v>4231.18</v>
      </c>
      <c r="K269" s="61"/>
      <c r="L269" s="62">
        <v>15111.36</v>
      </c>
      <c r="M269" s="63"/>
      <c r="N269" s="17" t="str">
        <f t="shared" si="12"/>
        <v>3838 ASSOCIATED PKG/NC STATESVILLE</v>
      </c>
      <c r="O269" s="17" t="str">
        <f t="shared" si="13"/>
        <v>739415 DEHAVEN TRANSPORTATION</v>
      </c>
      <c r="P269" s="17" t="str">
        <f t="shared" si="14"/>
        <v>HP 200 TAN-48mm x 914m-6 rls/cs-H (208494)</v>
      </c>
    </row>
    <row r="270" spans="1:16" x14ac:dyDescent="0.25">
      <c r="A270" s="60" t="s">
        <v>237</v>
      </c>
      <c r="B270" s="60" t="s">
        <v>878</v>
      </c>
      <c r="C270" s="60" t="s">
        <v>298</v>
      </c>
      <c r="D270" s="60" t="s">
        <v>127</v>
      </c>
      <c r="E270" s="60" t="s">
        <v>317</v>
      </c>
      <c r="F270" s="60" t="s">
        <v>318</v>
      </c>
      <c r="G270" s="60" t="s">
        <v>18</v>
      </c>
      <c r="H270" s="60" t="s">
        <v>548</v>
      </c>
      <c r="I270" s="60" t="s">
        <v>549</v>
      </c>
      <c r="J270" s="61">
        <v>8466.16</v>
      </c>
      <c r="K270" s="61">
        <v>4617.3599999999997</v>
      </c>
      <c r="L270" s="65">
        <v>30222.720000000001</v>
      </c>
      <c r="M270" s="64">
        <v>15741</v>
      </c>
      <c r="N270" s="17" t="str">
        <f t="shared" si="12"/>
        <v>3838 ASSOCIATED PKG/NC STATESVILLE</v>
      </c>
      <c r="O270" s="17" t="str">
        <f t="shared" si="13"/>
        <v>739415 DEHAVEN TRANSPORTATION</v>
      </c>
      <c r="P270" s="17" t="str">
        <f t="shared" si="14"/>
        <v>HP 200 TAN-72mm x 914m-4 rls/cs-H (208498)</v>
      </c>
    </row>
    <row r="271" spans="1:16" x14ac:dyDescent="0.25">
      <c r="A271" s="60" t="s">
        <v>237</v>
      </c>
      <c r="B271" s="60" t="s">
        <v>878</v>
      </c>
      <c r="C271" s="60" t="s">
        <v>298</v>
      </c>
      <c r="D271" s="60" t="s">
        <v>127</v>
      </c>
      <c r="E271" s="60" t="s">
        <v>1671</v>
      </c>
      <c r="F271" s="60" t="s">
        <v>1672</v>
      </c>
      <c r="G271" s="60" t="s">
        <v>63</v>
      </c>
      <c r="H271" s="60" t="s">
        <v>269</v>
      </c>
      <c r="I271" s="60" t="s">
        <v>74</v>
      </c>
      <c r="J271" s="61">
        <v>2566.08</v>
      </c>
      <c r="K271" s="61"/>
      <c r="L271" s="62">
        <v>12400.128000000001</v>
      </c>
      <c r="M271" s="64"/>
      <c r="N271" s="17" t="str">
        <f t="shared" si="12"/>
        <v>3838 ASSOCIATED PKG/NC STATESVILLE</v>
      </c>
      <c r="O271" s="17" t="str">
        <f t="shared" si="13"/>
        <v>740591 EBI LLC</v>
      </c>
      <c r="P271" s="17" t="str">
        <f t="shared" si="14"/>
        <v>AP 180 CLR-72mm x 100m-24 rls/cs-H/A (231045)</v>
      </c>
    </row>
    <row r="272" spans="1:16" x14ac:dyDescent="0.25">
      <c r="A272" s="60" t="s">
        <v>237</v>
      </c>
      <c r="B272" s="60" t="s">
        <v>878</v>
      </c>
      <c r="C272" s="60" t="s">
        <v>298</v>
      </c>
      <c r="D272" s="60" t="s">
        <v>127</v>
      </c>
      <c r="E272" s="60" t="s">
        <v>1377</v>
      </c>
      <c r="F272" s="60" t="s">
        <v>1378</v>
      </c>
      <c r="G272" s="60" t="s">
        <v>18</v>
      </c>
      <c r="H272" s="60" t="s">
        <v>219</v>
      </c>
      <c r="I272" s="60" t="s">
        <v>60</v>
      </c>
      <c r="J272" s="61">
        <v>565.49</v>
      </c>
      <c r="K272" s="61"/>
      <c r="L272" s="62">
        <v>2066.6</v>
      </c>
      <c r="M272" s="63"/>
      <c r="N272" s="17" t="str">
        <f t="shared" si="12"/>
        <v>3838 ASSOCIATED PKG/NC STATESVILLE</v>
      </c>
      <c r="O272" s="17" t="str">
        <f t="shared" si="13"/>
        <v>741315 RESOURCE MHR NC LLC</v>
      </c>
      <c r="P272" s="17" t="str">
        <f t="shared" si="14"/>
        <v>HP 200 CLR-72mm x 100m-24 rls/cs-S (207233)</v>
      </c>
    </row>
    <row r="273" spans="1:16" x14ac:dyDescent="0.25">
      <c r="A273" s="60" t="s">
        <v>237</v>
      </c>
      <c r="B273" s="60" t="s">
        <v>878</v>
      </c>
      <c r="C273" s="60" t="s">
        <v>298</v>
      </c>
      <c r="D273" s="60" t="s">
        <v>127</v>
      </c>
      <c r="E273" s="60" t="s">
        <v>1379</v>
      </c>
      <c r="F273" s="60" t="s">
        <v>1380</v>
      </c>
      <c r="G273" s="60" t="s">
        <v>18</v>
      </c>
      <c r="H273" s="60" t="s">
        <v>722</v>
      </c>
      <c r="I273" s="60" t="s">
        <v>723</v>
      </c>
      <c r="J273" s="61"/>
      <c r="K273" s="61">
        <v>2586.35</v>
      </c>
      <c r="L273" s="62"/>
      <c r="M273" s="63">
        <v>5037.12</v>
      </c>
      <c r="N273" s="17" t="str">
        <f t="shared" si="12"/>
        <v>3838 ASSOCIATED PKG/NC STATESVILLE</v>
      </c>
      <c r="O273" s="17" t="str">
        <f t="shared" si="13"/>
        <v>741556 LSC COMMUNICATIONS</v>
      </c>
      <c r="P273" s="17" t="str">
        <f t="shared" si="14"/>
        <v>HP 200 BLU-72mm x 914m-4 rls/cs-H (123897)</v>
      </c>
    </row>
    <row r="274" spans="1:16" x14ac:dyDescent="0.25">
      <c r="A274" s="60" t="s">
        <v>237</v>
      </c>
      <c r="B274" s="60" t="s">
        <v>878</v>
      </c>
      <c r="C274" s="60" t="s">
        <v>298</v>
      </c>
      <c r="D274" s="60" t="s">
        <v>127</v>
      </c>
      <c r="E274" s="60" t="s">
        <v>1379</v>
      </c>
      <c r="F274" s="60" t="s">
        <v>1380</v>
      </c>
      <c r="G274" s="60" t="s">
        <v>18</v>
      </c>
      <c r="H274" s="60" t="s">
        <v>548</v>
      </c>
      <c r="I274" s="60" t="s">
        <v>549</v>
      </c>
      <c r="J274" s="61"/>
      <c r="K274" s="61">
        <v>1630.89</v>
      </c>
      <c r="L274" s="62"/>
      <c r="M274" s="63">
        <v>5037.12</v>
      </c>
      <c r="N274" s="17" t="str">
        <f t="shared" si="12"/>
        <v>3838 ASSOCIATED PKG/NC STATESVILLE</v>
      </c>
      <c r="O274" s="17" t="str">
        <f t="shared" si="13"/>
        <v>741556 LSC COMMUNICATIONS</v>
      </c>
      <c r="P274" s="17" t="str">
        <f t="shared" si="14"/>
        <v>HP 200 TAN-72mm x 914m-4 rls/cs-H (208498)</v>
      </c>
    </row>
    <row r="275" spans="1:16" x14ac:dyDescent="0.25">
      <c r="A275" s="60" t="s">
        <v>237</v>
      </c>
      <c r="B275" s="60" t="s">
        <v>878</v>
      </c>
      <c r="C275" s="60" t="s">
        <v>298</v>
      </c>
      <c r="D275" s="60" t="s">
        <v>127</v>
      </c>
      <c r="E275" s="60" t="s">
        <v>1381</v>
      </c>
      <c r="F275" s="60" t="s">
        <v>1382</v>
      </c>
      <c r="G275" s="60" t="s">
        <v>109</v>
      </c>
      <c r="H275" s="60" t="s">
        <v>1375</v>
      </c>
      <c r="I275" s="60" t="s">
        <v>1376</v>
      </c>
      <c r="J275" s="61">
        <v>2132.46</v>
      </c>
      <c r="K275" s="61"/>
      <c r="L275" s="65">
        <v>3465.9</v>
      </c>
      <c r="M275" s="64"/>
      <c r="N275" s="17" t="str">
        <f t="shared" si="12"/>
        <v>3838 ASSOCIATED PKG/NC STATESVILLE</v>
      </c>
      <c r="O275" s="17" t="str">
        <f t="shared" si="13"/>
        <v>743503 ADVANCE AUTO SUPPLIES</v>
      </c>
      <c r="P275" s="17" t="str">
        <f t="shared" si="14"/>
        <v>WP 100 NAT-70mmx138m(450ft)-10rls/cs-H/A (101685)</v>
      </c>
    </row>
    <row r="276" spans="1:16" x14ac:dyDescent="0.25">
      <c r="A276" s="60" t="s">
        <v>237</v>
      </c>
      <c r="B276" s="60" t="s">
        <v>878</v>
      </c>
      <c r="C276" s="60" t="s">
        <v>298</v>
      </c>
      <c r="D276" s="60" t="s">
        <v>127</v>
      </c>
      <c r="E276" s="60" t="s">
        <v>1673</v>
      </c>
      <c r="F276" s="60" t="s">
        <v>1674</v>
      </c>
      <c r="G276" s="60" t="s">
        <v>19</v>
      </c>
      <c r="H276" s="60" t="s">
        <v>233</v>
      </c>
      <c r="I276" s="60" t="s">
        <v>49</v>
      </c>
      <c r="J276" s="61"/>
      <c r="K276" s="61">
        <v>509.65</v>
      </c>
      <c r="L276" s="62"/>
      <c r="M276" s="63">
        <v>2066.6</v>
      </c>
      <c r="N276" s="17" t="str">
        <f t="shared" si="12"/>
        <v>3838 ASSOCIATED PKG/NC STATESVILLE</v>
      </c>
      <c r="O276" s="17" t="str">
        <f t="shared" si="13"/>
        <v>743609 MAINETTI</v>
      </c>
      <c r="P276" s="17" t="str">
        <f t="shared" si="14"/>
        <v>HP 100 CLR-48mm x 100m-36 rls/cs-S (207142)</v>
      </c>
    </row>
    <row r="277" spans="1:16" x14ac:dyDescent="0.25">
      <c r="A277" s="60" t="s">
        <v>237</v>
      </c>
      <c r="B277" s="60" t="s">
        <v>878</v>
      </c>
      <c r="C277" s="60" t="s">
        <v>298</v>
      </c>
      <c r="D277" s="60" t="s">
        <v>127</v>
      </c>
      <c r="E277" s="60" t="s">
        <v>1673</v>
      </c>
      <c r="F277" s="60" t="s">
        <v>1674</v>
      </c>
      <c r="G277" s="60" t="s">
        <v>18</v>
      </c>
      <c r="H277" s="60" t="s">
        <v>214</v>
      </c>
      <c r="I277" s="60" t="s">
        <v>158</v>
      </c>
      <c r="J277" s="61"/>
      <c r="K277" s="61">
        <v>2173.0500000000002</v>
      </c>
      <c r="L277" s="62"/>
      <c r="M277" s="63">
        <v>7870.5</v>
      </c>
      <c r="N277" s="17" t="str">
        <f t="shared" si="12"/>
        <v>3838 ASSOCIATED PKG/NC STATESVILLE</v>
      </c>
      <c r="O277" s="17" t="str">
        <f t="shared" si="13"/>
        <v>743609 MAINETTI</v>
      </c>
      <c r="P277" s="17" t="str">
        <f t="shared" si="14"/>
        <v>HP 200 CLR-72mm x 914m-4 rls/cs-S (208496)</v>
      </c>
    </row>
    <row r="278" spans="1:16" x14ac:dyDescent="0.25">
      <c r="A278" s="60" t="s">
        <v>237</v>
      </c>
      <c r="B278" s="60" t="s">
        <v>878</v>
      </c>
      <c r="C278" s="60" t="s">
        <v>298</v>
      </c>
      <c r="D278" s="60" t="s">
        <v>127</v>
      </c>
      <c r="E278" s="60" t="s">
        <v>886</v>
      </c>
      <c r="F278" s="60" t="s">
        <v>887</v>
      </c>
      <c r="G278" s="60" t="s">
        <v>18</v>
      </c>
      <c r="H278" s="60" t="s">
        <v>215</v>
      </c>
      <c r="I278" s="60" t="s">
        <v>50</v>
      </c>
      <c r="J278" s="61"/>
      <c r="K278" s="61">
        <v>3143.45</v>
      </c>
      <c r="L278" s="65"/>
      <c r="M278" s="64">
        <v>12399.6</v>
      </c>
      <c r="N278" s="17" t="str">
        <f t="shared" si="12"/>
        <v>3838 ASSOCIATED PKG/NC STATESVILLE</v>
      </c>
      <c r="O278" s="17" t="str">
        <f t="shared" si="13"/>
        <v>744442 PACKAGING CENTER</v>
      </c>
      <c r="P278" s="17" t="str">
        <f t="shared" si="14"/>
        <v>HP 200 CLR-48mm x 100m-36 rls/cs-S (207149)</v>
      </c>
    </row>
    <row r="279" spans="1:16" x14ac:dyDescent="0.25">
      <c r="A279" s="60" t="s">
        <v>237</v>
      </c>
      <c r="B279" s="60" t="s">
        <v>878</v>
      </c>
      <c r="C279" s="60" t="s">
        <v>298</v>
      </c>
      <c r="D279" s="60" t="s">
        <v>127</v>
      </c>
      <c r="E279" s="60" t="s">
        <v>1383</v>
      </c>
      <c r="F279" s="60" t="s">
        <v>1384</v>
      </c>
      <c r="G279" s="60" t="s">
        <v>70</v>
      </c>
      <c r="H279" s="60" t="s">
        <v>361</v>
      </c>
      <c r="I279" s="60" t="s">
        <v>362</v>
      </c>
      <c r="J279" s="61">
        <v>8358.77</v>
      </c>
      <c r="K279" s="61"/>
      <c r="L279" s="62">
        <v>18890.400000000001</v>
      </c>
      <c r="M279" s="63"/>
      <c r="N279" s="17" t="str">
        <f t="shared" si="12"/>
        <v>3838 ASSOCIATED PKG/NC STATESVILLE</v>
      </c>
      <c r="O279" s="17" t="str">
        <f t="shared" si="13"/>
        <v>744567 READERLINK DISTRIBUTION DNU</v>
      </c>
      <c r="P279" s="17" t="str">
        <f t="shared" si="14"/>
        <v>HP 235 CLR-72mm x 914m-4 rls/cs-H (150721)</v>
      </c>
    </row>
    <row r="280" spans="1:16" x14ac:dyDescent="0.25">
      <c r="A280" s="60" t="s">
        <v>237</v>
      </c>
      <c r="B280" s="60" t="s">
        <v>878</v>
      </c>
      <c r="C280" s="60" t="s">
        <v>298</v>
      </c>
      <c r="D280" s="60" t="s">
        <v>127</v>
      </c>
      <c r="E280" s="60" t="s">
        <v>1385</v>
      </c>
      <c r="F280" s="60" t="s">
        <v>1386</v>
      </c>
      <c r="G280" s="60" t="s">
        <v>55</v>
      </c>
      <c r="H280" s="60" t="s">
        <v>226</v>
      </c>
      <c r="I280" s="60" t="s">
        <v>98</v>
      </c>
      <c r="J280" s="61">
        <v>3549.74</v>
      </c>
      <c r="K280" s="61"/>
      <c r="L280" s="65">
        <v>12398.4</v>
      </c>
      <c r="M280" s="64"/>
      <c r="N280" s="17" t="str">
        <f t="shared" si="12"/>
        <v>3838 ASSOCIATED PKG/NC STATESVILLE</v>
      </c>
      <c r="O280" s="17" t="str">
        <f t="shared" si="13"/>
        <v>745047 DAYE NORTH AMERICA INC</v>
      </c>
      <c r="P280" s="17" t="str">
        <f t="shared" si="14"/>
        <v>AP 201 CLR-48mm x 100m-36 rls/cs-H/A (230962)</v>
      </c>
    </row>
    <row r="281" spans="1:16" x14ac:dyDescent="0.25">
      <c r="A281" s="60" t="s">
        <v>237</v>
      </c>
      <c r="B281" s="60" t="s">
        <v>878</v>
      </c>
      <c r="C281" s="60" t="s">
        <v>298</v>
      </c>
      <c r="D281" s="60" t="s">
        <v>127</v>
      </c>
      <c r="E281" s="60" t="s">
        <v>1005</v>
      </c>
      <c r="F281" s="60" t="s">
        <v>1006</v>
      </c>
      <c r="G281" s="60" t="s">
        <v>70</v>
      </c>
      <c r="H281" s="60" t="s">
        <v>361</v>
      </c>
      <c r="I281" s="60" t="s">
        <v>362</v>
      </c>
      <c r="J281" s="61">
        <v>12748.04</v>
      </c>
      <c r="K281" s="61">
        <v>4037.3</v>
      </c>
      <c r="L281" s="62">
        <v>37151.120000000003</v>
      </c>
      <c r="M281" s="63">
        <v>11334.24</v>
      </c>
      <c r="N281" s="17" t="str">
        <f t="shared" si="12"/>
        <v>3838 ASSOCIATED PKG/NC STATESVILLE</v>
      </c>
      <c r="O281" s="17" t="str">
        <f t="shared" si="13"/>
        <v>746603 SML LOGISTICS FOR HUNGRYROOT</v>
      </c>
      <c r="P281" s="17" t="str">
        <f t="shared" si="14"/>
        <v>HP 235 CLR-72mm x 914m-4 rls/cs-H (150721)</v>
      </c>
    </row>
    <row r="282" spans="1:16" x14ac:dyDescent="0.25">
      <c r="A282" s="60" t="s">
        <v>237</v>
      </c>
      <c r="B282" s="60" t="s">
        <v>878</v>
      </c>
      <c r="C282" s="60" t="s">
        <v>298</v>
      </c>
      <c r="D282" s="60" t="s">
        <v>127</v>
      </c>
      <c r="E282" s="60" t="s">
        <v>1007</v>
      </c>
      <c r="F282" s="60" t="s">
        <v>107</v>
      </c>
      <c r="G282" s="60" t="s">
        <v>19</v>
      </c>
      <c r="H282" s="60" t="s">
        <v>222</v>
      </c>
      <c r="I282" s="60" t="s">
        <v>104</v>
      </c>
      <c r="J282" s="61"/>
      <c r="K282" s="61">
        <v>4176.3</v>
      </c>
      <c r="L282" s="62"/>
      <c r="M282" s="63">
        <v>20537.495999999999</v>
      </c>
      <c r="N282" s="17" t="str">
        <f t="shared" si="12"/>
        <v>3838 ASSOCIATED PKG/NC STATESVILLE</v>
      </c>
      <c r="O282" s="17" t="str">
        <f t="shared" si="13"/>
        <v>748035 RICH PRODUCTS</v>
      </c>
      <c r="P282" s="17" t="str">
        <f t="shared" si="14"/>
        <v>HP 100 CLR-53mm x 1500m-6 rls/cs-S (195553)</v>
      </c>
    </row>
    <row r="283" spans="1:16" x14ac:dyDescent="0.25">
      <c r="A283" s="60" t="s">
        <v>237</v>
      </c>
      <c r="B283" s="60" t="s">
        <v>878</v>
      </c>
      <c r="C283" s="60" t="s">
        <v>298</v>
      </c>
      <c r="D283" s="60" t="s">
        <v>127</v>
      </c>
      <c r="E283" s="60" t="s">
        <v>846</v>
      </c>
      <c r="F283" s="60" t="s">
        <v>847</v>
      </c>
      <c r="G283" s="60" t="s">
        <v>18</v>
      </c>
      <c r="H283" s="60" t="s">
        <v>548</v>
      </c>
      <c r="I283" s="60" t="s">
        <v>549</v>
      </c>
      <c r="J283" s="61"/>
      <c r="K283" s="61">
        <v>2916.54</v>
      </c>
      <c r="L283" s="62"/>
      <c r="M283" s="63">
        <v>9444.6</v>
      </c>
      <c r="N283" s="17" t="str">
        <f t="shared" si="12"/>
        <v>3838 ASSOCIATED PKG/NC STATESVILLE</v>
      </c>
      <c r="O283" s="17" t="str">
        <f t="shared" si="13"/>
        <v>749470 ELIZABETH ARDEN ASSEMBLY</v>
      </c>
      <c r="P283" s="17" t="str">
        <f t="shared" si="14"/>
        <v>HP 200 TAN-72mm x 914m-4 rls/cs-H (208498)</v>
      </c>
    </row>
    <row r="284" spans="1:16" x14ac:dyDescent="0.25">
      <c r="A284" s="60" t="s">
        <v>237</v>
      </c>
      <c r="B284" s="60" t="s">
        <v>878</v>
      </c>
      <c r="C284" s="60" t="s">
        <v>298</v>
      </c>
      <c r="D284" s="60" t="s">
        <v>127</v>
      </c>
      <c r="E284" s="60" t="s">
        <v>863</v>
      </c>
      <c r="F284" s="60" t="s">
        <v>864</v>
      </c>
      <c r="G284" s="60" t="s">
        <v>19</v>
      </c>
      <c r="H284" s="60" t="s">
        <v>242</v>
      </c>
      <c r="I284" s="60" t="s">
        <v>102</v>
      </c>
      <c r="J284" s="61"/>
      <c r="K284" s="61">
        <v>2514.7600000000002</v>
      </c>
      <c r="L284" s="62"/>
      <c r="M284" s="63">
        <v>9919.68</v>
      </c>
      <c r="N284" s="17" t="str">
        <f t="shared" si="12"/>
        <v>3838 ASSOCIATED PKG/NC STATESVILLE</v>
      </c>
      <c r="O284" s="17" t="str">
        <f t="shared" si="13"/>
        <v>750058 TCG LEGACY GRAPHICS INC</v>
      </c>
      <c r="P284" s="17" t="str">
        <f t="shared" si="14"/>
        <v>HP 100 CLR-72mm x 100m-24 rls/cs-S (207194)</v>
      </c>
    </row>
    <row r="285" spans="1:16" x14ac:dyDescent="0.25">
      <c r="A285" s="60" t="s">
        <v>237</v>
      </c>
      <c r="B285" s="60" t="s">
        <v>878</v>
      </c>
      <c r="C285" s="60" t="s">
        <v>298</v>
      </c>
      <c r="D285" s="60" t="s">
        <v>127</v>
      </c>
      <c r="E285" s="60" t="s">
        <v>1008</v>
      </c>
      <c r="F285" s="60" t="s">
        <v>1009</v>
      </c>
      <c r="G285" s="60" t="s">
        <v>63</v>
      </c>
      <c r="H285" s="60" t="s">
        <v>269</v>
      </c>
      <c r="I285" s="60" t="s">
        <v>74</v>
      </c>
      <c r="J285" s="61"/>
      <c r="K285" s="61">
        <v>1525.39</v>
      </c>
      <c r="L285" s="62"/>
      <c r="M285" s="63">
        <v>6200.0640000000003</v>
      </c>
      <c r="N285" s="17" t="str">
        <f t="shared" si="12"/>
        <v>3838 ASSOCIATED PKG/NC STATESVILLE</v>
      </c>
      <c r="O285" s="17" t="str">
        <f t="shared" si="13"/>
        <v>751082 BIMBO BAKEHOUSE</v>
      </c>
      <c r="P285" s="17" t="str">
        <f t="shared" si="14"/>
        <v>AP 180 CLR-72mm x 100m-24 rls/cs-H/A (231045)</v>
      </c>
    </row>
    <row r="286" spans="1:16" x14ac:dyDescent="0.25">
      <c r="A286" s="60" t="s">
        <v>237</v>
      </c>
      <c r="B286" s="60" t="s">
        <v>878</v>
      </c>
      <c r="C286" s="60" t="s">
        <v>298</v>
      </c>
      <c r="D286" s="60" t="s">
        <v>127</v>
      </c>
      <c r="E286" s="60" t="s">
        <v>1387</v>
      </c>
      <c r="F286" s="60" t="s">
        <v>1388</v>
      </c>
      <c r="G286" s="60" t="s">
        <v>19</v>
      </c>
      <c r="H286" s="60" t="s">
        <v>233</v>
      </c>
      <c r="I286" s="60" t="s">
        <v>49</v>
      </c>
      <c r="J286" s="61"/>
      <c r="K286" s="61">
        <v>764.48</v>
      </c>
      <c r="L286" s="62"/>
      <c r="M286" s="63">
        <v>3099.9</v>
      </c>
      <c r="N286" s="17" t="str">
        <f t="shared" si="12"/>
        <v>3838 ASSOCIATED PKG/NC STATESVILLE</v>
      </c>
      <c r="O286" s="17" t="str">
        <f t="shared" si="13"/>
        <v>751421 DIRECT SPORTS, INC.</v>
      </c>
      <c r="P286" s="17" t="str">
        <f t="shared" si="14"/>
        <v>HP 100 CLR-48mm x 100m-36 rls/cs-S (207142)</v>
      </c>
    </row>
    <row r="287" spans="1:16" x14ac:dyDescent="0.25">
      <c r="A287" s="60" t="s">
        <v>237</v>
      </c>
      <c r="B287" s="60" t="s">
        <v>878</v>
      </c>
      <c r="C287" s="60" t="s">
        <v>298</v>
      </c>
      <c r="D287" s="60" t="s">
        <v>127</v>
      </c>
      <c r="E287" s="60" t="s">
        <v>1389</v>
      </c>
      <c r="F287" s="60" t="s">
        <v>1390</v>
      </c>
      <c r="G287" s="60" t="s">
        <v>59</v>
      </c>
      <c r="H287" s="60" t="s">
        <v>1675</v>
      </c>
      <c r="I287" s="60" t="s">
        <v>1676</v>
      </c>
      <c r="J287" s="61"/>
      <c r="K287" s="61">
        <v>5337.45</v>
      </c>
      <c r="L287" s="62"/>
      <c r="M287" s="63">
        <v>4432.74</v>
      </c>
      <c r="N287" s="17" t="str">
        <f t="shared" si="12"/>
        <v>3838 ASSOCIATED PKG/NC STATESVILLE</v>
      </c>
      <c r="O287" s="17" t="str">
        <f t="shared" si="13"/>
        <v>751481 AXJO AMERICA INC</v>
      </c>
      <c r="P287" s="17" t="str">
        <f t="shared" si="14"/>
        <v>GS 490 CLR-72mm x 55m-12 rls/cs-H (101295)</v>
      </c>
    </row>
    <row r="288" spans="1:16" x14ac:dyDescent="0.25">
      <c r="A288" s="60" t="s">
        <v>237</v>
      </c>
      <c r="B288" s="60" t="s">
        <v>878</v>
      </c>
      <c r="C288" s="60" t="s">
        <v>298</v>
      </c>
      <c r="D288" s="60" t="s">
        <v>127</v>
      </c>
      <c r="E288" s="60" t="s">
        <v>1389</v>
      </c>
      <c r="F288" s="60" t="s">
        <v>1390</v>
      </c>
      <c r="G288" s="60" t="s">
        <v>1016</v>
      </c>
      <c r="H288" s="60" t="s">
        <v>1391</v>
      </c>
      <c r="I288" s="60" t="s">
        <v>1392</v>
      </c>
      <c r="J288" s="61"/>
      <c r="K288" s="61">
        <v>6310.66</v>
      </c>
      <c r="L288" s="62"/>
      <c r="M288" s="63">
        <v>3637.12</v>
      </c>
      <c r="N288" s="17" t="str">
        <f t="shared" si="12"/>
        <v>3838 ASSOCIATED PKG/NC STATESVILLE</v>
      </c>
      <c r="O288" s="17" t="str">
        <f t="shared" si="13"/>
        <v>751481 AXJO AMERICA INC</v>
      </c>
      <c r="P288" s="17" t="str">
        <f t="shared" si="14"/>
        <v>GS 501 CLR-72mm x 55m-12 rls/cs-H (101290)</v>
      </c>
    </row>
    <row r="289" spans="1:16" x14ac:dyDescent="0.25">
      <c r="A289" s="60" t="s">
        <v>237</v>
      </c>
      <c r="B289" s="60" t="s">
        <v>878</v>
      </c>
      <c r="C289" s="60" t="s">
        <v>298</v>
      </c>
      <c r="D289" s="60" t="s">
        <v>127</v>
      </c>
      <c r="E289" s="60" t="s">
        <v>1393</v>
      </c>
      <c r="F289" s="60" t="s">
        <v>1394</v>
      </c>
      <c r="G289" s="60" t="s">
        <v>63</v>
      </c>
      <c r="H289" s="60" t="s">
        <v>224</v>
      </c>
      <c r="I289" s="60" t="s">
        <v>64</v>
      </c>
      <c r="J289" s="61"/>
      <c r="K289" s="61">
        <v>2801.3</v>
      </c>
      <c r="L289" s="62"/>
      <c r="M289" s="64">
        <v>12398.4</v>
      </c>
      <c r="N289" s="17" t="str">
        <f t="shared" si="12"/>
        <v>3838 ASSOCIATED PKG/NC STATESVILLE</v>
      </c>
      <c r="O289" s="17" t="str">
        <f t="shared" si="13"/>
        <v>751584 PRODUCTIV INC</v>
      </c>
      <c r="P289" s="17" t="str">
        <f t="shared" si="14"/>
        <v>AP 180 CLR-48mm x 100m-36 rls/cs-H/A (231044)</v>
      </c>
    </row>
    <row r="290" spans="1:16" x14ac:dyDescent="0.25">
      <c r="A290" s="60" t="s">
        <v>237</v>
      </c>
      <c r="B290" s="60" t="s">
        <v>878</v>
      </c>
      <c r="C290" s="60" t="s">
        <v>298</v>
      </c>
      <c r="D290" s="60" t="s">
        <v>127</v>
      </c>
      <c r="E290" s="60" t="s">
        <v>1677</v>
      </c>
      <c r="F290" s="60" t="s">
        <v>1678</v>
      </c>
      <c r="G290" s="60" t="s">
        <v>63</v>
      </c>
      <c r="H290" s="60" t="s">
        <v>269</v>
      </c>
      <c r="I290" s="60" t="s">
        <v>74</v>
      </c>
      <c r="J290" s="61"/>
      <c r="K290" s="61">
        <v>874.37</v>
      </c>
      <c r="L290" s="62"/>
      <c r="M290" s="64">
        <v>4133.3760000000002</v>
      </c>
      <c r="N290" s="17" t="str">
        <f t="shared" si="12"/>
        <v>3838 ASSOCIATED PKG/NC STATESVILLE</v>
      </c>
      <c r="O290" s="17" t="str">
        <f t="shared" si="13"/>
        <v>751821 SOFTEX PAPER INC</v>
      </c>
      <c r="P290" s="17" t="str">
        <f t="shared" si="14"/>
        <v>AP 180 CLR-72mm x 100m-24 rls/cs-H/A (231045)</v>
      </c>
    </row>
    <row r="291" spans="1:16" x14ac:dyDescent="0.25">
      <c r="A291" s="60" t="s">
        <v>647</v>
      </c>
      <c r="B291" s="60" t="s">
        <v>648</v>
      </c>
      <c r="C291" s="60" t="s">
        <v>238</v>
      </c>
      <c r="D291" s="60" t="s">
        <v>110</v>
      </c>
      <c r="E291" s="60" t="s">
        <v>238</v>
      </c>
      <c r="F291" s="60" t="s">
        <v>110</v>
      </c>
      <c r="G291" s="60" t="s">
        <v>56</v>
      </c>
      <c r="H291" s="60" t="s">
        <v>239</v>
      </c>
      <c r="I291" s="60" t="s">
        <v>57</v>
      </c>
      <c r="J291" s="61">
        <v>2673</v>
      </c>
      <c r="K291" s="61"/>
      <c r="L291" s="62">
        <v>12398.4</v>
      </c>
      <c r="M291" s="63"/>
      <c r="N291" s="17" t="str">
        <f t="shared" si="12"/>
        <v>6517 ASSOCIATED PKG/TN GALLATIN</v>
      </c>
      <c r="O291" s="17" t="str">
        <f t="shared" si="13"/>
        <v>6517 ASSOCIATED PKG/TN GALLATIN</v>
      </c>
      <c r="P291" s="17" t="str">
        <f t="shared" si="14"/>
        <v>AP 101 CLR-48mm x 100m-36 rls/cs-S (230982)</v>
      </c>
    </row>
    <row r="292" spans="1:16" x14ac:dyDescent="0.25">
      <c r="A292" s="60" t="s">
        <v>647</v>
      </c>
      <c r="B292" s="60" t="s">
        <v>648</v>
      </c>
      <c r="C292" s="60" t="s">
        <v>238</v>
      </c>
      <c r="D292" s="60" t="s">
        <v>110</v>
      </c>
      <c r="E292" s="60" t="s">
        <v>238</v>
      </c>
      <c r="F292" s="60" t="s">
        <v>110</v>
      </c>
      <c r="G292" s="60" t="s">
        <v>55</v>
      </c>
      <c r="H292" s="60" t="s">
        <v>977</v>
      </c>
      <c r="I292" s="60" t="s">
        <v>978</v>
      </c>
      <c r="J292" s="61"/>
      <c r="K292" s="61">
        <v>151.11000000000001</v>
      </c>
      <c r="L292" s="62"/>
      <c r="M292" s="64">
        <v>413.28</v>
      </c>
      <c r="N292" s="17" t="str">
        <f t="shared" si="12"/>
        <v>6517 ASSOCIATED PKG/TN GALLATIN</v>
      </c>
      <c r="O292" s="17" t="str">
        <f t="shared" si="13"/>
        <v>6517 ASSOCIATED PKG/TN GALLATIN</v>
      </c>
      <c r="P292" s="17" t="str">
        <f t="shared" si="14"/>
        <v>AP 201 RED 48mm x 100m-36 rls/cs-H/A (105302)</v>
      </c>
    </row>
    <row r="293" spans="1:16" x14ac:dyDescent="0.25">
      <c r="A293" s="60" t="s">
        <v>647</v>
      </c>
      <c r="B293" s="60" t="s">
        <v>648</v>
      </c>
      <c r="C293" s="60" t="s">
        <v>238</v>
      </c>
      <c r="D293" s="60" t="s">
        <v>110</v>
      </c>
      <c r="E293" s="60" t="s">
        <v>238</v>
      </c>
      <c r="F293" s="60" t="s">
        <v>110</v>
      </c>
      <c r="G293" s="60" t="s">
        <v>23</v>
      </c>
      <c r="H293" s="60" t="s">
        <v>477</v>
      </c>
      <c r="I293" s="60" t="s">
        <v>478</v>
      </c>
      <c r="J293" s="61">
        <v>392.04</v>
      </c>
      <c r="K293" s="61">
        <v>378.5</v>
      </c>
      <c r="L293" s="62">
        <v>568.29999999999995</v>
      </c>
      <c r="M293" s="64">
        <v>511.47</v>
      </c>
      <c r="N293" s="17" t="str">
        <f t="shared" si="12"/>
        <v>6517 ASSOCIATED PKG/TN GALLATIN</v>
      </c>
      <c r="O293" s="17" t="str">
        <f t="shared" si="13"/>
        <v>6517 ASSOCIATED PKG/TN GALLATIN</v>
      </c>
      <c r="P293" s="17" t="str">
        <f t="shared" si="14"/>
        <v>CP 105 NAT-24mm x 55m- 36 rls/cs-S (140431)</v>
      </c>
    </row>
    <row r="294" spans="1:16" x14ac:dyDescent="0.25">
      <c r="A294" s="60" t="s">
        <v>647</v>
      </c>
      <c r="B294" s="60" t="s">
        <v>648</v>
      </c>
      <c r="C294" s="60" t="s">
        <v>238</v>
      </c>
      <c r="D294" s="60" t="s">
        <v>110</v>
      </c>
      <c r="E294" s="60" t="s">
        <v>238</v>
      </c>
      <c r="F294" s="60" t="s">
        <v>110</v>
      </c>
      <c r="G294" s="60" t="s">
        <v>67</v>
      </c>
      <c r="H294" s="60" t="s">
        <v>241</v>
      </c>
      <c r="I294" s="60" t="s">
        <v>78</v>
      </c>
      <c r="J294" s="61">
        <v>9907.92</v>
      </c>
      <c r="K294" s="61">
        <v>3782.59</v>
      </c>
      <c r="L294" s="62">
        <v>6819.84</v>
      </c>
      <c r="M294" s="63">
        <v>2273.2800000000002</v>
      </c>
      <c r="N294" s="17" t="str">
        <f t="shared" si="12"/>
        <v>6517 ASSOCIATED PKG/TN GALLATIN</v>
      </c>
      <c r="O294" s="17" t="str">
        <f t="shared" si="13"/>
        <v>6517 ASSOCIATED PKG/TN GALLATIN</v>
      </c>
      <c r="P294" s="17" t="str">
        <f t="shared" si="14"/>
        <v>FP 115 BRN-72mm x 55m-16 rls/cs-H (104663)</v>
      </c>
    </row>
    <row r="295" spans="1:16" x14ac:dyDescent="0.25">
      <c r="A295" s="60" t="s">
        <v>647</v>
      </c>
      <c r="B295" s="60" t="s">
        <v>648</v>
      </c>
      <c r="C295" s="60" t="s">
        <v>238</v>
      </c>
      <c r="D295" s="60" t="s">
        <v>110</v>
      </c>
      <c r="E295" s="60" t="s">
        <v>238</v>
      </c>
      <c r="F295" s="60" t="s">
        <v>110</v>
      </c>
      <c r="G295" s="60" t="s">
        <v>67</v>
      </c>
      <c r="H295" s="60" t="s">
        <v>253</v>
      </c>
      <c r="I295" s="60" t="s">
        <v>69</v>
      </c>
      <c r="J295" s="61"/>
      <c r="K295" s="61">
        <v>2886.84</v>
      </c>
      <c r="L295" s="65"/>
      <c r="M295" s="64">
        <v>1894.2</v>
      </c>
      <c r="N295" s="17" t="str">
        <f t="shared" si="12"/>
        <v>6517 ASSOCIATED PKG/TN GALLATIN</v>
      </c>
      <c r="O295" s="17" t="str">
        <f t="shared" si="13"/>
        <v>6517 ASSOCIATED PKG/TN GALLATIN</v>
      </c>
      <c r="P295" s="17" t="str">
        <f t="shared" si="14"/>
        <v>FP 115 BRN-48mm x 55m-24 rls/cs-H (104675)</v>
      </c>
    </row>
    <row r="296" spans="1:16" x14ac:dyDescent="0.25">
      <c r="A296" s="60" t="s">
        <v>647</v>
      </c>
      <c r="B296" s="60" t="s">
        <v>648</v>
      </c>
      <c r="C296" s="60" t="s">
        <v>238</v>
      </c>
      <c r="D296" s="60" t="s">
        <v>110</v>
      </c>
      <c r="E296" s="60" t="s">
        <v>238</v>
      </c>
      <c r="F296" s="60" t="s">
        <v>110</v>
      </c>
      <c r="G296" s="60" t="s">
        <v>19</v>
      </c>
      <c r="H296" s="60" t="s">
        <v>233</v>
      </c>
      <c r="I296" s="60" t="s">
        <v>49</v>
      </c>
      <c r="J296" s="61">
        <v>5752.29</v>
      </c>
      <c r="K296" s="61">
        <v>9152.35</v>
      </c>
      <c r="L296" s="65">
        <v>24799.200000000001</v>
      </c>
      <c r="M296" s="64">
        <v>37198.800000000003</v>
      </c>
      <c r="N296" s="17" t="str">
        <f t="shared" si="12"/>
        <v>6517 ASSOCIATED PKG/TN GALLATIN</v>
      </c>
      <c r="O296" s="17" t="str">
        <f t="shared" si="13"/>
        <v>6517 ASSOCIATED PKG/TN GALLATIN</v>
      </c>
      <c r="P296" s="17" t="str">
        <f t="shared" si="14"/>
        <v>HP 100 CLR-48mm x 100m-36 rls/cs-S (207142)</v>
      </c>
    </row>
    <row r="297" spans="1:16" x14ac:dyDescent="0.25">
      <c r="A297" s="60" t="s">
        <v>647</v>
      </c>
      <c r="B297" s="60" t="s">
        <v>648</v>
      </c>
      <c r="C297" s="60" t="s">
        <v>238</v>
      </c>
      <c r="D297" s="60" t="s">
        <v>110</v>
      </c>
      <c r="E297" s="60" t="s">
        <v>238</v>
      </c>
      <c r="F297" s="60" t="s">
        <v>110</v>
      </c>
      <c r="G297" s="60" t="s">
        <v>19</v>
      </c>
      <c r="H297" s="60" t="s">
        <v>242</v>
      </c>
      <c r="I297" s="60" t="s">
        <v>102</v>
      </c>
      <c r="J297" s="61">
        <v>2794.18</v>
      </c>
      <c r="K297" s="61">
        <v>1532.52</v>
      </c>
      <c r="L297" s="65">
        <v>12399.6</v>
      </c>
      <c r="M297" s="64">
        <v>6199.8</v>
      </c>
      <c r="N297" s="17" t="str">
        <f t="shared" si="12"/>
        <v>6517 ASSOCIATED PKG/TN GALLATIN</v>
      </c>
      <c r="O297" s="17" t="str">
        <f t="shared" si="13"/>
        <v>6517 ASSOCIATED PKG/TN GALLATIN</v>
      </c>
      <c r="P297" s="17" t="str">
        <f t="shared" si="14"/>
        <v>HP 100 CLR-72mm x 100m-24 rls/cs-S (207194)</v>
      </c>
    </row>
    <row r="298" spans="1:16" x14ac:dyDescent="0.25">
      <c r="A298" s="60" t="s">
        <v>647</v>
      </c>
      <c r="B298" s="60" t="s">
        <v>648</v>
      </c>
      <c r="C298" s="60" t="s">
        <v>238</v>
      </c>
      <c r="D298" s="60" t="s">
        <v>110</v>
      </c>
      <c r="E298" s="60" t="s">
        <v>238</v>
      </c>
      <c r="F298" s="60" t="s">
        <v>110</v>
      </c>
      <c r="G298" s="60" t="s">
        <v>19</v>
      </c>
      <c r="H298" s="60" t="s">
        <v>244</v>
      </c>
      <c r="I298" s="60" t="s">
        <v>94</v>
      </c>
      <c r="J298" s="61">
        <v>2593.21</v>
      </c>
      <c r="K298" s="61">
        <v>1940.4</v>
      </c>
      <c r="L298" s="62">
        <v>11018.7</v>
      </c>
      <c r="M298" s="63">
        <v>7870.5</v>
      </c>
      <c r="N298" s="17" t="str">
        <f t="shared" si="12"/>
        <v>6517 ASSOCIATED PKG/TN GALLATIN</v>
      </c>
      <c r="O298" s="17" t="str">
        <f t="shared" si="13"/>
        <v>6517 ASSOCIATED PKG/TN GALLATIN</v>
      </c>
      <c r="P298" s="17" t="str">
        <f t="shared" si="14"/>
        <v>HP 100 CLR-72mm x 914m-4 rls/cs-S (208465)</v>
      </c>
    </row>
    <row r="299" spans="1:16" x14ac:dyDescent="0.25">
      <c r="A299" s="60" t="s">
        <v>647</v>
      </c>
      <c r="B299" s="60" t="s">
        <v>648</v>
      </c>
      <c r="C299" s="60" t="s">
        <v>238</v>
      </c>
      <c r="D299" s="60" t="s">
        <v>110</v>
      </c>
      <c r="E299" s="60" t="s">
        <v>238</v>
      </c>
      <c r="F299" s="60" t="s">
        <v>110</v>
      </c>
      <c r="G299" s="60" t="s">
        <v>18</v>
      </c>
      <c r="H299" s="60" t="s">
        <v>215</v>
      </c>
      <c r="I299" s="60" t="s">
        <v>50</v>
      </c>
      <c r="J299" s="61">
        <v>3207.6</v>
      </c>
      <c r="K299" s="61"/>
      <c r="L299" s="65">
        <v>12399.6</v>
      </c>
      <c r="M299" s="64"/>
      <c r="N299" s="17" t="str">
        <f t="shared" si="12"/>
        <v>6517 ASSOCIATED PKG/TN GALLATIN</v>
      </c>
      <c r="O299" s="17" t="str">
        <f t="shared" si="13"/>
        <v>6517 ASSOCIATED PKG/TN GALLATIN</v>
      </c>
      <c r="P299" s="17" t="str">
        <f t="shared" si="14"/>
        <v>HP 200 CLR-48mm x 100m-36 rls/cs-S (207149)</v>
      </c>
    </row>
    <row r="300" spans="1:16" x14ac:dyDescent="0.25">
      <c r="A300" s="60" t="s">
        <v>647</v>
      </c>
      <c r="B300" s="60" t="s">
        <v>648</v>
      </c>
      <c r="C300" s="60" t="s">
        <v>238</v>
      </c>
      <c r="D300" s="60" t="s">
        <v>110</v>
      </c>
      <c r="E300" s="60" t="s">
        <v>238</v>
      </c>
      <c r="F300" s="60" t="s">
        <v>110</v>
      </c>
      <c r="G300" s="60" t="s">
        <v>18</v>
      </c>
      <c r="H300" s="60" t="s">
        <v>219</v>
      </c>
      <c r="I300" s="60" t="s">
        <v>60</v>
      </c>
      <c r="J300" s="61">
        <v>809.02</v>
      </c>
      <c r="K300" s="61"/>
      <c r="L300" s="65">
        <v>3099.9</v>
      </c>
      <c r="M300" s="64"/>
      <c r="N300" s="17" t="str">
        <f t="shared" si="12"/>
        <v>6517 ASSOCIATED PKG/TN GALLATIN</v>
      </c>
      <c r="O300" s="17" t="str">
        <f t="shared" si="13"/>
        <v>6517 ASSOCIATED PKG/TN GALLATIN</v>
      </c>
      <c r="P300" s="17" t="str">
        <f t="shared" si="14"/>
        <v>HP 200 CLR-72mm x 100m-24 rls/cs-S (207233)</v>
      </c>
    </row>
    <row r="301" spans="1:16" x14ac:dyDescent="0.25">
      <c r="A301" s="60" t="s">
        <v>647</v>
      </c>
      <c r="B301" s="60" t="s">
        <v>648</v>
      </c>
      <c r="C301" s="60" t="s">
        <v>238</v>
      </c>
      <c r="D301" s="60" t="s">
        <v>110</v>
      </c>
      <c r="E301" s="60" t="s">
        <v>238</v>
      </c>
      <c r="F301" s="60" t="s">
        <v>110</v>
      </c>
      <c r="G301" s="60" t="s">
        <v>18</v>
      </c>
      <c r="H301" s="60" t="s">
        <v>499</v>
      </c>
      <c r="I301" s="60" t="s">
        <v>500</v>
      </c>
      <c r="J301" s="61"/>
      <c r="K301" s="61">
        <v>596.38</v>
      </c>
      <c r="L301" s="62"/>
      <c r="M301" s="64">
        <v>2066.6</v>
      </c>
      <c r="N301" s="17" t="str">
        <f t="shared" si="12"/>
        <v>6517 ASSOCIATED PKG/TN GALLATIN</v>
      </c>
      <c r="O301" s="17" t="str">
        <f t="shared" si="13"/>
        <v>6517 ASSOCIATED PKG/TN GALLATIN</v>
      </c>
      <c r="P301" s="17" t="str">
        <f t="shared" si="14"/>
        <v>HP 200 TAN-72mm x 100m-24 rls/cs-H/A (207239)</v>
      </c>
    </row>
    <row r="302" spans="1:16" x14ac:dyDescent="0.25">
      <c r="A302" s="60" t="s">
        <v>647</v>
      </c>
      <c r="B302" s="60" t="s">
        <v>648</v>
      </c>
      <c r="C302" s="60" t="s">
        <v>238</v>
      </c>
      <c r="D302" s="60" t="s">
        <v>110</v>
      </c>
      <c r="E302" s="60" t="s">
        <v>1010</v>
      </c>
      <c r="F302" s="60" t="s">
        <v>1011</v>
      </c>
      <c r="G302" s="60" t="s">
        <v>19</v>
      </c>
      <c r="H302" s="60" t="s">
        <v>222</v>
      </c>
      <c r="I302" s="60" t="s">
        <v>104</v>
      </c>
      <c r="J302" s="61">
        <v>14626.66</v>
      </c>
      <c r="K302" s="61"/>
      <c r="L302" s="62">
        <v>61612.487999999998</v>
      </c>
      <c r="M302" s="63"/>
      <c r="N302" s="17" t="str">
        <f t="shared" si="12"/>
        <v>6517 ASSOCIATED PKG/TN GALLATIN</v>
      </c>
      <c r="O302" s="17" t="str">
        <f t="shared" si="13"/>
        <v>8238 VALLEN DISTRIBUTION INC</v>
      </c>
      <c r="P302" s="17" t="str">
        <f t="shared" si="14"/>
        <v>HP 100 CLR-53mm x 1500m-6 rls/cs-S (195553)</v>
      </c>
    </row>
    <row r="303" spans="1:16" x14ac:dyDescent="0.25">
      <c r="A303" s="60" t="s">
        <v>647</v>
      </c>
      <c r="B303" s="60" t="s">
        <v>648</v>
      </c>
      <c r="C303" s="60" t="s">
        <v>238</v>
      </c>
      <c r="D303" s="60" t="s">
        <v>110</v>
      </c>
      <c r="E303" s="60" t="s">
        <v>1679</v>
      </c>
      <c r="F303" s="60" t="s">
        <v>1680</v>
      </c>
      <c r="G303" s="60" t="s">
        <v>67</v>
      </c>
      <c r="H303" s="60" t="s">
        <v>1681</v>
      </c>
      <c r="I303" s="60" t="s">
        <v>1682</v>
      </c>
      <c r="J303" s="61"/>
      <c r="K303" s="61">
        <v>173.92</v>
      </c>
      <c r="L303" s="62"/>
      <c r="M303" s="63">
        <v>113.688</v>
      </c>
      <c r="N303" s="17" t="str">
        <f t="shared" si="12"/>
        <v>6517 ASSOCIATED PKG/TN GALLATIN</v>
      </c>
      <c r="O303" s="17" t="str">
        <f t="shared" si="13"/>
        <v>9644 PANOLAM INDUSTRIES INTERNATIONAL IN</v>
      </c>
      <c r="P303" s="17" t="str">
        <f t="shared" si="14"/>
        <v>FP 115 BRN-24mm x 55m-36 rls/cs-H (104667)</v>
      </c>
    </row>
    <row r="304" spans="1:16" x14ac:dyDescent="0.25">
      <c r="A304" s="60" t="s">
        <v>647</v>
      </c>
      <c r="B304" s="60" t="s">
        <v>648</v>
      </c>
      <c r="C304" s="60" t="s">
        <v>238</v>
      </c>
      <c r="D304" s="60" t="s">
        <v>110</v>
      </c>
      <c r="E304" s="60" t="s">
        <v>702</v>
      </c>
      <c r="F304" s="60" t="s">
        <v>703</v>
      </c>
      <c r="G304" s="60" t="s">
        <v>79</v>
      </c>
      <c r="H304" s="60" t="s">
        <v>247</v>
      </c>
      <c r="I304" s="60" t="s">
        <v>80</v>
      </c>
      <c r="J304" s="61">
        <v>8211.4599999999991</v>
      </c>
      <c r="K304" s="61">
        <v>9340.06</v>
      </c>
      <c r="L304" s="62">
        <v>22667.040000000001</v>
      </c>
      <c r="M304" s="63">
        <v>25185.599999999999</v>
      </c>
      <c r="N304" s="17" t="str">
        <f t="shared" si="12"/>
        <v>6517 ASSOCIATED PKG/TN GALLATIN</v>
      </c>
      <c r="O304" s="17" t="str">
        <f t="shared" si="13"/>
        <v>26204 WAMPLERS FARM SAUSAGE CO</v>
      </c>
      <c r="P304" s="17" t="str">
        <f t="shared" si="14"/>
        <v>HP 232 CLR-48mm x 914m-6 rls/cs-H/A (100962)</v>
      </c>
    </row>
    <row r="305" spans="1:16" x14ac:dyDescent="0.25">
      <c r="A305" s="60" t="s">
        <v>647</v>
      </c>
      <c r="B305" s="60" t="s">
        <v>648</v>
      </c>
      <c r="C305" s="60" t="s">
        <v>238</v>
      </c>
      <c r="D305" s="60" t="s">
        <v>110</v>
      </c>
      <c r="E305" s="60" t="s">
        <v>854</v>
      </c>
      <c r="F305" s="60" t="s">
        <v>855</v>
      </c>
      <c r="G305" s="60" t="s">
        <v>19</v>
      </c>
      <c r="H305" s="60" t="s">
        <v>242</v>
      </c>
      <c r="I305" s="60" t="s">
        <v>102</v>
      </c>
      <c r="J305" s="61"/>
      <c r="K305" s="61">
        <v>6467.95</v>
      </c>
      <c r="L305" s="65"/>
      <c r="M305" s="64">
        <v>26245.82</v>
      </c>
      <c r="N305" s="17" t="str">
        <f t="shared" si="12"/>
        <v>6517 ASSOCIATED PKG/TN GALLATIN</v>
      </c>
      <c r="O305" s="17" t="str">
        <f t="shared" si="13"/>
        <v>27108 TRANZONIC COMPANIES</v>
      </c>
      <c r="P305" s="17" t="str">
        <f t="shared" si="14"/>
        <v>HP 100 CLR-72mm x 100m-24 rls/cs-S (207194)</v>
      </c>
    </row>
    <row r="306" spans="1:16" x14ac:dyDescent="0.25">
      <c r="A306" s="60" t="s">
        <v>647</v>
      </c>
      <c r="B306" s="60" t="s">
        <v>648</v>
      </c>
      <c r="C306" s="60" t="s">
        <v>238</v>
      </c>
      <c r="D306" s="60" t="s">
        <v>110</v>
      </c>
      <c r="E306" s="60" t="s">
        <v>854</v>
      </c>
      <c r="F306" s="60" t="s">
        <v>855</v>
      </c>
      <c r="G306" s="60" t="s">
        <v>19</v>
      </c>
      <c r="H306" s="60" t="s">
        <v>243</v>
      </c>
      <c r="I306" s="60" t="s">
        <v>87</v>
      </c>
      <c r="J306" s="61"/>
      <c r="K306" s="61">
        <v>3911.85</v>
      </c>
      <c r="L306" s="65"/>
      <c r="M306" s="64">
        <v>15111.36</v>
      </c>
      <c r="N306" s="17" t="str">
        <f t="shared" ref="N306:N328" si="15">C306&amp;" "&amp;D306</f>
        <v>6517 ASSOCIATED PKG/TN GALLATIN</v>
      </c>
      <c r="O306" s="17" t="str">
        <f t="shared" ref="O306:O328" si="16">E306&amp;" "&amp;F306</f>
        <v>27108 TRANZONIC COMPANIES</v>
      </c>
      <c r="P306" s="17" t="str">
        <f t="shared" si="14"/>
        <v>HP 100 CLR-48mm x 914m-6 rls/cs-S (208453)</v>
      </c>
    </row>
    <row r="307" spans="1:16" x14ac:dyDescent="0.25">
      <c r="A307" s="60" t="s">
        <v>647</v>
      </c>
      <c r="B307" s="60" t="s">
        <v>648</v>
      </c>
      <c r="C307" s="60" t="s">
        <v>238</v>
      </c>
      <c r="D307" s="60" t="s">
        <v>110</v>
      </c>
      <c r="E307" s="60" t="s">
        <v>539</v>
      </c>
      <c r="F307" s="60" t="s">
        <v>540</v>
      </c>
      <c r="G307" s="60" t="s">
        <v>19</v>
      </c>
      <c r="H307" s="60" t="s">
        <v>243</v>
      </c>
      <c r="I307" s="60" t="s">
        <v>87</v>
      </c>
      <c r="J307" s="61">
        <v>3472.77</v>
      </c>
      <c r="K307" s="61"/>
      <c r="L307" s="65">
        <v>15111.36</v>
      </c>
      <c r="M307" s="64"/>
      <c r="N307" s="17" t="str">
        <f t="shared" si="15"/>
        <v>6517 ASSOCIATED PKG/TN GALLATIN</v>
      </c>
      <c r="O307" s="17" t="str">
        <f t="shared" si="16"/>
        <v>27717 FEDERAL MOGUL</v>
      </c>
      <c r="P307" s="17" t="str">
        <f t="shared" si="14"/>
        <v>HP 100 CLR-48mm x 914m-6 rls/cs-S (208453)</v>
      </c>
    </row>
    <row r="308" spans="1:16" x14ac:dyDescent="0.25">
      <c r="A308" s="60" t="s">
        <v>647</v>
      </c>
      <c r="B308" s="60" t="s">
        <v>648</v>
      </c>
      <c r="C308" s="60" t="s">
        <v>238</v>
      </c>
      <c r="D308" s="60" t="s">
        <v>110</v>
      </c>
      <c r="E308" s="60" t="s">
        <v>539</v>
      </c>
      <c r="F308" s="60" t="s">
        <v>540</v>
      </c>
      <c r="G308" s="60" t="s">
        <v>18</v>
      </c>
      <c r="H308" s="60" t="s">
        <v>215</v>
      </c>
      <c r="I308" s="60" t="s">
        <v>50</v>
      </c>
      <c r="J308" s="61">
        <v>3057.91</v>
      </c>
      <c r="K308" s="61"/>
      <c r="L308" s="62">
        <v>12399.6</v>
      </c>
      <c r="M308" s="63"/>
      <c r="N308" s="17" t="str">
        <f t="shared" si="15"/>
        <v>6517 ASSOCIATED PKG/TN GALLATIN</v>
      </c>
      <c r="O308" s="17" t="str">
        <f t="shared" si="16"/>
        <v>27717 FEDERAL MOGUL</v>
      </c>
      <c r="P308" s="17" t="str">
        <f t="shared" si="14"/>
        <v>HP 200 CLR-48mm x 100m-36 rls/cs-S (207149)</v>
      </c>
    </row>
    <row r="309" spans="1:16" x14ac:dyDescent="0.25">
      <c r="A309" s="60" t="s">
        <v>647</v>
      </c>
      <c r="B309" s="60" t="s">
        <v>648</v>
      </c>
      <c r="C309" s="60" t="s">
        <v>238</v>
      </c>
      <c r="D309" s="60" t="s">
        <v>110</v>
      </c>
      <c r="E309" s="60" t="s">
        <v>539</v>
      </c>
      <c r="F309" s="60" t="s">
        <v>540</v>
      </c>
      <c r="G309" s="60" t="s">
        <v>18</v>
      </c>
      <c r="H309" s="60" t="s">
        <v>212</v>
      </c>
      <c r="I309" s="60" t="s">
        <v>86</v>
      </c>
      <c r="J309" s="61"/>
      <c r="K309" s="61">
        <v>3110.18</v>
      </c>
      <c r="L309" s="62"/>
      <c r="M309" s="63">
        <v>10703.88</v>
      </c>
      <c r="N309" s="17" t="str">
        <f t="shared" si="15"/>
        <v>6517 ASSOCIATED PKG/TN GALLATIN</v>
      </c>
      <c r="O309" s="17" t="str">
        <f t="shared" si="16"/>
        <v>27717 FEDERAL MOGUL</v>
      </c>
      <c r="P309" s="17" t="str">
        <f t="shared" si="14"/>
        <v>HP 200 CLR-48mm x 914m-6 rls/cs-S (208492)</v>
      </c>
    </row>
    <row r="310" spans="1:16" x14ac:dyDescent="0.25">
      <c r="A310" s="60" t="s">
        <v>647</v>
      </c>
      <c r="B310" s="60" t="s">
        <v>648</v>
      </c>
      <c r="C310" s="60" t="s">
        <v>238</v>
      </c>
      <c r="D310" s="60" t="s">
        <v>110</v>
      </c>
      <c r="E310" s="60" t="s">
        <v>539</v>
      </c>
      <c r="F310" s="60" t="s">
        <v>540</v>
      </c>
      <c r="G310" s="60" t="s">
        <v>18</v>
      </c>
      <c r="H310" s="60" t="s">
        <v>214</v>
      </c>
      <c r="I310" s="60" t="s">
        <v>158</v>
      </c>
      <c r="J310" s="61">
        <v>3736.97</v>
      </c>
      <c r="K310" s="61"/>
      <c r="L310" s="62">
        <v>15111.36</v>
      </c>
      <c r="M310" s="63"/>
      <c r="N310" s="17" t="str">
        <f t="shared" si="15"/>
        <v>6517 ASSOCIATED PKG/TN GALLATIN</v>
      </c>
      <c r="O310" s="17" t="str">
        <f t="shared" si="16"/>
        <v>27717 FEDERAL MOGUL</v>
      </c>
      <c r="P310" s="17" t="str">
        <f t="shared" si="14"/>
        <v>HP 200 CLR-72mm x 914m-4 rls/cs-S (208496)</v>
      </c>
    </row>
    <row r="311" spans="1:16" x14ac:dyDescent="0.25">
      <c r="A311" s="60" t="s">
        <v>647</v>
      </c>
      <c r="B311" s="60" t="s">
        <v>648</v>
      </c>
      <c r="C311" s="60" t="s">
        <v>238</v>
      </c>
      <c r="D311" s="60" t="s">
        <v>110</v>
      </c>
      <c r="E311" s="60" t="s">
        <v>821</v>
      </c>
      <c r="F311" s="60" t="s">
        <v>822</v>
      </c>
      <c r="G311" s="60" t="s">
        <v>19</v>
      </c>
      <c r="H311" s="60" t="s">
        <v>242</v>
      </c>
      <c r="I311" s="60" t="s">
        <v>102</v>
      </c>
      <c r="J311" s="61"/>
      <c r="K311" s="61">
        <v>470.21</v>
      </c>
      <c r="L311" s="62"/>
      <c r="M311" s="64">
        <v>1859.94</v>
      </c>
      <c r="N311" s="17" t="str">
        <f t="shared" si="15"/>
        <v>6517 ASSOCIATED PKG/TN GALLATIN</v>
      </c>
      <c r="O311" s="17" t="str">
        <f t="shared" si="16"/>
        <v>27880 MIAMI CORP</v>
      </c>
      <c r="P311" s="17" t="str">
        <f t="shared" si="14"/>
        <v>HP 100 CLR-72mm x 100m-24 rls/cs-S (207194)</v>
      </c>
    </row>
    <row r="312" spans="1:16" x14ac:dyDescent="0.25">
      <c r="A312" s="60" t="s">
        <v>647</v>
      </c>
      <c r="B312" s="60" t="s">
        <v>648</v>
      </c>
      <c r="C312" s="60" t="s">
        <v>238</v>
      </c>
      <c r="D312" s="60" t="s">
        <v>110</v>
      </c>
      <c r="E312" s="60" t="s">
        <v>1012</v>
      </c>
      <c r="F312" s="60" t="s">
        <v>1013</v>
      </c>
      <c r="G312" s="60" t="s">
        <v>18</v>
      </c>
      <c r="H312" s="60" t="s">
        <v>214</v>
      </c>
      <c r="I312" s="60" t="s">
        <v>158</v>
      </c>
      <c r="J312" s="61">
        <v>3923.25</v>
      </c>
      <c r="K312" s="61"/>
      <c r="L312" s="62">
        <v>15111.36</v>
      </c>
      <c r="M312" s="64"/>
      <c r="N312" s="17" t="str">
        <f t="shared" si="15"/>
        <v>6517 ASSOCIATED PKG/TN GALLATIN</v>
      </c>
      <c r="O312" s="17" t="str">
        <f t="shared" si="16"/>
        <v>38633 GENESCO IMPORT GROUP/ DOCKERS</v>
      </c>
      <c r="P312" s="17" t="str">
        <f t="shared" si="14"/>
        <v>HP 200 CLR-72mm x 914m-4 rls/cs-S (208496)</v>
      </c>
    </row>
    <row r="313" spans="1:16" x14ac:dyDescent="0.25">
      <c r="A313" s="60" t="s">
        <v>647</v>
      </c>
      <c r="B313" s="60" t="s">
        <v>648</v>
      </c>
      <c r="C313" s="60" t="s">
        <v>238</v>
      </c>
      <c r="D313" s="60" t="s">
        <v>110</v>
      </c>
      <c r="E313" s="60" t="s">
        <v>559</v>
      </c>
      <c r="F313" s="60" t="s">
        <v>560</v>
      </c>
      <c r="G313" s="60" t="s">
        <v>18</v>
      </c>
      <c r="H313" s="60" t="s">
        <v>249</v>
      </c>
      <c r="I313" s="60" t="s">
        <v>588</v>
      </c>
      <c r="J313" s="61">
        <v>9223.6299999999992</v>
      </c>
      <c r="K313" s="61">
        <v>4291.0600000000004</v>
      </c>
      <c r="L313" s="62">
        <v>34000.559999999998</v>
      </c>
      <c r="M313" s="64">
        <v>17000.28</v>
      </c>
      <c r="N313" s="17" t="str">
        <f t="shared" si="15"/>
        <v>6517 ASSOCIATED PKG/TN GALLATIN</v>
      </c>
      <c r="O313" s="17" t="str">
        <f t="shared" si="16"/>
        <v>39112 BOSTIK INC</v>
      </c>
      <c r="P313" s="17" t="str">
        <f t="shared" si="14"/>
        <v>HP 200 CLR-72mm x 1371m-4 rls/cs-S (208529)</v>
      </c>
    </row>
    <row r="314" spans="1:16" x14ac:dyDescent="0.25">
      <c r="A314" s="60" t="s">
        <v>647</v>
      </c>
      <c r="B314" s="60" t="s">
        <v>648</v>
      </c>
      <c r="C314" s="60" t="s">
        <v>238</v>
      </c>
      <c r="D314" s="60" t="s">
        <v>110</v>
      </c>
      <c r="E314" s="60" t="s">
        <v>1014</v>
      </c>
      <c r="F314" s="60" t="s">
        <v>1015</v>
      </c>
      <c r="G314" s="60" t="s">
        <v>1016</v>
      </c>
      <c r="H314" s="60" t="s">
        <v>1017</v>
      </c>
      <c r="I314" s="60" t="s">
        <v>1018</v>
      </c>
      <c r="J314" s="61"/>
      <c r="K314" s="61">
        <v>394.18</v>
      </c>
      <c r="L314" s="62"/>
      <c r="M314" s="64">
        <v>227.34</v>
      </c>
      <c r="N314" s="17" t="str">
        <f t="shared" si="15"/>
        <v>6517 ASSOCIATED PKG/TN GALLATIN</v>
      </c>
      <c r="O314" s="17" t="str">
        <f t="shared" si="16"/>
        <v>43629 DALEN PRODUCTS INC</v>
      </c>
      <c r="P314" s="17" t="str">
        <f t="shared" si="14"/>
        <v>GS 501 CLR-48mm x 55m-24 rls/cs-H/A (101289)</v>
      </c>
    </row>
    <row r="315" spans="1:16" x14ac:dyDescent="0.25">
      <c r="A315" s="60" t="s">
        <v>647</v>
      </c>
      <c r="B315" s="60" t="s">
        <v>648</v>
      </c>
      <c r="C315" s="60" t="s">
        <v>238</v>
      </c>
      <c r="D315" s="60" t="s">
        <v>110</v>
      </c>
      <c r="E315" s="60" t="s">
        <v>251</v>
      </c>
      <c r="F315" s="60" t="s">
        <v>113</v>
      </c>
      <c r="G315" s="60" t="s">
        <v>54</v>
      </c>
      <c r="H315" s="60" t="s">
        <v>469</v>
      </c>
      <c r="I315" s="60" t="s">
        <v>774</v>
      </c>
      <c r="J315" s="61">
        <v>8069.31</v>
      </c>
      <c r="K315" s="61"/>
      <c r="L315" s="65">
        <v>7443.42</v>
      </c>
      <c r="M315" s="64"/>
      <c r="N315" s="17" t="str">
        <f t="shared" si="15"/>
        <v>6517 ASSOCIATED PKG/TN GALLATIN</v>
      </c>
      <c r="O315" s="17" t="str">
        <f t="shared" si="16"/>
        <v>46217 JOHNS MANVILLE</v>
      </c>
      <c r="P315" s="17" t="str">
        <f t="shared" si="14"/>
        <v>CP 66L NAT-48mm x 165m- 6 rls/cs-C (205586)</v>
      </c>
    </row>
    <row r="316" spans="1:16" x14ac:dyDescent="0.25">
      <c r="A316" s="60" t="s">
        <v>647</v>
      </c>
      <c r="B316" s="60" t="s">
        <v>648</v>
      </c>
      <c r="C316" s="60" t="s">
        <v>238</v>
      </c>
      <c r="D316" s="60" t="s">
        <v>110</v>
      </c>
      <c r="E316" s="60" t="s">
        <v>251</v>
      </c>
      <c r="F316" s="60" t="s">
        <v>113</v>
      </c>
      <c r="G316" s="60" t="s">
        <v>54</v>
      </c>
      <c r="H316" s="60" t="s">
        <v>240</v>
      </c>
      <c r="I316" s="60" t="s">
        <v>111</v>
      </c>
      <c r="J316" s="61">
        <v>86609.94</v>
      </c>
      <c r="K316" s="61">
        <v>11081.66</v>
      </c>
      <c r="L316" s="62">
        <v>88320</v>
      </c>
      <c r="M316" s="64">
        <v>10240</v>
      </c>
      <c r="N316" s="17" t="str">
        <f t="shared" si="15"/>
        <v>6517 ASSOCIATED PKG/TN GALLATIN</v>
      </c>
      <c r="O316" s="17" t="str">
        <f t="shared" si="16"/>
        <v>46217 JOHNS MANVILLE</v>
      </c>
      <c r="P316" s="17" t="str">
        <f t="shared" si="14"/>
        <v>CP 66L NAT-4in x 240yd-3 rls/cs-H (209420)</v>
      </c>
    </row>
    <row r="317" spans="1:16" x14ac:dyDescent="0.25">
      <c r="A317" s="60" t="s">
        <v>647</v>
      </c>
      <c r="B317" s="60" t="s">
        <v>648</v>
      </c>
      <c r="C317" s="60" t="s">
        <v>238</v>
      </c>
      <c r="D317" s="60" t="s">
        <v>110</v>
      </c>
      <c r="E317" s="60" t="s">
        <v>1395</v>
      </c>
      <c r="F317" s="60" t="s">
        <v>1396</v>
      </c>
      <c r="G317" s="60" t="s">
        <v>20</v>
      </c>
      <c r="H317" s="60" t="s">
        <v>1024</v>
      </c>
      <c r="I317" s="60" t="s">
        <v>1025</v>
      </c>
      <c r="J317" s="61">
        <v>475.2</v>
      </c>
      <c r="K317" s="61"/>
      <c r="L317" s="65">
        <v>568.4</v>
      </c>
      <c r="M317" s="64"/>
      <c r="N317" s="17" t="str">
        <f t="shared" si="15"/>
        <v>6517 ASSOCIATED PKG/TN GALLATIN</v>
      </c>
      <c r="O317" s="17" t="str">
        <f t="shared" si="16"/>
        <v>80579 SPECIALTY CONVERTING</v>
      </c>
      <c r="P317" s="17" t="str">
        <f t="shared" si="14"/>
        <v>CP 083 NAT-18mm x 55m-48 rls/cs-S (100486)</v>
      </c>
    </row>
    <row r="318" spans="1:16" x14ac:dyDescent="0.25">
      <c r="A318" s="60" t="s">
        <v>647</v>
      </c>
      <c r="B318" s="60" t="s">
        <v>648</v>
      </c>
      <c r="C318" s="60" t="s">
        <v>238</v>
      </c>
      <c r="D318" s="60" t="s">
        <v>110</v>
      </c>
      <c r="E318" s="60" t="s">
        <v>1395</v>
      </c>
      <c r="F318" s="60" t="s">
        <v>1396</v>
      </c>
      <c r="G318" s="60" t="s">
        <v>1208</v>
      </c>
      <c r="H318" s="60" t="s">
        <v>1209</v>
      </c>
      <c r="I318" s="60" t="s">
        <v>1210</v>
      </c>
      <c r="J318" s="61">
        <v>954.68</v>
      </c>
      <c r="K318" s="61"/>
      <c r="L318" s="65">
        <v>482.23</v>
      </c>
      <c r="M318" s="64"/>
      <c r="N318" s="17" t="str">
        <f t="shared" si="15"/>
        <v>6517 ASSOCIATED PKG/TN GALLATIN</v>
      </c>
      <c r="O318" s="17" t="str">
        <f t="shared" si="16"/>
        <v>80579 SPECIALTY CONVERTING</v>
      </c>
      <c r="P318" s="17" t="str">
        <f t="shared" si="14"/>
        <v>DP 050 CLR-48mm x 50m-24 rls/cs-H (203796)</v>
      </c>
    </row>
    <row r="319" spans="1:16" x14ac:dyDescent="0.25">
      <c r="A319" s="60" t="s">
        <v>647</v>
      </c>
      <c r="B319" s="60" t="s">
        <v>648</v>
      </c>
      <c r="C319" s="60" t="s">
        <v>238</v>
      </c>
      <c r="D319" s="60" t="s">
        <v>110</v>
      </c>
      <c r="E319" s="60" t="s">
        <v>1395</v>
      </c>
      <c r="F319" s="60" t="s">
        <v>1396</v>
      </c>
      <c r="G319" s="60" t="s">
        <v>1208</v>
      </c>
      <c r="H319" s="60" t="s">
        <v>1397</v>
      </c>
      <c r="I319" s="60" t="s">
        <v>1398</v>
      </c>
      <c r="J319" s="61">
        <v>720.64</v>
      </c>
      <c r="K319" s="61"/>
      <c r="L319" s="62">
        <v>310.02</v>
      </c>
      <c r="M319" s="64"/>
      <c r="N319" s="17" t="str">
        <f t="shared" si="15"/>
        <v>6517 ASSOCIATED PKG/TN GALLATIN</v>
      </c>
      <c r="O319" s="17" t="str">
        <f t="shared" si="16"/>
        <v>80579 SPECIALTY CONVERTING</v>
      </c>
      <c r="P319" s="17" t="str">
        <f t="shared" si="14"/>
        <v>DP 050 CLR-24mm x 50m-36 rls/cs-H (204559)</v>
      </c>
    </row>
    <row r="320" spans="1:16" x14ac:dyDescent="0.25">
      <c r="A320" s="60" t="s">
        <v>647</v>
      </c>
      <c r="B320" s="60" t="s">
        <v>648</v>
      </c>
      <c r="C320" s="60" t="s">
        <v>238</v>
      </c>
      <c r="D320" s="60" t="s">
        <v>110</v>
      </c>
      <c r="E320" s="60" t="s">
        <v>1395</v>
      </c>
      <c r="F320" s="60" t="s">
        <v>1396</v>
      </c>
      <c r="G320" s="60" t="s">
        <v>65</v>
      </c>
      <c r="H320" s="60" t="s">
        <v>1399</v>
      </c>
      <c r="I320" s="60" t="s">
        <v>1400</v>
      </c>
      <c r="J320" s="61"/>
      <c r="K320" s="61">
        <v>412.23</v>
      </c>
      <c r="L320" s="65"/>
      <c r="M320" s="64">
        <v>284.14999999999998</v>
      </c>
      <c r="N320" s="17" t="str">
        <f t="shared" si="15"/>
        <v>6517 ASSOCIATED PKG/TN GALLATIN</v>
      </c>
      <c r="O320" s="17" t="str">
        <f t="shared" si="16"/>
        <v>80579 SPECIALTY CONVERTING</v>
      </c>
      <c r="P320" s="17" t="str">
        <f t="shared" si="14"/>
        <v>FP 097 KFT-36mm x 55m-24 rls/cs-H (100020)</v>
      </c>
    </row>
    <row r="321" spans="1:16" x14ac:dyDescent="0.25">
      <c r="A321" s="60" t="s">
        <v>647</v>
      </c>
      <c r="B321" s="60" t="s">
        <v>648</v>
      </c>
      <c r="C321" s="60" t="s">
        <v>238</v>
      </c>
      <c r="D321" s="60" t="s">
        <v>110</v>
      </c>
      <c r="E321" s="60" t="s">
        <v>1395</v>
      </c>
      <c r="F321" s="60" t="s">
        <v>1396</v>
      </c>
      <c r="G321" s="60" t="s">
        <v>19</v>
      </c>
      <c r="H321" s="60" t="s">
        <v>233</v>
      </c>
      <c r="I321" s="60" t="s">
        <v>49</v>
      </c>
      <c r="J321" s="61">
        <v>254.83</v>
      </c>
      <c r="K321" s="61">
        <v>356.76</v>
      </c>
      <c r="L321" s="62">
        <v>1033.3</v>
      </c>
      <c r="M321" s="64">
        <v>1446.62</v>
      </c>
      <c r="N321" s="17" t="str">
        <f t="shared" si="15"/>
        <v>6517 ASSOCIATED PKG/TN GALLATIN</v>
      </c>
      <c r="O321" s="17" t="str">
        <f t="shared" si="16"/>
        <v>80579 SPECIALTY CONVERTING</v>
      </c>
      <c r="P321" s="17" t="str">
        <f t="shared" si="14"/>
        <v>HP 100 CLR-48mm x 100m-36 rls/cs-S (207142)</v>
      </c>
    </row>
    <row r="322" spans="1:16" x14ac:dyDescent="0.25">
      <c r="A322" s="60" t="s">
        <v>647</v>
      </c>
      <c r="B322" s="60" t="s">
        <v>648</v>
      </c>
      <c r="C322" s="60" t="s">
        <v>238</v>
      </c>
      <c r="D322" s="60" t="s">
        <v>110</v>
      </c>
      <c r="E322" s="60" t="s">
        <v>1401</v>
      </c>
      <c r="F322" s="60" t="s">
        <v>1402</v>
      </c>
      <c r="G322" s="60" t="s">
        <v>70</v>
      </c>
      <c r="H322" s="60" t="s">
        <v>383</v>
      </c>
      <c r="I322" s="60" t="s">
        <v>384</v>
      </c>
      <c r="J322" s="61">
        <v>6131.26</v>
      </c>
      <c r="K322" s="61"/>
      <c r="L322" s="62">
        <v>16370.64</v>
      </c>
      <c r="M322" s="63"/>
      <c r="N322" s="17" t="str">
        <f t="shared" si="15"/>
        <v>6517 ASSOCIATED PKG/TN GALLATIN</v>
      </c>
      <c r="O322" s="17" t="str">
        <f t="shared" si="16"/>
        <v>81112 FLEETGUARD INC</v>
      </c>
      <c r="P322" s="17" t="str">
        <f t="shared" si="14"/>
        <v>HP 235 CLR-48mm x 914m-6 rls/cs-H (178027)</v>
      </c>
    </row>
    <row r="323" spans="1:16" x14ac:dyDescent="0.25">
      <c r="A323" s="60" t="s">
        <v>647</v>
      </c>
      <c r="B323" s="60" t="s">
        <v>648</v>
      </c>
      <c r="C323" s="60" t="s">
        <v>238</v>
      </c>
      <c r="D323" s="60" t="s">
        <v>110</v>
      </c>
      <c r="E323" s="60" t="s">
        <v>1019</v>
      </c>
      <c r="F323" s="60" t="s">
        <v>1020</v>
      </c>
      <c r="G323" s="60" t="s">
        <v>1021</v>
      </c>
      <c r="H323" s="60" t="s">
        <v>1022</v>
      </c>
      <c r="I323" s="60" t="s">
        <v>1023</v>
      </c>
      <c r="J323" s="61">
        <v>2330.86</v>
      </c>
      <c r="K323" s="61"/>
      <c r="L323" s="62">
        <v>360</v>
      </c>
      <c r="M323" s="64"/>
      <c r="N323" s="17" t="str">
        <f t="shared" si="15"/>
        <v>6517 ASSOCIATED PKG/TN GALLATIN</v>
      </c>
      <c r="O323" s="17" t="str">
        <f t="shared" si="16"/>
        <v>84047 THE ROBINETTE COMPANY</v>
      </c>
      <c r="P323" s="17" t="str">
        <f t="shared" si="14"/>
        <v>DF 065 NAT-1/2in x 36yd-72 rls/cs-H/A (100761)</v>
      </c>
    </row>
    <row r="324" spans="1:16" x14ac:dyDescent="0.25">
      <c r="A324" s="60" t="s">
        <v>647</v>
      </c>
      <c r="B324" s="60" t="s">
        <v>648</v>
      </c>
      <c r="C324" s="60" t="s">
        <v>238</v>
      </c>
      <c r="D324" s="60" t="s">
        <v>110</v>
      </c>
      <c r="E324" s="60" t="s">
        <v>704</v>
      </c>
      <c r="F324" s="60" t="s">
        <v>705</v>
      </c>
      <c r="G324" s="60" t="s">
        <v>19</v>
      </c>
      <c r="H324" s="60" t="s">
        <v>233</v>
      </c>
      <c r="I324" s="60" t="s">
        <v>49</v>
      </c>
      <c r="J324" s="61">
        <v>9443.18</v>
      </c>
      <c r="K324" s="61">
        <v>2950.99</v>
      </c>
      <c r="L324" s="62">
        <v>39678.720000000001</v>
      </c>
      <c r="M324" s="63">
        <v>12399.6</v>
      </c>
      <c r="N324" s="17" t="str">
        <f t="shared" si="15"/>
        <v>6517 ASSOCIATED PKG/TN GALLATIN</v>
      </c>
      <c r="O324" s="17" t="str">
        <f t="shared" si="16"/>
        <v>84995 CARGILL MEAT SOLUTIONS CORP</v>
      </c>
      <c r="P324" s="17" t="str">
        <f t="shared" ref="P324:P387" si="17">I324&amp;" ("&amp;H324&amp;")"</f>
        <v>HP 100 CLR-48mm x 100m-36 rls/cs-S (207142)</v>
      </c>
    </row>
    <row r="325" spans="1:16" x14ac:dyDescent="0.25">
      <c r="A325" s="60" t="s">
        <v>647</v>
      </c>
      <c r="B325" s="60" t="s">
        <v>648</v>
      </c>
      <c r="C325" s="60" t="s">
        <v>238</v>
      </c>
      <c r="D325" s="60" t="s">
        <v>110</v>
      </c>
      <c r="E325" s="60" t="s">
        <v>704</v>
      </c>
      <c r="F325" s="60" t="s">
        <v>705</v>
      </c>
      <c r="G325" s="60" t="s">
        <v>19</v>
      </c>
      <c r="H325" s="60" t="s">
        <v>243</v>
      </c>
      <c r="I325" s="60" t="s">
        <v>87</v>
      </c>
      <c r="J325" s="61">
        <v>3646.68</v>
      </c>
      <c r="K325" s="61">
        <v>7467.29</v>
      </c>
      <c r="L325" s="62">
        <v>15111.36</v>
      </c>
      <c r="M325" s="63">
        <v>30222.720000000001</v>
      </c>
      <c r="N325" s="17" t="str">
        <f t="shared" si="15"/>
        <v>6517 ASSOCIATED PKG/TN GALLATIN</v>
      </c>
      <c r="O325" s="17" t="str">
        <f t="shared" si="16"/>
        <v>84995 CARGILL MEAT SOLUTIONS CORP</v>
      </c>
      <c r="P325" s="17" t="str">
        <f t="shared" si="17"/>
        <v>HP 100 CLR-48mm x 914m-6 rls/cs-S (208453)</v>
      </c>
    </row>
    <row r="326" spans="1:16" x14ac:dyDescent="0.25">
      <c r="A326" s="60" t="s">
        <v>647</v>
      </c>
      <c r="B326" s="60" t="s">
        <v>648</v>
      </c>
      <c r="C326" s="60" t="s">
        <v>238</v>
      </c>
      <c r="D326" s="60" t="s">
        <v>110</v>
      </c>
      <c r="E326" s="60" t="s">
        <v>704</v>
      </c>
      <c r="F326" s="60" t="s">
        <v>705</v>
      </c>
      <c r="G326" s="60" t="s">
        <v>84</v>
      </c>
      <c r="H326" s="60" t="s">
        <v>1403</v>
      </c>
      <c r="I326" s="60" t="s">
        <v>1404</v>
      </c>
      <c r="J326" s="61">
        <v>1269.5</v>
      </c>
      <c r="K326" s="61"/>
      <c r="L326" s="62">
        <v>1888.92</v>
      </c>
      <c r="M326" s="63"/>
      <c r="N326" s="17" t="str">
        <f t="shared" si="15"/>
        <v>6517 ASSOCIATED PKG/TN GALLATIN</v>
      </c>
      <c r="O326" s="17" t="str">
        <f t="shared" si="16"/>
        <v>84995 CARGILL MEAT SOLUTIONS CORP</v>
      </c>
      <c r="P326" s="17" t="str">
        <f t="shared" si="17"/>
        <v>HP 240 WR STOP-48mm x 914m-6 rls/cs-H (183220)</v>
      </c>
    </row>
    <row r="327" spans="1:16" x14ac:dyDescent="0.25">
      <c r="A327" s="60" t="s">
        <v>647</v>
      </c>
      <c r="B327" s="60" t="s">
        <v>648</v>
      </c>
      <c r="C327" s="60" t="s">
        <v>238</v>
      </c>
      <c r="D327" s="60" t="s">
        <v>110</v>
      </c>
      <c r="E327" s="60" t="s">
        <v>706</v>
      </c>
      <c r="F327" s="60" t="s">
        <v>707</v>
      </c>
      <c r="G327" s="60" t="s">
        <v>20</v>
      </c>
      <c r="H327" s="60" t="s">
        <v>1024</v>
      </c>
      <c r="I327" s="60" t="s">
        <v>1025</v>
      </c>
      <c r="J327" s="61">
        <v>300.33</v>
      </c>
      <c r="K327" s="61"/>
      <c r="L327" s="62">
        <v>454.72</v>
      </c>
      <c r="M327" s="63"/>
      <c r="N327" s="17" t="str">
        <f t="shared" si="15"/>
        <v>6517 ASSOCIATED PKG/TN GALLATIN</v>
      </c>
      <c r="O327" s="17" t="str">
        <f t="shared" si="16"/>
        <v>85219 A-Z OFFICE RESOURCE INC</v>
      </c>
      <c r="P327" s="17" t="str">
        <f t="shared" si="17"/>
        <v>CP 083 NAT-18mm x 55m-48 rls/cs-S (100486)</v>
      </c>
    </row>
    <row r="328" spans="1:16" x14ac:dyDescent="0.25">
      <c r="A328" s="60" t="s">
        <v>647</v>
      </c>
      <c r="B328" s="60" t="s">
        <v>648</v>
      </c>
      <c r="C328" s="60" t="s">
        <v>238</v>
      </c>
      <c r="D328" s="60" t="s">
        <v>110</v>
      </c>
      <c r="E328" s="60" t="s">
        <v>706</v>
      </c>
      <c r="F328" s="60" t="s">
        <v>707</v>
      </c>
      <c r="G328" s="60" t="s">
        <v>65</v>
      </c>
      <c r="H328" s="60" t="s">
        <v>252</v>
      </c>
      <c r="I328" s="60" t="s">
        <v>152</v>
      </c>
      <c r="J328" s="61"/>
      <c r="K328" s="61">
        <v>91.24</v>
      </c>
      <c r="L328" s="65"/>
      <c r="M328" s="64">
        <v>75.78</v>
      </c>
      <c r="N328" s="17" t="str">
        <f t="shared" si="15"/>
        <v>6517 ASSOCIATED PKG/TN GALLATIN</v>
      </c>
      <c r="O328" s="17" t="str">
        <f t="shared" si="16"/>
        <v>85219 A-Z OFFICE RESOURCE INC</v>
      </c>
      <c r="P328" s="17" t="str">
        <f t="shared" si="17"/>
        <v>FP 097 KFT-72mm x 55m-16 rls/cs-H/A (101073)</v>
      </c>
    </row>
    <row r="329" spans="1:16" x14ac:dyDescent="0.25">
      <c r="A329" s="60" t="s">
        <v>647</v>
      </c>
      <c r="B329" s="60" t="s">
        <v>648</v>
      </c>
      <c r="C329" s="60" t="s">
        <v>238</v>
      </c>
      <c r="D329" s="60" t="s">
        <v>110</v>
      </c>
      <c r="E329" s="60" t="s">
        <v>706</v>
      </c>
      <c r="F329" s="60" t="s">
        <v>707</v>
      </c>
      <c r="G329" s="60" t="s">
        <v>59</v>
      </c>
      <c r="H329" s="60" t="s">
        <v>223</v>
      </c>
      <c r="I329" s="60" t="s">
        <v>600</v>
      </c>
      <c r="J329" s="61"/>
      <c r="K329" s="61">
        <v>642.47</v>
      </c>
      <c r="L329" s="62"/>
      <c r="M329" s="64">
        <v>606.24</v>
      </c>
      <c r="N329" s="17" t="str">
        <f t="shared" ref="N329:N392" si="18">C329&amp;" "&amp;D329</f>
        <v>6517 ASSOCIATED PKG/TN GALLATIN</v>
      </c>
      <c r="O329" s="17" t="str">
        <f t="shared" ref="O329:O392" si="19">E329&amp;" "&amp;F329</f>
        <v>85219 A-Z OFFICE RESOURCE INC</v>
      </c>
      <c r="P329" s="17" t="str">
        <f t="shared" si="17"/>
        <v>GS 490 CLR-48mm x 55m-24 rls/cs-H/A (101230)</v>
      </c>
    </row>
    <row r="330" spans="1:16" x14ac:dyDescent="0.25">
      <c r="A330" s="60" t="s">
        <v>647</v>
      </c>
      <c r="B330" s="60" t="s">
        <v>648</v>
      </c>
      <c r="C330" s="60" t="s">
        <v>238</v>
      </c>
      <c r="D330" s="60" t="s">
        <v>110</v>
      </c>
      <c r="E330" s="60" t="s">
        <v>1026</v>
      </c>
      <c r="F330" s="60" t="s">
        <v>1027</v>
      </c>
      <c r="G330" s="60" t="s">
        <v>19</v>
      </c>
      <c r="H330" s="60" t="s">
        <v>1028</v>
      </c>
      <c r="I330" s="60" t="s">
        <v>1029</v>
      </c>
      <c r="J330" s="61">
        <v>3143.45</v>
      </c>
      <c r="K330" s="61"/>
      <c r="L330" s="62">
        <v>12399.6</v>
      </c>
      <c r="M330" s="63"/>
      <c r="N330" s="17" t="str">
        <f t="shared" si="18"/>
        <v>6517 ASSOCIATED PKG/TN GALLATIN</v>
      </c>
      <c r="O330" s="17" t="str">
        <f t="shared" si="19"/>
        <v>700619 KENTUCKY MOVING &amp; STORAGE</v>
      </c>
      <c r="P330" s="17" t="str">
        <f t="shared" si="17"/>
        <v>HP 100 TAN-48mm x 100m-36 rls/cs-S (207181)</v>
      </c>
    </row>
    <row r="331" spans="1:16" x14ac:dyDescent="0.25">
      <c r="A331" s="60" t="s">
        <v>647</v>
      </c>
      <c r="B331" s="60" t="s">
        <v>648</v>
      </c>
      <c r="C331" s="60" t="s">
        <v>238</v>
      </c>
      <c r="D331" s="60" t="s">
        <v>110</v>
      </c>
      <c r="E331" s="60" t="s">
        <v>875</v>
      </c>
      <c r="F331" s="60" t="s">
        <v>114</v>
      </c>
      <c r="G331" s="60" t="s">
        <v>19</v>
      </c>
      <c r="H331" s="60" t="s">
        <v>242</v>
      </c>
      <c r="I331" s="60" t="s">
        <v>102</v>
      </c>
      <c r="J331" s="61"/>
      <c r="K331" s="61">
        <v>3079.3</v>
      </c>
      <c r="L331" s="62"/>
      <c r="M331" s="64">
        <v>12399.6</v>
      </c>
      <c r="N331" s="17" t="str">
        <f t="shared" si="18"/>
        <v>6517 ASSOCIATED PKG/TN GALLATIN</v>
      </c>
      <c r="O331" s="17" t="str">
        <f t="shared" si="19"/>
        <v>701357 DREW FOAM OF TENNESSEE</v>
      </c>
      <c r="P331" s="17" t="str">
        <f t="shared" si="17"/>
        <v>HP 100 CLR-72mm x 100m-24 rls/cs-S (207194)</v>
      </c>
    </row>
    <row r="332" spans="1:16" x14ac:dyDescent="0.25">
      <c r="A332" s="60" t="s">
        <v>647</v>
      </c>
      <c r="B332" s="60" t="s">
        <v>648</v>
      </c>
      <c r="C332" s="60" t="s">
        <v>238</v>
      </c>
      <c r="D332" s="60" t="s">
        <v>110</v>
      </c>
      <c r="E332" s="60" t="s">
        <v>1405</v>
      </c>
      <c r="F332" s="60" t="s">
        <v>114</v>
      </c>
      <c r="G332" s="60" t="s">
        <v>19</v>
      </c>
      <c r="H332" s="60" t="s">
        <v>242</v>
      </c>
      <c r="I332" s="60" t="s">
        <v>102</v>
      </c>
      <c r="J332" s="61">
        <v>2936.74</v>
      </c>
      <c r="K332" s="61">
        <v>2922.48</v>
      </c>
      <c r="L332" s="65">
        <v>12399.6</v>
      </c>
      <c r="M332" s="64">
        <v>12399.6</v>
      </c>
      <c r="N332" s="17" t="str">
        <f t="shared" si="18"/>
        <v>6517 ASSOCIATED PKG/TN GALLATIN</v>
      </c>
      <c r="O332" s="17" t="str">
        <f t="shared" si="19"/>
        <v>704009 DREW FOAM OF TENNESSEE</v>
      </c>
      <c r="P332" s="17" t="str">
        <f t="shared" si="17"/>
        <v>HP 100 CLR-72mm x 100m-24 rls/cs-S (207194)</v>
      </c>
    </row>
    <row r="333" spans="1:16" x14ac:dyDescent="0.25">
      <c r="A333" s="60" t="s">
        <v>647</v>
      </c>
      <c r="B333" s="60" t="s">
        <v>648</v>
      </c>
      <c r="C333" s="60" t="s">
        <v>238</v>
      </c>
      <c r="D333" s="60" t="s">
        <v>110</v>
      </c>
      <c r="E333" s="60" t="s">
        <v>1406</v>
      </c>
      <c r="F333" s="60" t="s">
        <v>1031</v>
      </c>
      <c r="G333" s="60" t="s">
        <v>59</v>
      </c>
      <c r="H333" s="60" t="s">
        <v>223</v>
      </c>
      <c r="I333" s="60" t="s">
        <v>600</v>
      </c>
      <c r="J333" s="61">
        <v>9975.4</v>
      </c>
      <c r="K333" s="61">
        <v>10279.530000000001</v>
      </c>
      <c r="L333" s="65">
        <v>9699.84</v>
      </c>
      <c r="M333" s="64">
        <v>9699.84</v>
      </c>
      <c r="N333" s="17" t="str">
        <f t="shared" si="18"/>
        <v>6517 ASSOCIATED PKG/TN GALLATIN</v>
      </c>
      <c r="O333" s="17" t="str">
        <f t="shared" si="19"/>
        <v>704898 METALMAX LLC</v>
      </c>
      <c r="P333" s="17" t="str">
        <f t="shared" si="17"/>
        <v>GS 490 CLR-48mm x 55m-24 rls/cs-H/A (101230)</v>
      </c>
    </row>
    <row r="334" spans="1:16" x14ac:dyDescent="0.25">
      <c r="A334" s="60" t="s">
        <v>647</v>
      </c>
      <c r="B334" s="60" t="s">
        <v>648</v>
      </c>
      <c r="C334" s="60" t="s">
        <v>238</v>
      </c>
      <c r="D334" s="60" t="s">
        <v>110</v>
      </c>
      <c r="E334" s="60" t="s">
        <v>1407</v>
      </c>
      <c r="F334" s="60" t="s">
        <v>1408</v>
      </c>
      <c r="G334" s="60" t="s">
        <v>19</v>
      </c>
      <c r="H334" s="60" t="s">
        <v>233</v>
      </c>
      <c r="I334" s="60" t="s">
        <v>49</v>
      </c>
      <c r="J334" s="61">
        <v>2950.99</v>
      </c>
      <c r="K334" s="61"/>
      <c r="L334" s="65">
        <v>12399.6</v>
      </c>
      <c r="M334" s="64"/>
      <c r="N334" s="17" t="str">
        <f t="shared" si="18"/>
        <v>6517 ASSOCIATED PKG/TN GALLATIN</v>
      </c>
      <c r="O334" s="17" t="str">
        <f t="shared" si="19"/>
        <v>706027 PEYTONS MID-SOUTH</v>
      </c>
      <c r="P334" s="17" t="str">
        <f t="shared" si="17"/>
        <v>HP 100 CLR-48mm x 100m-36 rls/cs-S (207142)</v>
      </c>
    </row>
    <row r="335" spans="1:16" x14ac:dyDescent="0.25">
      <c r="A335" s="60" t="s">
        <v>647</v>
      </c>
      <c r="B335" s="60" t="s">
        <v>648</v>
      </c>
      <c r="C335" s="60" t="s">
        <v>238</v>
      </c>
      <c r="D335" s="60" t="s">
        <v>110</v>
      </c>
      <c r="E335" s="60" t="s">
        <v>1030</v>
      </c>
      <c r="F335" s="60" t="s">
        <v>1031</v>
      </c>
      <c r="G335" s="60" t="s">
        <v>59</v>
      </c>
      <c r="H335" s="60" t="s">
        <v>223</v>
      </c>
      <c r="I335" s="60" t="s">
        <v>600</v>
      </c>
      <c r="J335" s="61">
        <v>10560.37</v>
      </c>
      <c r="K335" s="61">
        <v>4790.0200000000004</v>
      </c>
      <c r="L335" s="65">
        <v>10760.76</v>
      </c>
      <c r="M335" s="64">
        <v>4849.92</v>
      </c>
      <c r="N335" s="17" t="str">
        <f t="shared" si="18"/>
        <v>6517 ASSOCIATED PKG/TN GALLATIN</v>
      </c>
      <c r="O335" s="17" t="str">
        <f t="shared" si="19"/>
        <v>706241 METALMAX LLC</v>
      </c>
      <c r="P335" s="17" t="str">
        <f t="shared" si="17"/>
        <v>GS 490 CLR-48mm x 55m-24 rls/cs-H/A (101230)</v>
      </c>
    </row>
    <row r="336" spans="1:16" x14ac:dyDescent="0.25">
      <c r="A336" s="60" t="s">
        <v>647</v>
      </c>
      <c r="B336" s="60" t="s">
        <v>648</v>
      </c>
      <c r="C336" s="60" t="s">
        <v>238</v>
      </c>
      <c r="D336" s="60" t="s">
        <v>110</v>
      </c>
      <c r="E336" s="60" t="s">
        <v>338</v>
      </c>
      <c r="F336" s="60" t="s">
        <v>339</v>
      </c>
      <c r="G336" s="60" t="s">
        <v>18</v>
      </c>
      <c r="H336" s="60" t="s">
        <v>215</v>
      </c>
      <c r="I336" s="60" t="s">
        <v>50</v>
      </c>
      <c r="J336" s="61">
        <v>1553.9</v>
      </c>
      <c r="K336" s="61"/>
      <c r="L336" s="62">
        <v>5786.48</v>
      </c>
      <c r="M336" s="64"/>
      <c r="N336" s="17" t="str">
        <f t="shared" si="18"/>
        <v>6517 ASSOCIATED PKG/TN GALLATIN</v>
      </c>
      <c r="O336" s="17" t="str">
        <f t="shared" si="19"/>
        <v>709845 COOPER CONTAINER</v>
      </c>
      <c r="P336" s="17" t="str">
        <f t="shared" si="17"/>
        <v>HP 200 CLR-48mm x 100m-36 rls/cs-S (207149)</v>
      </c>
    </row>
    <row r="337" spans="1:16" x14ac:dyDescent="0.25">
      <c r="A337" s="60" t="s">
        <v>647</v>
      </c>
      <c r="B337" s="60" t="s">
        <v>648</v>
      </c>
      <c r="C337" s="60" t="s">
        <v>238</v>
      </c>
      <c r="D337" s="60" t="s">
        <v>110</v>
      </c>
      <c r="E337" s="60" t="s">
        <v>338</v>
      </c>
      <c r="F337" s="60" t="s">
        <v>339</v>
      </c>
      <c r="G337" s="60" t="s">
        <v>18</v>
      </c>
      <c r="H337" s="60" t="s">
        <v>212</v>
      </c>
      <c r="I337" s="60" t="s">
        <v>86</v>
      </c>
      <c r="J337" s="61">
        <v>1045.68</v>
      </c>
      <c r="K337" s="61">
        <v>869.02</v>
      </c>
      <c r="L337" s="65">
        <v>3777.84</v>
      </c>
      <c r="M337" s="64">
        <v>3148.2</v>
      </c>
      <c r="N337" s="17" t="str">
        <f t="shared" si="18"/>
        <v>6517 ASSOCIATED PKG/TN GALLATIN</v>
      </c>
      <c r="O337" s="17" t="str">
        <f t="shared" si="19"/>
        <v>709845 COOPER CONTAINER</v>
      </c>
      <c r="P337" s="17" t="str">
        <f t="shared" si="17"/>
        <v>HP 200 CLR-48mm x 914m-6 rls/cs-S (208492)</v>
      </c>
    </row>
    <row r="338" spans="1:16" x14ac:dyDescent="0.25">
      <c r="A338" s="60" t="s">
        <v>647</v>
      </c>
      <c r="B338" s="60" t="s">
        <v>648</v>
      </c>
      <c r="C338" s="60" t="s">
        <v>238</v>
      </c>
      <c r="D338" s="60" t="s">
        <v>110</v>
      </c>
      <c r="E338" s="60" t="s">
        <v>338</v>
      </c>
      <c r="F338" s="60" t="s">
        <v>339</v>
      </c>
      <c r="G338" s="60" t="s">
        <v>204</v>
      </c>
      <c r="H338" s="60" t="s">
        <v>230</v>
      </c>
      <c r="I338" s="60" t="s">
        <v>376</v>
      </c>
      <c r="J338" s="61">
        <v>27.38</v>
      </c>
      <c r="K338" s="61"/>
      <c r="L338" s="65">
        <v>0</v>
      </c>
      <c r="M338" s="64"/>
      <c r="N338" s="17" t="str">
        <f t="shared" si="18"/>
        <v>6517 ASSOCIATED PKG/TN GALLATIN</v>
      </c>
      <c r="O338" s="17" t="str">
        <f t="shared" si="19"/>
        <v>709845 COOPER CONTAINER</v>
      </c>
      <c r="P338" s="17" t="str">
        <f t="shared" si="17"/>
        <v>SD 934  PISTOL GRIP TAPE DISPNSR PREM.-S (903000)</v>
      </c>
    </row>
    <row r="339" spans="1:16" x14ac:dyDescent="0.25">
      <c r="A339" s="60" t="s">
        <v>647</v>
      </c>
      <c r="B339" s="60" t="s">
        <v>648</v>
      </c>
      <c r="C339" s="60" t="s">
        <v>238</v>
      </c>
      <c r="D339" s="60" t="s">
        <v>110</v>
      </c>
      <c r="E339" s="60" t="s">
        <v>470</v>
      </c>
      <c r="F339" s="60" t="s">
        <v>208</v>
      </c>
      <c r="G339" s="60" t="s">
        <v>18</v>
      </c>
      <c r="H339" s="60" t="s">
        <v>212</v>
      </c>
      <c r="I339" s="60" t="s">
        <v>86</v>
      </c>
      <c r="J339" s="61">
        <v>21954.22</v>
      </c>
      <c r="K339" s="61"/>
      <c r="L339" s="65">
        <v>75556.800000000003</v>
      </c>
      <c r="M339" s="64"/>
      <c r="N339" s="17" t="str">
        <f t="shared" si="18"/>
        <v>6517 ASSOCIATED PKG/TN GALLATIN</v>
      </c>
      <c r="O339" s="17" t="str">
        <f t="shared" si="19"/>
        <v>711526 JM SMUCKERS COMPANY</v>
      </c>
      <c r="P339" s="17" t="str">
        <f t="shared" si="17"/>
        <v>HP 200 CLR-48mm x 914m-6 rls/cs-S (208492)</v>
      </c>
    </row>
    <row r="340" spans="1:16" x14ac:dyDescent="0.25">
      <c r="A340" s="60" t="s">
        <v>647</v>
      </c>
      <c r="B340" s="60" t="s">
        <v>648</v>
      </c>
      <c r="C340" s="60" t="s">
        <v>238</v>
      </c>
      <c r="D340" s="60" t="s">
        <v>110</v>
      </c>
      <c r="E340" s="60" t="s">
        <v>573</v>
      </c>
      <c r="F340" s="60" t="s">
        <v>574</v>
      </c>
      <c r="G340" s="60" t="s">
        <v>59</v>
      </c>
      <c r="H340" s="60" t="s">
        <v>496</v>
      </c>
      <c r="I340" s="60" t="s">
        <v>602</v>
      </c>
      <c r="J340" s="61"/>
      <c r="K340" s="61">
        <v>791.21</v>
      </c>
      <c r="L340" s="65"/>
      <c r="M340" s="64">
        <v>568.29999999999995</v>
      </c>
      <c r="N340" s="17" t="str">
        <f t="shared" si="18"/>
        <v>6517 ASSOCIATED PKG/TN GALLATIN</v>
      </c>
      <c r="O340" s="17" t="str">
        <f t="shared" si="19"/>
        <v>712280 VYTRON CORPORATION</v>
      </c>
      <c r="P340" s="17" t="str">
        <f t="shared" si="17"/>
        <v>GS 490 CLR-12mm x 55m-72 rls/cs-H/A (101228)</v>
      </c>
    </row>
    <row r="341" spans="1:16" x14ac:dyDescent="0.25">
      <c r="A341" s="60" t="s">
        <v>647</v>
      </c>
      <c r="B341" s="60" t="s">
        <v>648</v>
      </c>
      <c r="C341" s="60" t="s">
        <v>238</v>
      </c>
      <c r="D341" s="60" t="s">
        <v>110</v>
      </c>
      <c r="E341" s="60" t="s">
        <v>1032</v>
      </c>
      <c r="F341" s="60" t="s">
        <v>1033</v>
      </c>
      <c r="G341" s="60" t="s">
        <v>19</v>
      </c>
      <c r="H341" s="60" t="s">
        <v>242</v>
      </c>
      <c r="I341" s="60" t="s">
        <v>102</v>
      </c>
      <c r="J341" s="61">
        <v>5616.86</v>
      </c>
      <c r="K341" s="61">
        <v>17705.939999999999</v>
      </c>
      <c r="L341" s="62">
        <v>24799.200000000001</v>
      </c>
      <c r="M341" s="64">
        <v>74397.600000000006</v>
      </c>
      <c r="N341" s="17" t="str">
        <f t="shared" si="18"/>
        <v>6517 ASSOCIATED PKG/TN GALLATIN</v>
      </c>
      <c r="O341" s="17" t="str">
        <f t="shared" si="19"/>
        <v>713838 GAP INC TENNESSEE DC</v>
      </c>
      <c r="P341" s="17" t="str">
        <f t="shared" si="17"/>
        <v>HP 100 CLR-72mm x 100m-24 rls/cs-S (207194)</v>
      </c>
    </row>
    <row r="342" spans="1:16" x14ac:dyDescent="0.25">
      <c r="A342" s="60" t="s">
        <v>647</v>
      </c>
      <c r="B342" s="60" t="s">
        <v>648</v>
      </c>
      <c r="C342" s="60" t="s">
        <v>238</v>
      </c>
      <c r="D342" s="60" t="s">
        <v>110</v>
      </c>
      <c r="E342" s="60" t="s">
        <v>1032</v>
      </c>
      <c r="F342" s="60" t="s">
        <v>1033</v>
      </c>
      <c r="G342" s="60" t="s">
        <v>18</v>
      </c>
      <c r="H342" s="60" t="s">
        <v>214</v>
      </c>
      <c r="I342" s="60" t="s">
        <v>158</v>
      </c>
      <c r="J342" s="61">
        <v>7401.72</v>
      </c>
      <c r="K342" s="61">
        <v>7770.48</v>
      </c>
      <c r="L342" s="65">
        <v>30222.720000000001</v>
      </c>
      <c r="M342" s="64">
        <v>30222.720000000001</v>
      </c>
      <c r="N342" s="17" t="str">
        <f t="shared" si="18"/>
        <v>6517 ASSOCIATED PKG/TN GALLATIN</v>
      </c>
      <c r="O342" s="17" t="str">
        <f t="shared" si="19"/>
        <v>713838 GAP INC TENNESSEE DC</v>
      </c>
      <c r="P342" s="17" t="str">
        <f t="shared" si="17"/>
        <v>HP 200 CLR-72mm x 914m-4 rls/cs-S (208496)</v>
      </c>
    </row>
    <row r="343" spans="1:16" x14ac:dyDescent="0.25">
      <c r="A343" s="60" t="s">
        <v>647</v>
      </c>
      <c r="B343" s="60" t="s">
        <v>648</v>
      </c>
      <c r="C343" s="60" t="s">
        <v>238</v>
      </c>
      <c r="D343" s="60" t="s">
        <v>110</v>
      </c>
      <c r="E343" s="60" t="s">
        <v>1034</v>
      </c>
      <c r="F343" s="60" t="s">
        <v>1035</v>
      </c>
      <c r="G343" s="60" t="s">
        <v>19</v>
      </c>
      <c r="H343" s="60" t="s">
        <v>233</v>
      </c>
      <c r="I343" s="60" t="s">
        <v>49</v>
      </c>
      <c r="J343" s="61">
        <v>2950.99</v>
      </c>
      <c r="K343" s="61"/>
      <c r="L343" s="65">
        <v>12399.6</v>
      </c>
      <c r="M343" s="64"/>
      <c r="N343" s="17" t="str">
        <f t="shared" si="18"/>
        <v>6517 ASSOCIATED PKG/TN GALLATIN</v>
      </c>
      <c r="O343" s="17" t="str">
        <f t="shared" si="19"/>
        <v>714320 GAP INC SOUTHERN DC</v>
      </c>
      <c r="P343" s="17" t="str">
        <f t="shared" si="17"/>
        <v>HP 100 CLR-48mm x 100m-36 rls/cs-S (207142)</v>
      </c>
    </row>
    <row r="344" spans="1:16" x14ac:dyDescent="0.25">
      <c r="A344" s="60" t="s">
        <v>647</v>
      </c>
      <c r="B344" s="60" t="s">
        <v>648</v>
      </c>
      <c r="C344" s="60" t="s">
        <v>238</v>
      </c>
      <c r="D344" s="60" t="s">
        <v>110</v>
      </c>
      <c r="E344" s="60" t="s">
        <v>1034</v>
      </c>
      <c r="F344" s="60" t="s">
        <v>1035</v>
      </c>
      <c r="G344" s="60" t="s">
        <v>19</v>
      </c>
      <c r="H344" s="60" t="s">
        <v>242</v>
      </c>
      <c r="I344" s="60" t="s">
        <v>102</v>
      </c>
      <c r="J344" s="61">
        <v>33444.559999999998</v>
      </c>
      <c r="K344" s="61">
        <v>44264.88</v>
      </c>
      <c r="L344" s="65">
        <v>148795.20000000001</v>
      </c>
      <c r="M344" s="64">
        <v>185994</v>
      </c>
      <c r="N344" s="17" t="str">
        <f t="shared" si="18"/>
        <v>6517 ASSOCIATED PKG/TN GALLATIN</v>
      </c>
      <c r="O344" s="17" t="str">
        <f t="shared" si="19"/>
        <v>714320 GAP INC SOUTHERN DC</v>
      </c>
      <c r="P344" s="17" t="str">
        <f t="shared" si="17"/>
        <v>HP 100 CLR-72mm x 100m-24 rls/cs-S (207194)</v>
      </c>
    </row>
    <row r="345" spans="1:16" x14ac:dyDescent="0.25">
      <c r="A345" s="60" t="s">
        <v>647</v>
      </c>
      <c r="B345" s="60" t="s">
        <v>648</v>
      </c>
      <c r="C345" s="60" t="s">
        <v>238</v>
      </c>
      <c r="D345" s="60" t="s">
        <v>110</v>
      </c>
      <c r="E345" s="60" t="s">
        <v>1034</v>
      </c>
      <c r="F345" s="60" t="s">
        <v>1035</v>
      </c>
      <c r="G345" s="60" t="s">
        <v>18</v>
      </c>
      <c r="H345" s="60" t="s">
        <v>214</v>
      </c>
      <c r="I345" s="60" t="s">
        <v>158</v>
      </c>
      <c r="J345" s="61">
        <v>7401.72</v>
      </c>
      <c r="K345" s="61">
        <v>3885.24</v>
      </c>
      <c r="L345" s="65">
        <v>30222.720000000001</v>
      </c>
      <c r="M345" s="64">
        <v>15111.36</v>
      </c>
      <c r="N345" s="17" t="str">
        <f t="shared" si="18"/>
        <v>6517 ASSOCIATED PKG/TN GALLATIN</v>
      </c>
      <c r="O345" s="17" t="str">
        <f t="shared" si="19"/>
        <v>714320 GAP INC SOUTHERN DC</v>
      </c>
      <c r="P345" s="17" t="str">
        <f t="shared" si="17"/>
        <v>HP 200 CLR-72mm x 914m-4 rls/cs-S (208496)</v>
      </c>
    </row>
    <row r="346" spans="1:16" x14ac:dyDescent="0.25">
      <c r="A346" s="60" t="s">
        <v>647</v>
      </c>
      <c r="B346" s="60" t="s">
        <v>648</v>
      </c>
      <c r="C346" s="60" t="s">
        <v>238</v>
      </c>
      <c r="D346" s="60" t="s">
        <v>110</v>
      </c>
      <c r="E346" s="60" t="s">
        <v>1036</v>
      </c>
      <c r="F346" s="60" t="s">
        <v>1037</v>
      </c>
      <c r="G346" s="60" t="s">
        <v>56</v>
      </c>
      <c r="H346" s="60" t="s">
        <v>239</v>
      </c>
      <c r="I346" s="60" t="s">
        <v>57</v>
      </c>
      <c r="J346" s="61">
        <v>5153.54</v>
      </c>
      <c r="K346" s="61"/>
      <c r="L346" s="62">
        <v>24796.799999999999</v>
      </c>
      <c r="M346" s="63"/>
      <c r="N346" s="17" t="str">
        <f t="shared" si="18"/>
        <v>6517 ASSOCIATED PKG/TN GALLATIN</v>
      </c>
      <c r="O346" s="17" t="str">
        <f t="shared" si="19"/>
        <v>714654 GAP INC</v>
      </c>
      <c r="P346" s="17" t="str">
        <f t="shared" si="17"/>
        <v>AP 101 CLR-48mm x 100m-36 rls/cs-S (230982)</v>
      </c>
    </row>
    <row r="347" spans="1:16" x14ac:dyDescent="0.25">
      <c r="A347" s="60" t="s">
        <v>647</v>
      </c>
      <c r="B347" s="60" t="s">
        <v>648</v>
      </c>
      <c r="C347" s="60" t="s">
        <v>238</v>
      </c>
      <c r="D347" s="60" t="s">
        <v>110</v>
      </c>
      <c r="E347" s="60" t="s">
        <v>775</v>
      </c>
      <c r="F347" s="60" t="s">
        <v>776</v>
      </c>
      <c r="G347" s="60" t="s">
        <v>19</v>
      </c>
      <c r="H347" s="60" t="s">
        <v>233</v>
      </c>
      <c r="I347" s="60" t="s">
        <v>49</v>
      </c>
      <c r="J347" s="61"/>
      <c r="K347" s="61">
        <v>3100.68</v>
      </c>
      <c r="L347" s="65"/>
      <c r="M347" s="64">
        <v>12399.6</v>
      </c>
      <c r="N347" s="17" t="str">
        <f t="shared" si="18"/>
        <v>6517 ASSOCIATED PKG/TN GALLATIN</v>
      </c>
      <c r="O347" s="17" t="str">
        <f t="shared" si="19"/>
        <v>716952 HYDRO DESIGN USA</v>
      </c>
      <c r="P347" s="17" t="str">
        <f t="shared" si="17"/>
        <v>HP 100 CLR-48mm x 100m-36 rls/cs-S (207142)</v>
      </c>
    </row>
    <row r="348" spans="1:16" x14ac:dyDescent="0.25">
      <c r="A348" s="60" t="s">
        <v>647</v>
      </c>
      <c r="B348" s="60" t="s">
        <v>648</v>
      </c>
      <c r="C348" s="60" t="s">
        <v>238</v>
      </c>
      <c r="D348" s="60" t="s">
        <v>110</v>
      </c>
      <c r="E348" s="60" t="s">
        <v>1683</v>
      </c>
      <c r="F348" s="60" t="s">
        <v>1684</v>
      </c>
      <c r="G348" s="60" t="s">
        <v>1431</v>
      </c>
      <c r="H348" s="60" t="s">
        <v>1432</v>
      </c>
      <c r="I348" s="60" t="s">
        <v>1685</v>
      </c>
      <c r="J348" s="61"/>
      <c r="K348" s="61">
        <v>3934.66</v>
      </c>
      <c r="L348" s="65"/>
      <c r="M348" s="64">
        <v>19013.088</v>
      </c>
      <c r="N348" s="17" t="str">
        <f t="shared" si="18"/>
        <v>6517 ASSOCIATED PKG/TN GALLATIN</v>
      </c>
      <c r="O348" s="17" t="str">
        <f t="shared" si="19"/>
        <v>717435 MITCHELL PRINTING/TNT</v>
      </c>
      <c r="P348" s="17" t="str">
        <f t="shared" si="17"/>
        <v>HM 016 CLR-72mm x 100m-24 rls/cs-S (104618)</v>
      </c>
    </row>
    <row r="349" spans="1:16" x14ac:dyDescent="0.25">
      <c r="A349" s="60" t="s">
        <v>647</v>
      </c>
      <c r="B349" s="60" t="s">
        <v>648</v>
      </c>
      <c r="C349" s="60" t="s">
        <v>238</v>
      </c>
      <c r="D349" s="60" t="s">
        <v>110</v>
      </c>
      <c r="E349" s="60" t="s">
        <v>254</v>
      </c>
      <c r="F349" s="60" t="s">
        <v>166</v>
      </c>
      <c r="G349" s="60" t="s">
        <v>56</v>
      </c>
      <c r="H349" s="60" t="s">
        <v>239</v>
      </c>
      <c r="I349" s="60" t="s">
        <v>57</v>
      </c>
      <c r="J349" s="61"/>
      <c r="K349" s="61">
        <v>1083.46</v>
      </c>
      <c r="L349" s="62"/>
      <c r="M349" s="64">
        <v>4132.8</v>
      </c>
      <c r="N349" s="17" t="str">
        <f t="shared" si="18"/>
        <v>6517 ASSOCIATED PKG/TN GALLATIN</v>
      </c>
      <c r="O349" s="17" t="str">
        <f t="shared" si="19"/>
        <v>717594 ASSOCIATED PKG FOR JM SMUCKERS</v>
      </c>
      <c r="P349" s="17" t="str">
        <f t="shared" si="17"/>
        <v>AP 101 CLR-48mm x 100m-36 rls/cs-S (230982)</v>
      </c>
    </row>
    <row r="350" spans="1:16" x14ac:dyDescent="0.25">
      <c r="A350" s="60" t="s">
        <v>647</v>
      </c>
      <c r="B350" s="60" t="s">
        <v>648</v>
      </c>
      <c r="C350" s="60" t="s">
        <v>238</v>
      </c>
      <c r="D350" s="60" t="s">
        <v>110</v>
      </c>
      <c r="E350" s="60" t="s">
        <v>254</v>
      </c>
      <c r="F350" s="60" t="s">
        <v>166</v>
      </c>
      <c r="G350" s="60" t="s">
        <v>23</v>
      </c>
      <c r="H350" s="60" t="s">
        <v>693</v>
      </c>
      <c r="I350" s="60" t="s">
        <v>694</v>
      </c>
      <c r="J350" s="61"/>
      <c r="K350" s="61">
        <v>367.8</v>
      </c>
      <c r="L350" s="62"/>
      <c r="M350" s="63">
        <v>511.47</v>
      </c>
      <c r="N350" s="17" t="str">
        <f t="shared" si="18"/>
        <v>6517 ASSOCIATED PKG/TN GALLATIN</v>
      </c>
      <c r="O350" s="17" t="str">
        <f t="shared" si="19"/>
        <v>717594 ASSOCIATED PKG FOR JM SMUCKERS</v>
      </c>
      <c r="P350" s="17" t="str">
        <f t="shared" si="17"/>
        <v>CP 105 NAT-18mm x 55m-48 rls/cs-S (206932)</v>
      </c>
    </row>
    <row r="351" spans="1:16" x14ac:dyDescent="0.25">
      <c r="A351" s="60" t="s">
        <v>647</v>
      </c>
      <c r="B351" s="60" t="s">
        <v>648</v>
      </c>
      <c r="C351" s="60" t="s">
        <v>238</v>
      </c>
      <c r="D351" s="60" t="s">
        <v>110</v>
      </c>
      <c r="E351" s="60" t="s">
        <v>254</v>
      </c>
      <c r="F351" s="60" t="s">
        <v>166</v>
      </c>
      <c r="G351" s="60" t="s">
        <v>59</v>
      </c>
      <c r="H351" s="60" t="s">
        <v>223</v>
      </c>
      <c r="I351" s="60" t="s">
        <v>600</v>
      </c>
      <c r="J351" s="61">
        <v>566.44000000000005</v>
      </c>
      <c r="K351" s="61"/>
      <c r="L351" s="62">
        <v>606.24</v>
      </c>
      <c r="M351" s="64"/>
      <c r="N351" s="17" t="str">
        <f t="shared" si="18"/>
        <v>6517 ASSOCIATED PKG/TN GALLATIN</v>
      </c>
      <c r="O351" s="17" t="str">
        <f t="shared" si="19"/>
        <v>717594 ASSOCIATED PKG FOR JM SMUCKERS</v>
      </c>
      <c r="P351" s="17" t="str">
        <f t="shared" si="17"/>
        <v>GS 490 CLR-48mm x 55m-24 rls/cs-H/A (101230)</v>
      </c>
    </row>
    <row r="352" spans="1:16" x14ac:dyDescent="0.25">
      <c r="A352" s="60" t="s">
        <v>647</v>
      </c>
      <c r="B352" s="60" t="s">
        <v>648</v>
      </c>
      <c r="C352" s="60" t="s">
        <v>238</v>
      </c>
      <c r="D352" s="60" t="s">
        <v>110</v>
      </c>
      <c r="E352" s="60" t="s">
        <v>254</v>
      </c>
      <c r="F352" s="60" t="s">
        <v>166</v>
      </c>
      <c r="G352" s="60" t="s">
        <v>19</v>
      </c>
      <c r="H352" s="60" t="s">
        <v>243</v>
      </c>
      <c r="I352" s="60" t="s">
        <v>87</v>
      </c>
      <c r="J352" s="61"/>
      <c r="K352" s="61">
        <v>1634.69</v>
      </c>
      <c r="L352" s="65"/>
      <c r="M352" s="64">
        <v>6296.4</v>
      </c>
      <c r="N352" s="17" t="str">
        <f t="shared" si="18"/>
        <v>6517 ASSOCIATED PKG/TN GALLATIN</v>
      </c>
      <c r="O352" s="17" t="str">
        <f t="shared" si="19"/>
        <v>717594 ASSOCIATED PKG FOR JM SMUCKERS</v>
      </c>
      <c r="P352" s="17" t="str">
        <f t="shared" si="17"/>
        <v>HP 100 CLR-48mm x 914m-6 rls/cs-S (208453)</v>
      </c>
    </row>
    <row r="353" spans="1:16" x14ac:dyDescent="0.25">
      <c r="A353" s="60" t="s">
        <v>647</v>
      </c>
      <c r="B353" s="60" t="s">
        <v>648</v>
      </c>
      <c r="C353" s="60" t="s">
        <v>238</v>
      </c>
      <c r="D353" s="60" t="s">
        <v>110</v>
      </c>
      <c r="E353" s="60" t="s">
        <v>254</v>
      </c>
      <c r="F353" s="60" t="s">
        <v>166</v>
      </c>
      <c r="G353" s="60" t="s">
        <v>18</v>
      </c>
      <c r="H353" s="60" t="s">
        <v>219</v>
      </c>
      <c r="I353" s="60" t="s">
        <v>60</v>
      </c>
      <c r="J353" s="61"/>
      <c r="K353" s="61">
        <v>475.2</v>
      </c>
      <c r="L353" s="62"/>
      <c r="M353" s="63">
        <v>1653.28</v>
      </c>
      <c r="N353" s="17" t="str">
        <f t="shared" si="18"/>
        <v>6517 ASSOCIATED PKG/TN GALLATIN</v>
      </c>
      <c r="O353" s="17" t="str">
        <f t="shared" si="19"/>
        <v>717594 ASSOCIATED PKG FOR JM SMUCKERS</v>
      </c>
      <c r="P353" s="17" t="str">
        <f t="shared" si="17"/>
        <v>HP 200 CLR-72mm x 100m-24 rls/cs-S (207233)</v>
      </c>
    </row>
    <row r="354" spans="1:16" x14ac:dyDescent="0.25">
      <c r="A354" s="60" t="s">
        <v>647</v>
      </c>
      <c r="B354" s="60" t="s">
        <v>648</v>
      </c>
      <c r="C354" s="60" t="s">
        <v>238</v>
      </c>
      <c r="D354" s="60" t="s">
        <v>110</v>
      </c>
      <c r="E354" s="60" t="s">
        <v>254</v>
      </c>
      <c r="F354" s="60" t="s">
        <v>166</v>
      </c>
      <c r="G354" s="60" t="s">
        <v>18</v>
      </c>
      <c r="H354" s="60" t="s">
        <v>212</v>
      </c>
      <c r="I354" s="60" t="s">
        <v>86</v>
      </c>
      <c r="J354" s="61">
        <v>4476.38</v>
      </c>
      <c r="K354" s="61">
        <v>32911.410000000003</v>
      </c>
      <c r="L354" s="62">
        <v>15111.36</v>
      </c>
      <c r="M354" s="63">
        <v>105779.52</v>
      </c>
      <c r="N354" s="17" t="str">
        <f t="shared" si="18"/>
        <v>6517 ASSOCIATED PKG/TN GALLATIN</v>
      </c>
      <c r="O354" s="17" t="str">
        <f t="shared" si="19"/>
        <v>717594 ASSOCIATED PKG FOR JM SMUCKERS</v>
      </c>
      <c r="P354" s="17" t="str">
        <f t="shared" si="17"/>
        <v>HP 200 CLR-48mm x 914m-6 rls/cs-S (208492)</v>
      </c>
    </row>
    <row r="355" spans="1:16" x14ac:dyDescent="0.25">
      <c r="A355" s="60" t="s">
        <v>647</v>
      </c>
      <c r="B355" s="60" t="s">
        <v>648</v>
      </c>
      <c r="C355" s="60" t="s">
        <v>238</v>
      </c>
      <c r="D355" s="60" t="s">
        <v>110</v>
      </c>
      <c r="E355" s="60" t="s">
        <v>1409</v>
      </c>
      <c r="F355" s="60" t="s">
        <v>1410</v>
      </c>
      <c r="G355" s="60" t="s">
        <v>19</v>
      </c>
      <c r="H355" s="60" t="s">
        <v>242</v>
      </c>
      <c r="I355" s="60" t="s">
        <v>102</v>
      </c>
      <c r="J355" s="61">
        <v>28084.32</v>
      </c>
      <c r="K355" s="61"/>
      <c r="L355" s="62">
        <v>123996</v>
      </c>
      <c r="M355" s="64"/>
      <c r="N355" s="17" t="str">
        <f t="shared" si="18"/>
        <v>6517 ASSOCIATED PKG/TN GALLATIN</v>
      </c>
      <c r="O355" s="17" t="str">
        <f t="shared" si="19"/>
        <v>717735 GAP-OLD NAVY</v>
      </c>
      <c r="P355" s="17" t="str">
        <f t="shared" si="17"/>
        <v>HP 100 CLR-72mm x 100m-24 rls/cs-S (207194)</v>
      </c>
    </row>
    <row r="356" spans="1:16" x14ac:dyDescent="0.25">
      <c r="A356" s="60" t="s">
        <v>647</v>
      </c>
      <c r="B356" s="60" t="s">
        <v>648</v>
      </c>
      <c r="C356" s="60" t="s">
        <v>238</v>
      </c>
      <c r="D356" s="60" t="s">
        <v>110</v>
      </c>
      <c r="E356" s="60" t="s">
        <v>1409</v>
      </c>
      <c r="F356" s="60" t="s">
        <v>1410</v>
      </c>
      <c r="G356" s="60" t="s">
        <v>18</v>
      </c>
      <c r="H356" s="60" t="s">
        <v>214</v>
      </c>
      <c r="I356" s="60" t="s">
        <v>158</v>
      </c>
      <c r="J356" s="61">
        <v>3700.86</v>
      </c>
      <c r="K356" s="61"/>
      <c r="L356" s="65">
        <v>15111.36</v>
      </c>
      <c r="M356" s="64"/>
      <c r="N356" s="17" t="str">
        <f t="shared" si="18"/>
        <v>6517 ASSOCIATED PKG/TN GALLATIN</v>
      </c>
      <c r="O356" s="17" t="str">
        <f t="shared" si="19"/>
        <v>717735 GAP-OLD NAVY</v>
      </c>
      <c r="P356" s="17" t="str">
        <f t="shared" si="17"/>
        <v>HP 200 CLR-72mm x 914m-4 rls/cs-S (208496)</v>
      </c>
    </row>
    <row r="357" spans="1:16" x14ac:dyDescent="0.25">
      <c r="A357" s="60" t="s">
        <v>647</v>
      </c>
      <c r="B357" s="60" t="s">
        <v>648</v>
      </c>
      <c r="C357" s="60" t="s">
        <v>238</v>
      </c>
      <c r="D357" s="60" t="s">
        <v>110</v>
      </c>
      <c r="E357" s="60" t="s">
        <v>410</v>
      </c>
      <c r="F357" s="60" t="s">
        <v>411</v>
      </c>
      <c r="G357" s="60" t="s">
        <v>344</v>
      </c>
      <c r="H357" s="60" t="s">
        <v>345</v>
      </c>
      <c r="I357" s="60" t="s">
        <v>389</v>
      </c>
      <c r="J357" s="61">
        <v>74.13</v>
      </c>
      <c r="K357" s="61"/>
      <c r="L357" s="65">
        <v>0</v>
      </c>
      <c r="M357" s="64"/>
      <c r="N357" s="17" t="str">
        <f t="shared" si="18"/>
        <v>6517 ASSOCIATED PKG/TN GALLATIN</v>
      </c>
      <c r="O357" s="17" t="str">
        <f t="shared" si="19"/>
        <v>718292 CDH BUSINESS PRODUCTS LLC</v>
      </c>
      <c r="P357" s="17" t="str">
        <f t="shared" si="17"/>
        <v>SD 932  PISTOL GRIP TAPE DISP. ECONOMY-S (900617)</v>
      </c>
    </row>
    <row r="358" spans="1:16" x14ac:dyDescent="0.25">
      <c r="A358" s="60" t="s">
        <v>647</v>
      </c>
      <c r="B358" s="60" t="s">
        <v>648</v>
      </c>
      <c r="C358" s="60" t="s">
        <v>238</v>
      </c>
      <c r="D358" s="60" t="s">
        <v>110</v>
      </c>
      <c r="E358" s="60" t="s">
        <v>1038</v>
      </c>
      <c r="F358" s="60" t="s">
        <v>1039</v>
      </c>
      <c r="G358" s="60" t="s">
        <v>19</v>
      </c>
      <c r="H358" s="60" t="s">
        <v>242</v>
      </c>
      <c r="I358" s="60" t="s">
        <v>102</v>
      </c>
      <c r="J358" s="61">
        <v>2808.43</v>
      </c>
      <c r="K358" s="61">
        <v>2950.99</v>
      </c>
      <c r="L358" s="65">
        <v>12399.6</v>
      </c>
      <c r="M358" s="64">
        <v>12399.6</v>
      </c>
      <c r="N358" s="17" t="str">
        <f t="shared" si="18"/>
        <v>6517 ASSOCIATED PKG/TN GALLATIN</v>
      </c>
      <c r="O358" s="17" t="str">
        <f t="shared" si="19"/>
        <v>718535 GAP INC SOUTHERN CROSS DOCK</v>
      </c>
      <c r="P358" s="17" t="str">
        <f t="shared" si="17"/>
        <v>HP 100 CLR-72mm x 100m-24 rls/cs-S (207194)</v>
      </c>
    </row>
    <row r="359" spans="1:16" x14ac:dyDescent="0.25">
      <c r="A359" s="60" t="s">
        <v>647</v>
      </c>
      <c r="B359" s="60" t="s">
        <v>648</v>
      </c>
      <c r="C359" s="60" t="s">
        <v>238</v>
      </c>
      <c r="D359" s="60" t="s">
        <v>110</v>
      </c>
      <c r="E359" s="60" t="s">
        <v>777</v>
      </c>
      <c r="F359" s="60" t="s">
        <v>778</v>
      </c>
      <c r="G359" s="60" t="s">
        <v>62</v>
      </c>
      <c r="H359" s="60" t="s">
        <v>245</v>
      </c>
      <c r="I359" s="60" t="s">
        <v>118</v>
      </c>
      <c r="J359" s="61"/>
      <c r="K359" s="61">
        <v>3072.17</v>
      </c>
      <c r="L359" s="65"/>
      <c r="M359" s="64">
        <v>6200.1</v>
      </c>
      <c r="N359" s="17" t="str">
        <f t="shared" si="18"/>
        <v>6517 ASSOCIATED PKG/TN GALLATIN</v>
      </c>
      <c r="O359" s="17" t="str">
        <f t="shared" si="19"/>
        <v>718553 CONSTRUCTION VENTURES CORP</v>
      </c>
      <c r="P359" s="17" t="str">
        <f t="shared" si="17"/>
        <v>HP 300 CLR-72mm x 100m-24 RLS/CS-H (207870)</v>
      </c>
    </row>
    <row r="360" spans="1:16" x14ac:dyDescent="0.25">
      <c r="A360" s="60" t="s">
        <v>647</v>
      </c>
      <c r="B360" s="60" t="s">
        <v>648</v>
      </c>
      <c r="C360" s="60" t="s">
        <v>238</v>
      </c>
      <c r="D360" s="60" t="s">
        <v>110</v>
      </c>
      <c r="E360" s="60" t="s">
        <v>777</v>
      </c>
      <c r="F360" s="60" t="s">
        <v>778</v>
      </c>
      <c r="G360" s="60" t="s">
        <v>62</v>
      </c>
      <c r="H360" s="60" t="s">
        <v>255</v>
      </c>
      <c r="I360" s="60" t="s">
        <v>81</v>
      </c>
      <c r="J360" s="61"/>
      <c r="K360" s="61">
        <v>1834.75</v>
      </c>
      <c r="L360" s="62"/>
      <c r="M360" s="64">
        <v>3720.06</v>
      </c>
      <c r="N360" s="17" t="str">
        <f t="shared" si="18"/>
        <v>6517 ASSOCIATED PKG/TN GALLATIN</v>
      </c>
      <c r="O360" s="17" t="str">
        <f t="shared" si="19"/>
        <v>718553 CONSTRUCTION VENTURES CORP</v>
      </c>
      <c r="P360" s="17" t="str">
        <f t="shared" si="17"/>
        <v>HP 300 CLR-48mm x 100m-36 rls/cs-H/A (207871)</v>
      </c>
    </row>
    <row r="361" spans="1:16" x14ac:dyDescent="0.25">
      <c r="A361" s="60" t="s">
        <v>647</v>
      </c>
      <c r="B361" s="60" t="s">
        <v>648</v>
      </c>
      <c r="C361" s="60" t="s">
        <v>238</v>
      </c>
      <c r="D361" s="60" t="s">
        <v>110</v>
      </c>
      <c r="E361" s="60" t="s">
        <v>1040</v>
      </c>
      <c r="F361" s="60" t="s">
        <v>1041</v>
      </c>
      <c r="G361" s="60" t="s">
        <v>38</v>
      </c>
      <c r="H361" s="60" t="s">
        <v>1042</v>
      </c>
      <c r="I361" s="60" t="s">
        <v>1043</v>
      </c>
      <c r="J361" s="61">
        <v>182.48</v>
      </c>
      <c r="K361" s="61"/>
      <c r="L361" s="62">
        <v>113.664</v>
      </c>
      <c r="M361" s="63"/>
      <c r="N361" s="17" t="str">
        <f t="shared" si="18"/>
        <v>6517 ASSOCIATED PKG/TN GALLATIN</v>
      </c>
      <c r="O361" s="17" t="str">
        <f t="shared" si="19"/>
        <v>719171 LATHAM POOL PRODUCTS</v>
      </c>
      <c r="P361" s="17" t="str">
        <f t="shared" si="17"/>
        <v>CP 631 BLK-18mm x 55m-48 rls/cs-H (171918)</v>
      </c>
    </row>
    <row r="362" spans="1:16" x14ac:dyDescent="0.25">
      <c r="A362" s="60" t="s">
        <v>647</v>
      </c>
      <c r="B362" s="60" t="s">
        <v>648</v>
      </c>
      <c r="C362" s="60" t="s">
        <v>238</v>
      </c>
      <c r="D362" s="60" t="s">
        <v>110</v>
      </c>
      <c r="E362" s="60" t="s">
        <v>471</v>
      </c>
      <c r="F362" s="60" t="s">
        <v>472</v>
      </c>
      <c r="G362" s="60" t="s">
        <v>59</v>
      </c>
      <c r="H362" s="60" t="s">
        <v>223</v>
      </c>
      <c r="I362" s="60" t="s">
        <v>600</v>
      </c>
      <c r="J362" s="61">
        <v>70.8</v>
      </c>
      <c r="K362" s="61">
        <v>240.93</v>
      </c>
      <c r="L362" s="62">
        <v>75.78</v>
      </c>
      <c r="M362" s="63">
        <v>227.34</v>
      </c>
      <c r="N362" s="17" t="str">
        <f t="shared" si="18"/>
        <v>6517 ASSOCIATED PKG/TN GALLATIN</v>
      </c>
      <c r="O362" s="17" t="str">
        <f t="shared" si="19"/>
        <v>720467 WORLD OUTDOOR RESOURCES</v>
      </c>
      <c r="P362" s="17" t="str">
        <f t="shared" si="17"/>
        <v>GS 490 CLR-48mm x 55m-24 rls/cs-H/A (101230)</v>
      </c>
    </row>
    <row r="363" spans="1:16" x14ac:dyDescent="0.25">
      <c r="A363" s="60" t="s">
        <v>647</v>
      </c>
      <c r="B363" s="60" t="s">
        <v>648</v>
      </c>
      <c r="C363" s="60" t="s">
        <v>238</v>
      </c>
      <c r="D363" s="60" t="s">
        <v>110</v>
      </c>
      <c r="E363" s="60" t="s">
        <v>471</v>
      </c>
      <c r="F363" s="60" t="s">
        <v>472</v>
      </c>
      <c r="G363" s="60" t="s">
        <v>18</v>
      </c>
      <c r="H363" s="60" t="s">
        <v>708</v>
      </c>
      <c r="I363" s="60" t="s">
        <v>709</v>
      </c>
      <c r="J363" s="61">
        <v>121.89</v>
      </c>
      <c r="K363" s="61"/>
      <c r="L363" s="62">
        <v>413.32</v>
      </c>
      <c r="M363" s="63"/>
      <c r="N363" s="17" t="str">
        <f t="shared" si="18"/>
        <v>6517 ASSOCIATED PKG/TN GALLATIN</v>
      </c>
      <c r="O363" s="17" t="str">
        <f t="shared" si="19"/>
        <v>720467 WORLD OUTDOOR RESOURCES</v>
      </c>
      <c r="P363" s="17" t="str">
        <f t="shared" si="17"/>
        <v>HP 200 TAN-48mm x 100m-36 rls/cs-H/A (207223)</v>
      </c>
    </row>
    <row r="364" spans="1:16" x14ac:dyDescent="0.25">
      <c r="A364" s="60" t="s">
        <v>647</v>
      </c>
      <c r="B364" s="60" t="s">
        <v>648</v>
      </c>
      <c r="C364" s="60" t="s">
        <v>238</v>
      </c>
      <c r="D364" s="60" t="s">
        <v>110</v>
      </c>
      <c r="E364" s="60" t="s">
        <v>256</v>
      </c>
      <c r="F364" s="60" t="s">
        <v>115</v>
      </c>
      <c r="G364" s="60" t="s">
        <v>19</v>
      </c>
      <c r="H364" s="60" t="s">
        <v>222</v>
      </c>
      <c r="I364" s="60" t="s">
        <v>104</v>
      </c>
      <c r="J364" s="61">
        <v>33458.47</v>
      </c>
      <c r="K364" s="61">
        <v>7801.6</v>
      </c>
      <c r="L364" s="62">
        <v>138628.098</v>
      </c>
      <c r="M364" s="63">
        <v>31376.73</v>
      </c>
      <c r="N364" s="17" t="str">
        <f t="shared" si="18"/>
        <v>6517 ASSOCIATED PKG/TN GALLATIN</v>
      </c>
      <c r="O364" s="17" t="str">
        <f t="shared" si="19"/>
        <v>722376 VALLEN DISTRIBUTION</v>
      </c>
      <c r="P364" s="17" t="str">
        <f t="shared" si="17"/>
        <v>HP 100 CLR-53mm x 1500m-6 rls/cs-S (195553)</v>
      </c>
    </row>
    <row r="365" spans="1:16" x14ac:dyDescent="0.25">
      <c r="A365" s="60" t="s">
        <v>647</v>
      </c>
      <c r="B365" s="60" t="s">
        <v>648</v>
      </c>
      <c r="C365" s="60" t="s">
        <v>238</v>
      </c>
      <c r="D365" s="60" t="s">
        <v>110</v>
      </c>
      <c r="E365" s="60" t="s">
        <v>779</v>
      </c>
      <c r="F365" s="60" t="s">
        <v>107</v>
      </c>
      <c r="G365" s="60" t="s">
        <v>19</v>
      </c>
      <c r="H365" s="60" t="s">
        <v>222</v>
      </c>
      <c r="I365" s="60" t="s">
        <v>104</v>
      </c>
      <c r="J365" s="61">
        <v>7364.64</v>
      </c>
      <c r="K365" s="61">
        <v>12524.62</v>
      </c>
      <c r="L365" s="62">
        <v>41074.991999999998</v>
      </c>
      <c r="M365" s="63">
        <v>61612.487999999998</v>
      </c>
      <c r="N365" s="17" t="str">
        <f t="shared" si="18"/>
        <v>6517 ASSOCIATED PKG/TN GALLATIN</v>
      </c>
      <c r="O365" s="17" t="str">
        <f t="shared" si="19"/>
        <v>728685 RICH PRODUCTS</v>
      </c>
      <c r="P365" s="17" t="str">
        <f t="shared" si="17"/>
        <v>HP 100 CLR-53mm x 1500m-6 rls/cs-S (195553)</v>
      </c>
    </row>
    <row r="366" spans="1:16" x14ac:dyDescent="0.25">
      <c r="A366" s="60" t="s">
        <v>647</v>
      </c>
      <c r="B366" s="60" t="s">
        <v>648</v>
      </c>
      <c r="C366" s="60" t="s">
        <v>238</v>
      </c>
      <c r="D366" s="60" t="s">
        <v>110</v>
      </c>
      <c r="E366" s="60" t="s">
        <v>340</v>
      </c>
      <c r="F366" s="60" t="s">
        <v>341</v>
      </c>
      <c r="G366" s="60" t="s">
        <v>18</v>
      </c>
      <c r="H366" s="60" t="s">
        <v>561</v>
      </c>
      <c r="I366" s="60" t="s">
        <v>562</v>
      </c>
      <c r="J366" s="61">
        <v>6864.26</v>
      </c>
      <c r="K366" s="61">
        <v>11072.64</v>
      </c>
      <c r="L366" s="62">
        <v>22667.040000000001</v>
      </c>
      <c r="M366" s="63">
        <v>34000.559999999998</v>
      </c>
      <c r="N366" s="17" t="str">
        <f t="shared" si="18"/>
        <v>6517 ASSOCIATED PKG/TN GALLATIN</v>
      </c>
      <c r="O366" s="17" t="str">
        <f t="shared" si="19"/>
        <v>729357 FAMOUS FOOTWEAR</v>
      </c>
      <c r="P366" s="17" t="str">
        <f t="shared" si="17"/>
        <v>HP 200 WHI-72mm x 914m-4 rls/cs-H (125905)</v>
      </c>
    </row>
    <row r="367" spans="1:16" x14ac:dyDescent="0.25">
      <c r="A367" s="60" t="s">
        <v>647</v>
      </c>
      <c r="B367" s="60" t="s">
        <v>648</v>
      </c>
      <c r="C367" s="60" t="s">
        <v>238</v>
      </c>
      <c r="D367" s="60" t="s">
        <v>110</v>
      </c>
      <c r="E367" s="60" t="s">
        <v>340</v>
      </c>
      <c r="F367" s="60" t="s">
        <v>341</v>
      </c>
      <c r="G367" s="60" t="s">
        <v>18</v>
      </c>
      <c r="H367" s="60" t="s">
        <v>215</v>
      </c>
      <c r="I367" s="60" t="s">
        <v>50</v>
      </c>
      <c r="J367" s="61">
        <v>4586.87</v>
      </c>
      <c r="K367" s="61">
        <v>6415.2</v>
      </c>
      <c r="L367" s="62">
        <v>18599.400000000001</v>
      </c>
      <c r="M367" s="63">
        <v>24799.200000000001</v>
      </c>
      <c r="N367" s="17" t="str">
        <f t="shared" si="18"/>
        <v>6517 ASSOCIATED PKG/TN GALLATIN</v>
      </c>
      <c r="O367" s="17" t="str">
        <f t="shared" si="19"/>
        <v>729357 FAMOUS FOOTWEAR</v>
      </c>
      <c r="P367" s="17" t="str">
        <f t="shared" si="17"/>
        <v>HP 200 CLR-48mm x 100m-36 rls/cs-S (207149)</v>
      </c>
    </row>
    <row r="368" spans="1:16" x14ac:dyDescent="0.25">
      <c r="A368" s="60" t="s">
        <v>647</v>
      </c>
      <c r="B368" s="60" t="s">
        <v>648</v>
      </c>
      <c r="C368" s="60" t="s">
        <v>238</v>
      </c>
      <c r="D368" s="60" t="s">
        <v>110</v>
      </c>
      <c r="E368" s="60" t="s">
        <v>340</v>
      </c>
      <c r="F368" s="60" t="s">
        <v>341</v>
      </c>
      <c r="G368" s="60" t="s">
        <v>18</v>
      </c>
      <c r="H368" s="60" t="s">
        <v>212</v>
      </c>
      <c r="I368" s="60" t="s">
        <v>86</v>
      </c>
      <c r="J368" s="61">
        <v>3137.03</v>
      </c>
      <c r="K368" s="61">
        <v>3293.14</v>
      </c>
      <c r="L368" s="65">
        <v>11333.52</v>
      </c>
      <c r="M368" s="64">
        <v>11333.52</v>
      </c>
      <c r="N368" s="17" t="str">
        <f t="shared" si="18"/>
        <v>6517 ASSOCIATED PKG/TN GALLATIN</v>
      </c>
      <c r="O368" s="17" t="str">
        <f t="shared" si="19"/>
        <v>729357 FAMOUS FOOTWEAR</v>
      </c>
      <c r="P368" s="17" t="str">
        <f t="shared" si="17"/>
        <v>HP 200 CLR-48mm x 914m-6 rls/cs-S (208492)</v>
      </c>
    </row>
    <row r="369" spans="1:16" x14ac:dyDescent="0.25">
      <c r="A369" s="60" t="s">
        <v>647</v>
      </c>
      <c r="B369" s="60" t="s">
        <v>648</v>
      </c>
      <c r="C369" s="60" t="s">
        <v>238</v>
      </c>
      <c r="D369" s="60" t="s">
        <v>110</v>
      </c>
      <c r="E369" s="60" t="s">
        <v>340</v>
      </c>
      <c r="F369" s="60" t="s">
        <v>341</v>
      </c>
      <c r="G369" s="60" t="s">
        <v>18</v>
      </c>
      <c r="H369" s="60" t="s">
        <v>1044</v>
      </c>
      <c r="I369" s="60" t="s">
        <v>1045</v>
      </c>
      <c r="J369" s="61">
        <v>7311.9</v>
      </c>
      <c r="K369" s="61">
        <v>-467.6</v>
      </c>
      <c r="L369" s="65">
        <v>28519.08</v>
      </c>
      <c r="M369" s="64">
        <v>-1653.28</v>
      </c>
      <c r="N369" s="17" t="str">
        <f t="shared" si="18"/>
        <v>6517 ASSOCIATED PKG/TN GALLATIN</v>
      </c>
      <c r="O369" s="17" t="str">
        <f t="shared" si="19"/>
        <v>729357 FAMOUS FOOTWEAR</v>
      </c>
      <c r="P369" s="17" t="str">
        <f t="shared" si="17"/>
        <v>HP 200 WHI-72mm x 100m-24 rls/cs-NS (208825)</v>
      </c>
    </row>
    <row r="370" spans="1:16" x14ac:dyDescent="0.25">
      <c r="A370" s="60" t="s">
        <v>647</v>
      </c>
      <c r="B370" s="60" t="s">
        <v>648</v>
      </c>
      <c r="C370" s="60" t="s">
        <v>238</v>
      </c>
      <c r="D370" s="60" t="s">
        <v>110</v>
      </c>
      <c r="E370" s="60" t="s">
        <v>856</v>
      </c>
      <c r="F370" s="60" t="s">
        <v>857</v>
      </c>
      <c r="G370" s="60" t="s">
        <v>550</v>
      </c>
      <c r="H370" s="60" t="s">
        <v>888</v>
      </c>
      <c r="I370" s="60" t="s">
        <v>552</v>
      </c>
      <c r="J370" s="61"/>
      <c r="K370" s="61">
        <v>684.29</v>
      </c>
      <c r="L370" s="62"/>
      <c r="M370" s="63">
        <v>757.68</v>
      </c>
      <c r="N370" s="17" t="str">
        <f t="shared" si="18"/>
        <v>6517 ASSOCIATED PKG/TN GALLATIN</v>
      </c>
      <c r="O370" s="17" t="str">
        <f t="shared" si="19"/>
        <v>729690 LPI INC</v>
      </c>
      <c r="P370" s="17" t="str">
        <f t="shared" si="17"/>
        <v>PC 006 SIL-48mm x 55m-24 rls/cs-H/A (105449)</v>
      </c>
    </row>
    <row r="371" spans="1:16" x14ac:dyDescent="0.25">
      <c r="A371" s="60" t="s">
        <v>647</v>
      </c>
      <c r="B371" s="60" t="s">
        <v>648</v>
      </c>
      <c r="C371" s="60" t="s">
        <v>238</v>
      </c>
      <c r="D371" s="60" t="s">
        <v>110</v>
      </c>
      <c r="E371" s="60" t="s">
        <v>889</v>
      </c>
      <c r="F371" s="60" t="s">
        <v>890</v>
      </c>
      <c r="G371" s="60" t="s">
        <v>19</v>
      </c>
      <c r="H371" s="60" t="s">
        <v>810</v>
      </c>
      <c r="I371" s="60" t="s">
        <v>811</v>
      </c>
      <c r="J371" s="61"/>
      <c r="K371" s="61">
        <v>4952.53</v>
      </c>
      <c r="L371" s="62"/>
      <c r="M371" s="63">
        <v>18599.975999999999</v>
      </c>
      <c r="N371" s="17" t="str">
        <f t="shared" si="18"/>
        <v>6517 ASSOCIATED PKG/TN GALLATIN</v>
      </c>
      <c r="O371" s="17" t="str">
        <f t="shared" si="19"/>
        <v>730690 KATZ AMERICAS</v>
      </c>
      <c r="P371" s="17" t="str">
        <f t="shared" si="17"/>
        <v>HP 100 CLR-48mm x 1500m-6 rls/cs-H/A (104314)</v>
      </c>
    </row>
    <row r="372" spans="1:16" x14ac:dyDescent="0.25">
      <c r="A372" s="60" t="s">
        <v>647</v>
      </c>
      <c r="B372" s="60" t="s">
        <v>648</v>
      </c>
      <c r="C372" s="60" t="s">
        <v>238</v>
      </c>
      <c r="D372" s="60" t="s">
        <v>110</v>
      </c>
      <c r="E372" s="60" t="s">
        <v>1046</v>
      </c>
      <c r="F372" s="60" t="s">
        <v>1047</v>
      </c>
      <c r="G372" s="60" t="s">
        <v>67</v>
      </c>
      <c r="H372" s="60" t="s">
        <v>253</v>
      </c>
      <c r="I372" s="60" t="s">
        <v>69</v>
      </c>
      <c r="J372" s="61"/>
      <c r="K372" s="61">
        <v>577.36</v>
      </c>
      <c r="L372" s="62"/>
      <c r="M372" s="63">
        <v>378.84</v>
      </c>
      <c r="N372" s="17" t="str">
        <f t="shared" si="18"/>
        <v>6517 ASSOCIATED PKG/TN GALLATIN</v>
      </c>
      <c r="O372" s="17" t="str">
        <f t="shared" si="19"/>
        <v>730762 ASSOCIATED PKG FOR FAMOUS FOOTWEAR</v>
      </c>
      <c r="P372" s="17" t="str">
        <f t="shared" si="17"/>
        <v>FP 115 BRN-48mm x 55m-24 rls/cs-H (104675)</v>
      </c>
    </row>
    <row r="373" spans="1:16" x14ac:dyDescent="0.25">
      <c r="A373" s="60" t="s">
        <v>647</v>
      </c>
      <c r="B373" s="60" t="s">
        <v>648</v>
      </c>
      <c r="C373" s="60" t="s">
        <v>238</v>
      </c>
      <c r="D373" s="60" t="s">
        <v>110</v>
      </c>
      <c r="E373" s="60" t="s">
        <v>1046</v>
      </c>
      <c r="F373" s="60" t="s">
        <v>1047</v>
      </c>
      <c r="G373" s="60" t="s">
        <v>59</v>
      </c>
      <c r="H373" s="60" t="s">
        <v>223</v>
      </c>
      <c r="I373" s="60" t="s">
        <v>600</v>
      </c>
      <c r="J373" s="61"/>
      <c r="K373" s="61">
        <v>321.24</v>
      </c>
      <c r="L373" s="62"/>
      <c r="M373" s="64">
        <v>303.12</v>
      </c>
      <c r="N373" s="17" t="str">
        <f t="shared" si="18"/>
        <v>6517 ASSOCIATED PKG/TN GALLATIN</v>
      </c>
      <c r="O373" s="17" t="str">
        <f t="shared" si="19"/>
        <v>730762 ASSOCIATED PKG FOR FAMOUS FOOTWEAR</v>
      </c>
      <c r="P373" s="17" t="str">
        <f t="shared" si="17"/>
        <v>GS 490 CLR-48mm x 55m-24 rls/cs-H/A (101230)</v>
      </c>
    </row>
    <row r="374" spans="1:16" x14ac:dyDescent="0.25">
      <c r="A374" s="60" t="s">
        <v>647</v>
      </c>
      <c r="B374" s="60" t="s">
        <v>648</v>
      </c>
      <c r="C374" s="60" t="s">
        <v>238</v>
      </c>
      <c r="D374" s="60" t="s">
        <v>110</v>
      </c>
      <c r="E374" s="60" t="s">
        <v>1046</v>
      </c>
      <c r="F374" s="60" t="s">
        <v>1047</v>
      </c>
      <c r="G374" s="60" t="s">
        <v>18</v>
      </c>
      <c r="H374" s="60" t="s">
        <v>1044</v>
      </c>
      <c r="I374" s="60" t="s">
        <v>1045</v>
      </c>
      <c r="J374" s="61">
        <v>6570.59</v>
      </c>
      <c r="K374" s="61">
        <v>3506.98</v>
      </c>
      <c r="L374" s="62">
        <v>25005.86</v>
      </c>
      <c r="M374" s="63">
        <v>12399.6</v>
      </c>
      <c r="N374" s="17" t="str">
        <f t="shared" si="18"/>
        <v>6517 ASSOCIATED PKG/TN GALLATIN</v>
      </c>
      <c r="O374" s="17" t="str">
        <f t="shared" si="19"/>
        <v>730762 ASSOCIATED PKG FOR FAMOUS FOOTWEAR</v>
      </c>
      <c r="P374" s="17" t="str">
        <f t="shared" si="17"/>
        <v>HP 200 WHI-72mm x 100m-24 rls/cs-NS (208825)</v>
      </c>
    </row>
    <row r="375" spans="1:16" x14ac:dyDescent="0.25">
      <c r="A375" s="60" t="s">
        <v>647</v>
      </c>
      <c r="B375" s="60" t="s">
        <v>648</v>
      </c>
      <c r="C375" s="60" t="s">
        <v>238</v>
      </c>
      <c r="D375" s="60" t="s">
        <v>110</v>
      </c>
      <c r="E375" s="60" t="s">
        <v>1048</v>
      </c>
      <c r="F375" s="60" t="s">
        <v>1049</v>
      </c>
      <c r="G375" s="60" t="s">
        <v>19</v>
      </c>
      <c r="H375" s="60" t="s">
        <v>222</v>
      </c>
      <c r="I375" s="60" t="s">
        <v>104</v>
      </c>
      <c r="J375" s="61">
        <v>3866.23</v>
      </c>
      <c r="K375" s="61">
        <v>8350.4599999999991</v>
      </c>
      <c r="L375" s="62">
        <v>20537.495999999999</v>
      </c>
      <c r="M375" s="63">
        <v>41074.991999999998</v>
      </c>
      <c r="N375" s="17" t="str">
        <f t="shared" si="18"/>
        <v>6517 ASSOCIATED PKG/TN GALLATIN</v>
      </c>
      <c r="O375" s="17" t="str">
        <f t="shared" si="19"/>
        <v>731394 RICH PRODUCTS PLANT 2</v>
      </c>
      <c r="P375" s="17" t="str">
        <f t="shared" si="17"/>
        <v>HP 100 CLR-53mm x 1500m-6 rls/cs-S (195553)</v>
      </c>
    </row>
    <row r="376" spans="1:16" x14ac:dyDescent="0.25">
      <c r="A376" s="60" t="s">
        <v>647</v>
      </c>
      <c r="B376" s="60" t="s">
        <v>648</v>
      </c>
      <c r="C376" s="60" t="s">
        <v>238</v>
      </c>
      <c r="D376" s="60" t="s">
        <v>110</v>
      </c>
      <c r="E376" s="60" t="s">
        <v>342</v>
      </c>
      <c r="F376" s="60" t="s">
        <v>343</v>
      </c>
      <c r="G376" s="60" t="s">
        <v>23</v>
      </c>
      <c r="H376" s="60" t="s">
        <v>462</v>
      </c>
      <c r="I376" s="60" t="s">
        <v>463</v>
      </c>
      <c r="J376" s="61">
        <v>1843.78</v>
      </c>
      <c r="K376" s="61"/>
      <c r="L376" s="62">
        <v>3031.2</v>
      </c>
      <c r="M376" s="63"/>
      <c r="N376" s="17" t="str">
        <f t="shared" si="18"/>
        <v>6517 ASSOCIATED PKG/TN GALLATIN</v>
      </c>
      <c r="O376" s="17" t="str">
        <f t="shared" si="19"/>
        <v>731626 ASSOCIATED PGK FOR RICH PRODUCTS</v>
      </c>
      <c r="P376" s="17" t="str">
        <f t="shared" si="17"/>
        <v>CP 105 NAT-48mm x 55m-24 rls/cs-S (120407)</v>
      </c>
    </row>
    <row r="377" spans="1:16" x14ac:dyDescent="0.25">
      <c r="A377" s="60" t="s">
        <v>647</v>
      </c>
      <c r="B377" s="60" t="s">
        <v>648</v>
      </c>
      <c r="C377" s="60" t="s">
        <v>238</v>
      </c>
      <c r="D377" s="60" t="s">
        <v>110</v>
      </c>
      <c r="E377" s="60" t="s">
        <v>342</v>
      </c>
      <c r="F377" s="60" t="s">
        <v>343</v>
      </c>
      <c r="G377" s="60" t="s">
        <v>19</v>
      </c>
      <c r="H377" s="60" t="s">
        <v>222</v>
      </c>
      <c r="I377" s="60" t="s">
        <v>104</v>
      </c>
      <c r="J377" s="61">
        <v>14729.29</v>
      </c>
      <c r="K377" s="61">
        <v>12524.61</v>
      </c>
      <c r="L377" s="62">
        <v>82149.983999999997</v>
      </c>
      <c r="M377" s="63">
        <v>61612.487999999998</v>
      </c>
      <c r="N377" s="17" t="str">
        <f t="shared" si="18"/>
        <v>6517 ASSOCIATED PKG/TN GALLATIN</v>
      </c>
      <c r="O377" s="17" t="str">
        <f t="shared" si="19"/>
        <v>731626 ASSOCIATED PGK FOR RICH PRODUCTS</v>
      </c>
      <c r="P377" s="17" t="str">
        <f t="shared" si="17"/>
        <v>HP 100 CLR-53mm x 1500m-6 rls/cs-S (195553)</v>
      </c>
    </row>
    <row r="378" spans="1:16" x14ac:dyDescent="0.25">
      <c r="A378" s="60" t="s">
        <v>647</v>
      </c>
      <c r="B378" s="60" t="s">
        <v>648</v>
      </c>
      <c r="C378" s="60" t="s">
        <v>238</v>
      </c>
      <c r="D378" s="60" t="s">
        <v>110</v>
      </c>
      <c r="E378" s="60" t="s">
        <v>342</v>
      </c>
      <c r="F378" s="60" t="s">
        <v>343</v>
      </c>
      <c r="G378" s="60" t="s">
        <v>19</v>
      </c>
      <c r="H378" s="60" t="s">
        <v>233</v>
      </c>
      <c r="I378" s="60" t="s">
        <v>49</v>
      </c>
      <c r="J378" s="61">
        <v>2950.99</v>
      </c>
      <c r="K378" s="61"/>
      <c r="L378" s="62">
        <v>12399.6</v>
      </c>
      <c r="M378" s="63"/>
      <c r="N378" s="17" t="str">
        <f t="shared" si="18"/>
        <v>6517 ASSOCIATED PKG/TN GALLATIN</v>
      </c>
      <c r="O378" s="17" t="str">
        <f t="shared" si="19"/>
        <v>731626 ASSOCIATED PGK FOR RICH PRODUCTS</v>
      </c>
      <c r="P378" s="17" t="str">
        <f t="shared" si="17"/>
        <v>HP 100 CLR-48mm x 100m-36 rls/cs-S (207142)</v>
      </c>
    </row>
    <row r="379" spans="1:16" x14ac:dyDescent="0.25">
      <c r="A379" s="60" t="s">
        <v>647</v>
      </c>
      <c r="B379" s="60" t="s">
        <v>648</v>
      </c>
      <c r="C379" s="60" t="s">
        <v>238</v>
      </c>
      <c r="D379" s="60" t="s">
        <v>110</v>
      </c>
      <c r="E379" s="60" t="s">
        <v>342</v>
      </c>
      <c r="F379" s="60" t="s">
        <v>343</v>
      </c>
      <c r="G379" s="60" t="s">
        <v>19</v>
      </c>
      <c r="H379" s="60" t="s">
        <v>242</v>
      </c>
      <c r="I379" s="60" t="s">
        <v>102</v>
      </c>
      <c r="J379" s="61">
        <v>2936.74</v>
      </c>
      <c r="K379" s="61">
        <v>536.98</v>
      </c>
      <c r="L379" s="62">
        <v>12399.6</v>
      </c>
      <c r="M379" s="63">
        <v>2066.6</v>
      </c>
      <c r="N379" s="17" t="str">
        <f t="shared" si="18"/>
        <v>6517 ASSOCIATED PKG/TN GALLATIN</v>
      </c>
      <c r="O379" s="17" t="str">
        <f t="shared" si="19"/>
        <v>731626 ASSOCIATED PGK FOR RICH PRODUCTS</v>
      </c>
      <c r="P379" s="17" t="str">
        <f t="shared" si="17"/>
        <v>HP 100 CLR-72mm x 100m-24 rls/cs-S (207194)</v>
      </c>
    </row>
    <row r="380" spans="1:16" x14ac:dyDescent="0.25">
      <c r="A380" s="60" t="s">
        <v>647</v>
      </c>
      <c r="B380" s="60" t="s">
        <v>648</v>
      </c>
      <c r="C380" s="60" t="s">
        <v>238</v>
      </c>
      <c r="D380" s="60" t="s">
        <v>110</v>
      </c>
      <c r="E380" s="60" t="s">
        <v>342</v>
      </c>
      <c r="F380" s="60" t="s">
        <v>343</v>
      </c>
      <c r="G380" s="60" t="s">
        <v>18</v>
      </c>
      <c r="H380" s="60" t="s">
        <v>219</v>
      </c>
      <c r="I380" s="60" t="s">
        <v>60</v>
      </c>
      <c r="J380" s="61">
        <v>809.03</v>
      </c>
      <c r="K380" s="61"/>
      <c r="L380" s="65">
        <v>3099.9</v>
      </c>
      <c r="M380" s="64"/>
      <c r="N380" s="17" t="str">
        <f t="shared" si="18"/>
        <v>6517 ASSOCIATED PKG/TN GALLATIN</v>
      </c>
      <c r="O380" s="17" t="str">
        <f t="shared" si="19"/>
        <v>731626 ASSOCIATED PGK FOR RICH PRODUCTS</v>
      </c>
      <c r="P380" s="17" t="str">
        <f t="shared" si="17"/>
        <v>HP 200 CLR-72mm x 100m-24 rls/cs-S (207233)</v>
      </c>
    </row>
    <row r="381" spans="1:16" x14ac:dyDescent="0.25">
      <c r="A381" s="60" t="s">
        <v>647</v>
      </c>
      <c r="B381" s="60" t="s">
        <v>648</v>
      </c>
      <c r="C381" s="60" t="s">
        <v>238</v>
      </c>
      <c r="D381" s="60" t="s">
        <v>110</v>
      </c>
      <c r="E381" s="60" t="s">
        <v>342</v>
      </c>
      <c r="F381" s="60" t="s">
        <v>343</v>
      </c>
      <c r="G381" s="60" t="s">
        <v>550</v>
      </c>
      <c r="H381" s="60" t="s">
        <v>551</v>
      </c>
      <c r="I381" s="60" t="s">
        <v>899</v>
      </c>
      <c r="J381" s="61">
        <v>1505.43</v>
      </c>
      <c r="K381" s="61"/>
      <c r="L381" s="65">
        <v>1667.16</v>
      </c>
      <c r="M381" s="64"/>
      <c r="N381" s="17" t="str">
        <f t="shared" si="18"/>
        <v>6517 ASSOCIATED PKG/TN GALLATIN</v>
      </c>
      <c r="O381" s="17" t="str">
        <f t="shared" si="19"/>
        <v>731626 ASSOCIATED PGK FOR RICH PRODUCTS</v>
      </c>
      <c r="P381" s="17" t="str">
        <f t="shared" si="17"/>
        <v>PC 006 SIL-48mm x 55m-24 rls/cs-X (120954)</v>
      </c>
    </row>
    <row r="382" spans="1:16" x14ac:dyDescent="0.25">
      <c r="A382" s="60" t="s">
        <v>647</v>
      </c>
      <c r="B382" s="60" t="s">
        <v>648</v>
      </c>
      <c r="C382" s="60" t="s">
        <v>238</v>
      </c>
      <c r="D382" s="60" t="s">
        <v>110</v>
      </c>
      <c r="E382" s="60" t="s">
        <v>1411</v>
      </c>
      <c r="F382" s="60" t="s">
        <v>1412</v>
      </c>
      <c r="G382" s="60" t="s">
        <v>23</v>
      </c>
      <c r="H382" s="60" t="s">
        <v>477</v>
      </c>
      <c r="I382" s="60" t="s">
        <v>478</v>
      </c>
      <c r="J382" s="61">
        <v>39.200000000000003</v>
      </c>
      <c r="K382" s="61"/>
      <c r="L382" s="65">
        <v>56.83</v>
      </c>
      <c r="M382" s="64"/>
      <c r="N382" s="17" t="str">
        <f t="shared" si="18"/>
        <v>6517 ASSOCIATED PKG/TN GALLATIN</v>
      </c>
      <c r="O382" s="17" t="str">
        <f t="shared" si="19"/>
        <v>733432 B2B GENERIC SHIP-TO DISTRIBUTOR POR</v>
      </c>
      <c r="P382" s="17" t="str">
        <f t="shared" si="17"/>
        <v>CP 105 NAT-24mm x 55m- 36 rls/cs-S (140431)</v>
      </c>
    </row>
    <row r="383" spans="1:16" x14ac:dyDescent="0.25">
      <c r="A383" s="60" t="s">
        <v>647</v>
      </c>
      <c r="B383" s="60" t="s">
        <v>648</v>
      </c>
      <c r="C383" s="60" t="s">
        <v>238</v>
      </c>
      <c r="D383" s="60" t="s">
        <v>110</v>
      </c>
      <c r="E383" s="60" t="s">
        <v>1050</v>
      </c>
      <c r="F383" s="60" t="s">
        <v>1051</v>
      </c>
      <c r="G383" s="60" t="s">
        <v>18</v>
      </c>
      <c r="H383" s="60" t="s">
        <v>257</v>
      </c>
      <c r="I383" s="60" t="s">
        <v>85</v>
      </c>
      <c r="J383" s="61">
        <v>4541.96</v>
      </c>
      <c r="K383" s="61">
        <v>4768.63</v>
      </c>
      <c r="L383" s="65">
        <v>18600.12</v>
      </c>
      <c r="M383" s="64">
        <v>18600.12</v>
      </c>
      <c r="N383" s="17" t="str">
        <f t="shared" si="18"/>
        <v>6517 ASSOCIATED PKG/TN GALLATIN</v>
      </c>
      <c r="O383" s="17" t="str">
        <f t="shared" si="19"/>
        <v>733468 CROWN LABORATORIES INC</v>
      </c>
      <c r="P383" s="17" t="str">
        <f t="shared" si="17"/>
        <v>HP 200 CLR-48mm x 1500m-6 rls/cs-H (101428)</v>
      </c>
    </row>
    <row r="384" spans="1:16" x14ac:dyDescent="0.25">
      <c r="A384" s="60" t="s">
        <v>647</v>
      </c>
      <c r="B384" s="60" t="s">
        <v>648</v>
      </c>
      <c r="C384" s="60" t="s">
        <v>238</v>
      </c>
      <c r="D384" s="60" t="s">
        <v>110</v>
      </c>
      <c r="E384" s="60" t="s">
        <v>258</v>
      </c>
      <c r="F384" s="60" t="s">
        <v>172</v>
      </c>
      <c r="G384" s="60" t="s">
        <v>649</v>
      </c>
      <c r="H384" s="60" t="s">
        <v>650</v>
      </c>
      <c r="I384" s="60" t="s">
        <v>858</v>
      </c>
      <c r="J384" s="61">
        <v>9560.43</v>
      </c>
      <c r="K384" s="61"/>
      <c r="L384" s="65">
        <v>16544.094000000001</v>
      </c>
      <c r="M384" s="64"/>
      <c r="N384" s="17" t="str">
        <f t="shared" si="18"/>
        <v>6517 ASSOCIATED PKG/TN GALLATIN</v>
      </c>
      <c r="O384" s="17" t="str">
        <f t="shared" si="19"/>
        <v>734583 CHEF MINUTE MEALS</v>
      </c>
      <c r="P384" s="17" t="str">
        <f t="shared" si="17"/>
        <v>HP 140 CK PULL EDGE 53mmX1500m-6r/cs-X (104985)</v>
      </c>
    </row>
    <row r="385" spans="1:16" x14ac:dyDescent="0.25">
      <c r="A385" s="60" t="s">
        <v>647</v>
      </c>
      <c r="B385" s="60" t="s">
        <v>648</v>
      </c>
      <c r="C385" s="60" t="s">
        <v>238</v>
      </c>
      <c r="D385" s="60" t="s">
        <v>110</v>
      </c>
      <c r="E385" s="60" t="s">
        <v>385</v>
      </c>
      <c r="F385" s="60" t="s">
        <v>386</v>
      </c>
      <c r="G385" s="60" t="s">
        <v>19</v>
      </c>
      <c r="H385" s="60" t="s">
        <v>222</v>
      </c>
      <c r="I385" s="60" t="s">
        <v>104</v>
      </c>
      <c r="J385" s="61">
        <v>3854.47</v>
      </c>
      <c r="K385" s="61"/>
      <c r="L385" s="65">
        <v>10268.748</v>
      </c>
      <c r="M385" s="64"/>
      <c r="N385" s="17" t="str">
        <f t="shared" si="18"/>
        <v>6517 ASSOCIATED PKG/TN GALLATIN</v>
      </c>
      <c r="O385" s="17" t="str">
        <f t="shared" si="19"/>
        <v>737854 ALADDIN TEMP-RITE</v>
      </c>
      <c r="P385" s="17" t="str">
        <f t="shared" si="17"/>
        <v>HP 100 CLR-53mm x 1500m-6 rls/cs-S (195553)</v>
      </c>
    </row>
    <row r="386" spans="1:16" x14ac:dyDescent="0.25">
      <c r="A386" s="60" t="s">
        <v>647</v>
      </c>
      <c r="B386" s="60" t="s">
        <v>648</v>
      </c>
      <c r="C386" s="60" t="s">
        <v>238</v>
      </c>
      <c r="D386" s="60" t="s">
        <v>110</v>
      </c>
      <c r="E386" s="60" t="s">
        <v>385</v>
      </c>
      <c r="F386" s="60" t="s">
        <v>386</v>
      </c>
      <c r="G386" s="60" t="s">
        <v>19</v>
      </c>
      <c r="H386" s="60" t="s">
        <v>244</v>
      </c>
      <c r="I386" s="60" t="s">
        <v>94</v>
      </c>
      <c r="J386" s="61"/>
      <c r="K386" s="61">
        <v>3308.82</v>
      </c>
      <c r="L386" s="62"/>
      <c r="M386" s="64">
        <v>13222.44</v>
      </c>
      <c r="N386" s="17" t="str">
        <f t="shared" si="18"/>
        <v>6517 ASSOCIATED PKG/TN GALLATIN</v>
      </c>
      <c r="O386" s="17" t="str">
        <f t="shared" si="19"/>
        <v>737854 ALADDIN TEMP-RITE</v>
      </c>
      <c r="P386" s="17" t="str">
        <f t="shared" si="17"/>
        <v>HP 100 CLR-72mm x 914m-4 rls/cs-S (208465)</v>
      </c>
    </row>
    <row r="387" spans="1:16" x14ac:dyDescent="0.25">
      <c r="A387" s="60" t="s">
        <v>647</v>
      </c>
      <c r="B387" s="60" t="s">
        <v>648</v>
      </c>
      <c r="C387" s="60" t="s">
        <v>238</v>
      </c>
      <c r="D387" s="60" t="s">
        <v>110</v>
      </c>
      <c r="E387" s="60" t="s">
        <v>387</v>
      </c>
      <c r="F387" s="60" t="s">
        <v>388</v>
      </c>
      <c r="G387" s="60" t="s">
        <v>61</v>
      </c>
      <c r="H387" s="60" t="s">
        <v>289</v>
      </c>
      <c r="I387" s="60" t="s">
        <v>154</v>
      </c>
      <c r="J387" s="61">
        <v>5260.46</v>
      </c>
      <c r="K387" s="61">
        <v>5659.64</v>
      </c>
      <c r="L387" s="65">
        <v>6197.91</v>
      </c>
      <c r="M387" s="64">
        <v>6197.91</v>
      </c>
      <c r="N387" s="17" t="str">
        <f t="shared" si="18"/>
        <v>6517 ASSOCIATED PKG/TN GALLATIN</v>
      </c>
      <c r="O387" s="17" t="str">
        <f t="shared" si="19"/>
        <v>740306 OVERMAN INTERNATIONAL</v>
      </c>
      <c r="P387" s="17" t="str">
        <f t="shared" si="17"/>
        <v>HP 500 CLR-72mm x 50m-24 rls/cs-H/A (207775)</v>
      </c>
    </row>
    <row r="388" spans="1:16" x14ac:dyDescent="0.25">
      <c r="A388" s="60" t="s">
        <v>647</v>
      </c>
      <c r="B388" s="60" t="s">
        <v>648</v>
      </c>
      <c r="C388" s="60" t="s">
        <v>238</v>
      </c>
      <c r="D388" s="60" t="s">
        <v>110</v>
      </c>
      <c r="E388" s="60" t="s">
        <v>387</v>
      </c>
      <c r="F388" s="60" t="s">
        <v>388</v>
      </c>
      <c r="G388" s="60" t="s">
        <v>61</v>
      </c>
      <c r="H388" s="60" t="s">
        <v>306</v>
      </c>
      <c r="I388" s="60" t="s">
        <v>160</v>
      </c>
      <c r="J388" s="61">
        <v>5303.24</v>
      </c>
      <c r="K388" s="61"/>
      <c r="L388" s="65">
        <v>11333.630999999999</v>
      </c>
      <c r="M388" s="64"/>
      <c r="N388" s="17" t="str">
        <f t="shared" si="18"/>
        <v>6517 ASSOCIATED PKG/TN GALLATIN</v>
      </c>
      <c r="O388" s="17" t="str">
        <f t="shared" si="19"/>
        <v>740306 OVERMAN INTERNATIONAL</v>
      </c>
      <c r="P388" s="17" t="str">
        <f t="shared" ref="P388:P451" si="20">I388&amp;" ("&amp;H388&amp;")"</f>
        <v>HP 500 CLR-72mm x 914m-4 rls/cs-S (208571)</v>
      </c>
    </row>
    <row r="389" spans="1:16" x14ac:dyDescent="0.25">
      <c r="A389" s="60" t="s">
        <v>647</v>
      </c>
      <c r="B389" s="60" t="s">
        <v>648</v>
      </c>
      <c r="C389" s="60" t="s">
        <v>238</v>
      </c>
      <c r="D389" s="60" t="s">
        <v>110</v>
      </c>
      <c r="E389" s="60" t="s">
        <v>1052</v>
      </c>
      <c r="F389" s="60" t="s">
        <v>1053</v>
      </c>
      <c r="G389" s="60" t="s">
        <v>1054</v>
      </c>
      <c r="H389" s="60" t="s">
        <v>1055</v>
      </c>
      <c r="I389" s="60" t="s">
        <v>1056</v>
      </c>
      <c r="J389" s="61">
        <v>615.98</v>
      </c>
      <c r="K389" s="61">
        <v>1545.39</v>
      </c>
      <c r="L389" s="65">
        <v>752.76</v>
      </c>
      <c r="M389" s="64">
        <v>1756.44</v>
      </c>
      <c r="N389" s="17" t="str">
        <f t="shared" si="18"/>
        <v>6517 ASSOCIATED PKG/TN GALLATIN</v>
      </c>
      <c r="O389" s="17" t="str">
        <f t="shared" si="19"/>
        <v>740351 UST INC</v>
      </c>
      <c r="P389" s="17" t="str">
        <f t="shared" si="20"/>
        <v>WP 300 NAT-76mmx138m(450ft)-10rls/cs-H/A (101727)</v>
      </c>
    </row>
    <row r="390" spans="1:16" x14ac:dyDescent="0.25">
      <c r="A390" s="60" t="s">
        <v>647</v>
      </c>
      <c r="B390" s="60" t="s">
        <v>648</v>
      </c>
      <c r="C390" s="60" t="s">
        <v>238</v>
      </c>
      <c r="D390" s="60" t="s">
        <v>110</v>
      </c>
      <c r="E390" s="60" t="s">
        <v>473</v>
      </c>
      <c r="F390" s="60" t="s">
        <v>474</v>
      </c>
      <c r="G390" s="60" t="s">
        <v>56</v>
      </c>
      <c r="H390" s="60" t="s">
        <v>239</v>
      </c>
      <c r="I390" s="60" t="s">
        <v>57</v>
      </c>
      <c r="J390" s="61"/>
      <c r="K390" s="61">
        <v>541.73</v>
      </c>
      <c r="L390" s="65"/>
      <c r="M390" s="64">
        <v>2066.4</v>
      </c>
      <c r="N390" s="17" t="str">
        <f t="shared" si="18"/>
        <v>6517 ASSOCIATED PKG/TN GALLATIN</v>
      </c>
      <c r="O390" s="17" t="str">
        <f t="shared" si="19"/>
        <v>740610 ASSOCIATED PKG FOR BERRY GLOBAL</v>
      </c>
      <c r="P390" s="17" t="str">
        <f t="shared" si="20"/>
        <v>AP 101 CLR-48mm x 100m-36 rls/cs-S (230982)</v>
      </c>
    </row>
    <row r="391" spans="1:16" x14ac:dyDescent="0.25">
      <c r="A391" s="60" t="s">
        <v>647</v>
      </c>
      <c r="B391" s="60" t="s">
        <v>648</v>
      </c>
      <c r="C391" s="60" t="s">
        <v>238</v>
      </c>
      <c r="D391" s="60" t="s">
        <v>110</v>
      </c>
      <c r="E391" s="60" t="s">
        <v>473</v>
      </c>
      <c r="F391" s="60" t="s">
        <v>474</v>
      </c>
      <c r="G391" s="60" t="s">
        <v>23</v>
      </c>
      <c r="H391" s="60" t="s">
        <v>477</v>
      </c>
      <c r="I391" s="60" t="s">
        <v>478</v>
      </c>
      <c r="J391" s="61"/>
      <c r="K391" s="61">
        <v>630.83000000000004</v>
      </c>
      <c r="L391" s="62"/>
      <c r="M391" s="63">
        <v>852.45</v>
      </c>
      <c r="N391" s="17" t="str">
        <f t="shared" si="18"/>
        <v>6517 ASSOCIATED PKG/TN GALLATIN</v>
      </c>
      <c r="O391" s="17" t="str">
        <f t="shared" si="19"/>
        <v>740610 ASSOCIATED PKG FOR BERRY GLOBAL</v>
      </c>
      <c r="P391" s="17" t="str">
        <f t="shared" si="20"/>
        <v>CP 105 NAT-24mm x 55m- 36 rls/cs-S (140431)</v>
      </c>
    </row>
    <row r="392" spans="1:16" x14ac:dyDescent="0.25">
      <c r="A392" s="60" t="s">
        <v>647</v>
      </c>
      <c r="B392" s="60" t="s">
        <v>648</v>
      </c>
      <c r="C392" s="60" t="s">
        <v>238</v>
      </c>
      <c r="D392" s="60" t="s">
        <v>110</v>
      </c>
      <c r="E392" s="60" t="s">
        <v>473</v>
      </c>
      <c r="F392" s="60" t="s">
        <v>474</v>
      </c>
      <c r="G392" s="60" t="s">
        <v>380</v>
      </c>
      <c r="H392" s="60" t="s">
        <v>381</v>
      </c>
      <c r="I392" s="60" t="s">
        <v>382</v>
      </c>
      <c r="J392" s="61"/>
      <c r="K392" s="61">
        <v>565.49</v>
      </c>
      <c r="L392" s="65"/>
      <c r="M392" s="64">
        <v>137.76</v>
      </c>
      <c r="N392" s="17" t="str">
        <f t="shared" si="18"/>
        <v>6517 ASSOCIATED PKG/TN GALLATIN</v>
      </c>
      <c r="O392" s="17" t="str">
        <f t="shared" si="19"/>
        <v>740610 ASSOCIATED PKG FOR BERRY GLOBAL</v>
      </c>
      <c r="P392" s="17" t="str">
        <f t="shared" si="20"/>
        <v>DP 401 GLA-48mm x 50m-24 rls/cs-H (104249)</v>
      </c>
    </row>
    <row r="393" spans="1:16" x14ac:dyDescent="0.25">
      <c r="A393" s="60" t="s">
        <v>647</v>
      </c>
      <c r="B393" s="60" t="s">
        <v>648</v>
      </c>
      <c r="C393" s="60" t="s">
        <v>238</v>
      </c>
      <c r="D393" s="60" t="s">
        <v>110</v>
      </c>
      <c r="E393" s="60" t="s">
        <v>473</v>
      </c>
      <c r="F393" s="60" t="s">
        <v>474</v>
      </c>
      <c r="G393" s="60" t="s">
        <v>67</v>
      </c>
      <c r="H393" s="60" t="s">
        <v>253</v>
      </c>
      <c r="I393" s="60" t="s">
        <v>69</v>
      </c>
      <c r="J393" s="61"/>
      <c r="K393" s="61">
        <v>1154.74</v>
      </c>
      <c r="L393" s="62"/>
      <c r="M393" s="64">
        <v>757.68</v>
      </c>
      <c r="N393" s="17" t="str">
        <f t="shared" ref="N393:N456" si="21">C393&amp;" "&amp;D393</f>
        <v>6517 ASSOCIATED PKG/TN GALLATIN</v>
      </c>
      <c r="O393" s="17" t="str">
        <f t="shared" ref="O393:O456" si="22">E393&amp;" "&amp;F393</f>
        <v>740610 ASSOCIATED PKG FOR BERRY GLOBAL</v>
      </c>
      <c r="P393" s="17" t="str">
        <f t="shared" si="20"/>
        <v>FP 115 BRN-48mm x 55m-24 rls/cs-H (104675)</v>
      </c>
    </row>
    <row r="394" spans="1:16" x14ac:dyDescent="0.25">
      <c r="A394" s="60" t="s">
        <v>647</v>
      </c>
      <c r="B394" s="60" t="s">
        <v>648</v>
      </c>
      <c r="C394" s="60" t="s">
        <v>238</v>
      </c>
      <c r="D394" s="60" t="s">
        <v>110</v>
      </c>
      <c r="E394" s="60" t="s">
        <v>473</v>
      </c>
      <c r="F394" s="60" t="s">
        <v>474</v>
      </c>
      <c r="G394" s="60" t="s">
        <v>59</v>
      </c>
      <c r="H394" s="60" t="s">
        <v>223</v>
      </c>
      <c r="I394" s="60" t="s">
        <v>600</v>
      </c>
      <c r="J394" s="61"/>
      <c r="K394" s="61">
        <v>481.86</v>
      </c>
      <c r="L394" s="62"/>
      <c r="M394" s="64">
        <v>454.68</v>
      </c>
      <c r="N394" s="17" t="str">
        <f t="shared" si="21"/>
        <v>6517 ASSOCIATED PKG/TN GALLATIN</v>
      </c>
      <c r="O394" s="17" t="str">
        <f t="shared" si="22"/>
        <v>740610 ASSOCIATED PKG FOR BERRY GLOBAL</v>
      </c>
      <c r="P394" s="17" t="str">
        <f t="shared" si="20"/>
        <v>GS 490 CLR-48mm x 55m-24 rls/cs-H/A (101230)</v>
      </c>
    </row>
    <row r="395" spans="1:16" x14ac:dyDescent="0.25">
      <c r="A395" s="60" t="s">
        <v>647</v>
      </c>
      <c r="B395" s="60" t="s">
        <v>648</v>
      </c>
      <c r="C395" s="60" t="s">
        <v>238</v>
      </c>
      <c r="D395" s="60" t="s">
        <v>110</v>
      </c>
      <c r="E395" s="60" t="s">
        <v>473</v>
      </c>
      <c r="F395" s="60" t="s">
        <v>474</v>
      </c>
      <c r="G395" s="60" t="s">
        <v>19</v>
      </c>
      <c r="H395" s="60" t="s">
        <v>222</v>
      </c>
      <c r="I395" s="60" t="s">
        <v>104</v>
      </c>
      <c r="J395" s="61">
        <v>47061.89</v>
      </c>
      <c r="K395" s="61">
        <v>34922.199999999997</v>
      </c>
      <c r="L395" s="62">
        <v>205374.96</v>
      </c>
      <c r="M395" s="64">
        <v>143762.47200000001</v>
      </c>
      <c r="N395" s="17" t="str">
        <f t="shared" si="21"/>
        <v>6517 ASSOCIATED PKG/TN GALLATIN</v>
      </c>
      <c r="O395" s="17" t="str">
        <f t="shared" si="22"/>
        <v>740610 ASSOCIATED PKG FOR BERRY GLOBAL</v>
      </c>
      <c r="P395" s="17" t="str">
        <f t="shared" si="20"/>
        <v>HP 100 CLR-53mm x 1500m-6 rls/cs-S (195553)</v>
      </c>
    </row>
    <row r="396" spans="1:16" x14ac:dyDescent="0.25">
      <c r="A396" s="60" t="s">
        <v>647</v>
      </c>
      <c r="B396" s="60" t="s">
        <v>648</v>
      </c>
      <c r="C396" s="60" t="s">
        <v>238</v>
      </c>
      <c r="D396" s="60" t="s">
        <v>110</v>
      </c>
      <c r="E396" s="60" t="s">
        <v>473</v>
      </c>
      <c r="F396" s="60" t="s">
        <v>474</v>
      </c>
      <c r="G396" s="60" t="s">
        <v>19</v>
      </c>
      <c r="H396" s="60" t="s">
        <v>233</v>
      </c>
      <c r="I396" s="60" t="s">
        <v>49</v>
      </c>
      <c r="J396" s="61"/>
      <c r="K396" s="61">
        <v>3100.68</v>
      </c>
      <c r="L396" s="62"/>
      <c r="M396" s="63">
        <v>12399.6</v>
      </c>
      <c r="N396" s="17" t="str">
        <f t="shared" si="21"/>
        <v>6517 ASSOCIATED PKG/TN GALLATIN</v>
      </c>
      <c r="O396" s="17" t="str">
        <f t="shared" si="22"/>
        <v>740610 ASSOCIATED PKG FOR BERRY GLOBAL</v>
      </c>
      <c r="P396" s="17" t="str">
        <f t="shared" si="20"/>
        <v>HP 100 CLR-48mm x 100m-36 rls/cs-S (207142)</v>
      </c>
    </row>
    <row r="397" spans="1:16" x14ac:dyDescent="0.25">
      <c r="A397" s="60" t="s">
        <v>647</v>
      </c>
      <c r="B397" s="60" t="s">
        <v>648</v>
      </c>
      <c r="C397" s="60" t="s">
        <v>238</v>
      </c>
      <c r="D397" s="60" t="s">
        <v>110</v>
      </c>
      <c r="E397" s="60" t="s">
        <v>473</v>
      </c>
      <c r="F397" s="60" t="s">
        <v>474</v>
      </c>
      <c r="G397" s="60" t="s">
        <v>19</v>
      </c>
      <c r="H397" s="60" t="s">
        <v>242</v>
      </c>
      <c r="I397" s="60" t="s">
        <v>102</v>
      </c>
      <c r="J397" s="61"/>
      <c r="K397" s="61">
        <v>1073.95</v>
      </c>
      <c r="L397" s="62"/>
      <c r="M397" s="63">
        <v>4133.2</v>
      </c>
      <c r="N397" s="17" t="str">
        <f t="shared" si="21"/>
        <v>6517 ASSOCIATED PKG/TN GALLATIN</v>
      </c>
      <c r="O397" s="17" t="str">
        <f t="shared" si="22"/>
        <v>740610 ASSOCIATED PKG FOR BERRY GLOBAL</v>
      </c>
      <c r="P397" s="17" t="str">
        <f t="shared" si="20"/>
        <v>HP 100 CLR-72mm x 100m-24 rls/cs-S (207194)</v>
      </c>
    </row>
    <row r="398" spans="1:16" x14ac:dyDescent="0.25">
      <c r="A398" s="60" t="s">
        <v>647</v>
      </c>
      <c r="B398" s="60" t="s">
        <v>648</v>
      </c>
      <c r="C398" s="60" t="s">
        <v>238</v>
      </c>
      <c r="D398" s="60" t="s">
        <v>110</v>
      </c>
      <c r="E398" s="60" t="s">
        <v>473</v>
      </c>
      <c r="F398" s="60" t="s">
        <v>474</v>
      </c>
      <c r="G398" s="60" t="s">
        <v>19</v>
      </c>
      <c r="H398" s="60" t="s">
        <v>243</v>
      </c>
      <c r="I398" s="60" t="s">
        <v>87</v>
      </c>
      <c r="J398" s="61"/>
      <c r="K398" s="61">
        <v>4822.1000000000004</v>
      </c>
      <c r="L398" s="62"/>
      <c r="M398" s="63">
        <v>18889.2</v>
      </c>
      <c r="N398" s="17" t="str">
        <f t="shared" si="21"/>
        <v>6517 ASSOCIATED PKG/TN GALLATIN</v>
      </c>
      <c r="O398" s="17" t="str">
        <f t="shared" si="22"/>
        <v>740610 ASSOCIATED PKG FOR BERRY GLOBAL</v>
      </c>
      <c r="P398" s="17" t="str">
        <f t="shared" si="20"/>
        <v>HP 100 CLR-48mm x 914m-6 rls/cs-S (208453)</v>
      </c>
    </row>
    <row r="399" spans="1:16" x14ac:dyDescent="0.25">
      <c r="A399" s="60" t="s">
        <v>647</v>
      </c>
      <c r="B399" s="60" t="s">
        <v>648</v>
      </c>
      <c r="C399" s="60" t="s">
        <v>238</v>
      </c>
      <c r="D399" s="60" t="s">
        <v>110</v>
      </c>
      <c r="E399" s="60" t="s">
        <v>473</v>
      </c>
      <c r="F399" s="60" t="s">
        <v>474</v>
      </c>
      <c r="G399" s="60" t="s">
        <v>19</v>
      </c>
      <c r="H399" s="60" t="s">
        <v>244</v>
      </c>
      <c r="I399" s="60" t="s">
        <v>94</v>
      </c>
      <c r="J399" s="61"/>
      <c r="K399" s="61">
        <v>1593.11</v>
      </c>
      <c r="L399" s="62"/>
      <c r="M399" s="63">
        <v>6296.4</v>
      </c>
      <c r="N399" s="17" t="str">
        <f t="shared" si="21"/>
        <v>6517 ASSOCIATED PKG/TN GALLATIN</v>
      </c>
      <c r="O399" s="17" t="str">
        <f t="shared" si="22"/>
        <v>740610 ASSOCIATED PKG FOR BERRY GLOBAL</v>
      </c>
      <c r="P399" s="17" t="str">
        <f t="shared" si="20"/>
        <v>HP 100 CLR-72mm x 914m-4 rls/cs-S (208465)</v>
      </c>
    </row>
    <row r="400" spans="1:16" x14ac:dyDescent="0.25">
      <c r="A400" s="60" t="s">
        <v>647</v>
      </c>
      <c r="B400" s="60" t="s">
        <v>648</v>
      </c>
      <c r="C400" s="60" t="s">
        <v>238</v>
      </c>
      <c r="D400" s="60" t="s">
        <v>110</v>
      </c>
      <c r="E400" s="60" t="s">
        <v>473</v>
      </c>
      <c r="F400" s="60" t="s">
        <v>474</v>
      </c>
      <c r="G400" s="60" t="s">
        <v>18</v>
      </c>
      <c r="H400" s="60" t="s">
        <v>215</v>
      </c>
      <c r="I400" s="60" t="s">
        <v>50</v>
      </c>
      <c r="J400" s="61"/>
      <c r="K400" s="61">
        <v>675.73</v>
      </c>
      <c r="L400" s="62"/>
      <c r="M400" s="63">
        <v>2479.92</v>
      </c>
      <c r="N400" s="17" t="str">
        <f t="shared" si="21"/>
        <v>6517 ASSOCIATED PKG/TN GALLATIN</v>
      </c>
      <c r="O400" s="17" t="str">
        <f t="shared" si="22"/>
        <v>740610 ASSOCIATED PKG FOR BERRY GLOBAL</v>
      </c>
      <c r="P400" s="17" t="str">
        <f t="shared" si="20"/>
        <v>HP 200 CLR-48mm x 100m-36 rls/cs-S (207149)</v>
      </c>
    </row>
    <row r="401" spans="1:16" x14ac:dyDescent="0.25">
      <c r="A401" s="60" t="s">
        <v>647</v>
      </c>
      <c r="B401" s="60" t="s">
        <v>648</v>
      </c>
      <c r="C401" s="60" t="s">
        <v>238</v>
      </c>
      <c r="D401" s="60" t="s">
        <v>110</v>
      </c>
      <c r="E401" s="60" t="s">
        <v>473</v>
      </c>
      <c r="F401" s="60" t="s">
        <v>474</v>
      </c>
      <c r="G401" s="60" t="s">
        <v>18</v>
      </c>
      <c r="H401" s="60" t="s">
        <v>219</v>
      </c>
      <c r="I401" s="60" t="s">
        <v>60</v>
      </c>
      <c r="J401" s="61"/>
      <c r="K401" s="61">
        <v>339.29</v>
      </c>
      <c r="L401" s="62"/>
      <c r="M401" s="63">
        <v>1239.96</v>
      </c>
      <c r="N401" s="17" t="str">
        <f t="shared" si="21"/>
        <v>6517 ASSOCIATED PKG/TN GALLATIN</v>
      </c>
      <c r="O401" s="17" t="str">
        <f t="shared" si="22"/>
        <v>740610 ASSOCIATED PKG FOR BERRY GLOBAL</v>
      </c>
      <c r="P401" s="17" t="str">
        <f t="shared" si="20"/>
        <v>HP 200 CLR-72mm x 100m-24 rls/cs-S (207233)</v>
      </c>
    </row>
    <row r="402" spans="1:16" x14ac:dyDescent="0.25">
      <c r="A402" s="60" t="s">
        <v>647</v>
      </c>
      <c r="B402" s="60" t="s">
        <v>648</v>
      </c>
      <c r="C402" s="60" t="s">
        <v>238</v>
      </c>
      <c r="D402" s="60" t="s">
        <v>110</v>
      </c>
      <c r="E402" s="60" t="s">
        <v>1057</v>
      </c>
      <c r="F402" s="60" t="s">
        <v>1058</v>
      </c>
      <c r="G402" s="60" t="s">
        <v>1059</v>
      </c>
      <c r="H402" s="60" t="s">
        <v>1060</v>
      </c>
      <c r="I402" s="60" t="s">
        <v>1061</v>
      </c>
      <c r="J402" s="61">
        <v>336.44</v>
      </c>
      <c r="K402" s="61">
        <v>119.75</v>
      </c>
      <c r="L402" s="62">
        <v>227.328</v>
      </c>
      <c r="M402" s="63">
        <v>75.775999999999996</v>
      </c>
      <c r="N402" s="17" t="str">
        <f t="shared" si="21"/>
        <v>6517 ASSOCIATED PKG/TN GALLATIN</v>
      </c>
      <c r="O402" s="17" t="str">
        <f t="shared" si="22"/>
        <v>741349 ESQUIRE WIRE</v>
      </c>
      <c r="P402" s="17" t="str">
        <f t="shared" si="20"/>
        <v>CP 225 GLD-18mm x 55m-64 rls/cs-H/T (105319)</v>
      </c>
    </row>
    <row r="403" spans="1:16" x14ac:dyDescent="0.25">
      <c r="A403" s="60" t="s">
        <v>647</v>
      </c>
      <c r="B403" s="60" t="s">
        <v>648</v>
      </c>
      <c r="C403" s="60" t="s">
        <v>238</v>
      </c>
      <c r="D403" s="60" t="s">
        <v>110</v>
      </c>
      <c r="E403" s="60" t="s">
        <v>1686</v>
      </c>
      <c r="F403" s="60" t="s">
        <v>1687</v>
      </c>
      <c r="G403" s="60" t="s">
        <v>23</v>
      </c>
      <c r="H403" s="60" t="s">
        <v>696</v>
      </c>
      <c r="I403" s="60" t="s">
        <v>697</v>
      </c>
      <c r="J403" s="61">
        <v>186.28</v>
      </c>
      <c r="K403" s="61"/>
      <c r="L403" s="62">
        <v>303.12</v>
      </c>
      <c r="M403" s="64"/>
      <c r="N403" s="17" t="str">
        <f t="shared" si="21"/>
        <v>6517 ASSOCIATED PKG/TN GALLATIN</v>
      </c>
      <c r="O403" s="17" t="str">
        <f t="shared" si="22"/>
        <v>742055 G&amp;A SCREEN PRINTING</v>
      </c>
      <c r="P403" s="17" t="str">
        <f t="shared" si="20"/>
        <v>CP 105 NAT-72mm x 55m-16 rls/cs-H (113699)</v>
      </c>
    </row>
    <row r="404" spans="1:16" x14ac:dyDescent="0.25">
      <c r="A404" s="60" t="s">
        <v>647</v>
      </c>
      <c r="B404" s="60" t="s">
        <v>648</v>
      </c>
      <c r="C404" s="60" t="s">
        <v>238</v>
      </c>
      <c r="D404" s="60" t="s">
        <v>110</v>
      </c>
      <c r="E404" s="60" t="s">
        <v>1686</v>
      </c>
      <c r="F404" s="60" t="s">
        <v>1687</v>
      </c>
      <c r="G404" s="60" t="s">
        <v>23</v>
      </c>
      <c r="H404" s="60" t="s">
        <v>462</v>
      </c>
      <c r="I404" s="60" t="s">
        <v>463</v>
      </c>
      <c r="J404" s="61">
        <v>98.84</v>
      </c>
      <c r="K404" s="61"/>
      <c r="L404" s="62">
        <v>151.56</v>
      </c>
      <c r="M404" s="64"/>
      <c r="N404" s="17" t="str">
        <f t="shared" si="21"/>
        <v>6517 ASSOCIATED PKG/TN GALLATIN</v>
      </c>
      <c r="O404" s="17" t="str">
        <f t="shared" si="22"/>
        <v>742055 G&amp;A SCREEN PRINTING</v>
      </c>
      <c r="P404" s="17" t="str">
        <f t="shared" si="20"/>
        <v>CP 105 NAT-48mm x 55m-24 rls/cs-S (120407)</v>
      </c>
    </row>
    <row r="405" spans="1:16" x14ac:dyDescent="0.25">
      <c r="A405" s="60" t="s">
        <v>647</v>
      </c>
      <c r="B405" s="60" t="s">
        <v>648</v>
      </c>
      <c r="C405" s="60" t="s">
        <v>238</v>
      </c>
      <c r="D405" s="60" t="s">
        <v>110</v>
      </c>
      <c r="E405" s="60" t="s">
        <v>1062</v>
      </c>
      <c r="F405" s="60" t="s">
        <v>1063</v>
      </c>
      <c r="G405" s="60" t="s">
        <v>1182</v>
      </c>
      <c r="H405" s="60" t="s">
        <v>1413</v>
      </c>
      <c r="I405" s="60" t="s">
        <v>1414</v>
      </c>
      <c r="J405" s="61"/>
      <c r="K405" s="61">
        <v>3712.26</v>
      </c>
      <c r="L405" s="65"/>
      <c r="M405" s="64">
        <v>1818.72</v>
      </c>
      <c r="N405" s="17" t="str">
        <f t="shared" si="21"/>
        <v>6517 ASSOCIATED PKG/TN GALLATIN</v>
      </c>
      <c r="O405" s="17" t="str">
        <f t="shared" si="22"/>
        <v>742532 LUGNUT4X4</v>
      </c>
      <c r="P405" s="17" t="str">
        <f t="shared" si="20"/>
        <v>GS 521 CLR-48mm x 55m-24 rls/cs-H (101377)</v>
      </c>
    </row>
    <row r="406" spans="1:16" x14ac:dyDescent="0.25">
      <c r="A406" s="60" t="s">
        <v>647</v>
      </c>
      <c r="B406" s="60" t="s">
        <v>648</v>
      </c>
      <c r="C406" s="60" t="s">
        <v>238</v>
      </c>
      <c r="D406" s="60" t="s">
        <v>110</v>
      </c>
      <c r="E406" s="60" t="s">
        <v>1062</v>
      </c>
      <c r="F406" s="60" t="s">
        <v>1063</v>
      </c>
      <c r="G406" s="60" t="s">
        <v>61</v>
      </c>
      <c r="H406" s="60" t="s">
        <v>352</v>
      </c>
      <c r="I406" s="60" t="s">
        <v>353</v>
      </c>
      <c r="J406" s="61"/>
      <c r="K406" s="61">
        <v>4305.3100000000004</v>
      </c>
      <c r="L406" s="62"/>
      <c r="M406" s="63">
        <v>4133.2</v>
      </c>
      <c r="N406" s="17" t="str">
        <f t="shared" si="21"/>
        <v>6517 ASSOCIATED PKG/TN GALLATIN</v>
      </c>
      <c r="O406" s="17" t="str">
        <f t="shared" si="22"/>
        <v>742532 LUGNUT4X4</v>
      </c>
      <c r="P406" s="17" t="str">
        <f t="shared" si="20"/>
        <v>HP 500 CLR-48mm x 50m-36 rls/cs-H/A (207831)</v>
      </c>
    </row>
    <row r="407" spans="1:16" x14ac:dyDescent="0.25">
      <c r="A407" s="60" t="s">
        <v>647</v>
      </c>
      <c r="B407" s="60" t="s">
        <v>648</v>
      </c>
      <c r="C407" s="60" t="s">
        <v>238</v>
      </c>
      <c r="D407" s="60" t="s">
        <v>110</v>
      </c>
      <c r="E407" s="60" t="s">
        <v>1064</v>
      </c>
      <c r="F407" s="60" t="s">
        <v>1065</v>
      </c>
      <c r="G407" s="60" t="s">
        <v>63</v>
      </c>
      <c r="H407" s="60" t="s">
        <v>224</v>
      </c>
      <c r="I407" s="60" t="s">
        <v>64</v>
      </c>
      <c r="J407" s="61"/>
      <c r="K407" s="61">
        <v>329.31</v>
      </c>
      <c r="L407" s="62"/>
      <c r="M407" s="64">
        <v>1239.8399999999999</v>
      </c>
      <c r="N407" s="17" t="str">
        <f t="shared" si="21"/>
        <v>6517 ASSOCIATED PKG/TN GALLATIN</v>
      </c>
      <c r="O407" s="17" t="str">
        <f t="shared" si="22"/>
        <v>742895 SUNKOTE PLASTIC COATINGS</v>
      </c>
      <c r="P407" s="17" t="str">
        <f t="shared" si="20"/>
        <v>AP 180 CLR-48mm x 100m-36 rls/cs-H/A (231044)</v>
      </c>
    </row>
    <row r="408" spans="1:16" x14ac:dyDescent="0.25">
      <c r="A408" s="60" t="s">
        <v>647</v>
      </c>
      <c r="B408" s="60" t="s">
        <v>648</v>
      </c>
      <c r="C408" s="60" t="s">
        <v>238</v>
      </c>
      <c r="D408" s="60" t="s">
        <v>110</v>
      </c>
      <c r="E408" s="60" t="s">
        <v>1415</v>
      </c>
      <c r="F408" s="60" t="s">
        <v>1416</v>
      </c>
      <c r="G408" s="60" t="s">
        <v>59</v>
      </c>
      <c r="H408" s="60" t="s">
        <v>337</v>
      </c>
      <c r="I408" s="60" t="s">
        <v>601</v>
      </c>
      <c r="J408" s="61"/>
      <c r="K408" s="61">
        <v>119.04</v>
      </c>
      <c r="L408" s="62"/>
      <c r="M408" s="63">
        <v>113.66</v>
      </c>
      <c r="N408" s="17" t="str">
        <f t="shared" si="21"/>
        <v>6517 ASSOCIATED PKG/TN GALLATIN</v>
      </c>
      <c r="O408" s="17" t="str">
        <f t="shared" si="22"/>
        <v>743226 RELIANCE WORLDWIDE CORPORATION</v>
      </c>
      <c r="P408" s="17" t="str">
        <f t="shared" si="20"/>
        <v>GS 490 CLR-24mm x 55m-36 rls/cs-H/A (101219)</v>
      </c>
    </row>
    <row r="409" spans="1:16" x14ac:dyDescent="0.25">
      <c r="A409" s="60" t="s">
        <v>647</v>
      </c>
      <c r="B409" s="60" t="s">
        <v>648</v>
      </c>
      <c r="C409" s="60" t="s">
        <v>238</v>
      </c>
      <c r="D409" s="60" t="s">
        <v>110</v>
      </c>
      <c r="E409" s="60" t="s">
        <v>603</v>
      </c>
      <c r="F409" s="60" t="s">
        <v>604</v>
      </c>
      <c r="G409" s="60" t="s">
        <v>109</v>
      </c>
      <c r="H409" s="60" t="s">
        <v>355</v>
      </c>
      <c r="I409" s="60" t="s">
        <v>356</v>
      </c>
      <c r="J409" s="61">
        <v>2687.26</v>
      </c>
      <c r="K409" s="61"/>
      <c r="L409" s="62">
        <v>4611</v>
      </c>
      <c r="M409" s="64"/>
      <c r="N409" s="17" t="str">
        <f t="shared" si="21"/>
        <v>6517 ASSOCIATED PKG/TN GALLATIN</v>
      </c>
      <c r="O409" s="17" t="str">
        <f t="shared" si="22"/>
        <v>745053 PROAMPAC</v>
      </c>
      <c r="P409" s="17" t="str">
        <f t="shared" si="20"/>
        <v>WP 100 NAT-70mm x 153m(500ft)-6 rls/cs-H (101688)</v>
      </c>
    </row>
    <row r="410" spans="1:16" x14ac:dyDescent="0.25">
      <c r="A410" s="60" t="s">
        <v>647</v>
      </c>
      <c r="B410" s="60" t="s">
        <v>648</v>
      </c>
      <c r="C410" s="60" t="s">
        <v>238</v>
      </c>
      <c r="D410" s="60" t="s">
        <v>110</v>
      </c>
      <c r="E410" s="60" t="s">
        <v>651</v>
      </c>
      <c r="F410" s="60" t="s">
        <v>804</v>
      </c>
      <c r="G410" s="60" t="s">
        <v>54</v>
      </c>
      <c r="H410" s="60" t="s">
        <v>240</v>
      </c>
      <c r="I410" s="60" t="s">
        <v>111</v>
      </c>
      <c r="J410" s="61"/>
      <c r="K410" s="61">
        <v>11081.66</v>
      </c>
      <c r="L410" s="65"/>
      <c r="M410" s="64">
        <v>10240</v>
      </c>
      <c r="N410" s="17" t="str">
        <f t="shared" si="21"/>
        <v>6517 ASSOCIATED PKG/TN GALLATIN</v>
      </c>
      <c r="O410" s="17" t="str">
        <f t="shared" si="22"/>
        <v>745518 ASSOCIATED PKG FOR ICONEX</v>
      </c>
      <c r="P410" s="17" t="str">
        <f t="shared" si="20"/>
        <v>CP 66L NAT-4in x 240yd-3 rls/cs-H (209420)</v>
      </c>
    </row>
    <row r="411" spans="1:16" x14ac:dyDescent="0.25">
      <c r="A411" s="60" t="s">
        <v>647</v>
      </c>
      <c r="B411" s="60" t="s">
        <v>648</v>
      </c>
      <c r="C411" s="60" t="s">
        <v>238</v>
      </c>
      <c r="D411" s="60" t="s">
        <v>110</v>
      </c>
      <c r="E411" s="60" t="s">
        <v>651</v>
      </c>
      <c r="F411" s="60" t="s">
        <v>804</v>
      </c>
      <c r="G411" s="60" t="s">
        <v>380</v>
      </c>
      <c r="H411" s="60" t="s">
        <v>381</v>
      </c>
      <c r="I411" s="60" t="s">
        <v>382</v>
      </c>
      <c r="J411" s="61"/>
      <c r="K411" s="61">
        <v>565.49</v>
      </c>
      <c r="L411" s="65"/>
      <c r="M411" s="64">
        <v>137.76</v>
      </c>
      <c r="N411" s="17" t="str">
        <f t="shared" si="21"/>
        <v>6517 ASSOCIATED PKG/TN GALLATIN</v>
      </c>
      <c r="O411" s="17" t="str">
        <f t="shared" si="22"/>
        <v>745518 ASSOCIATED PKG FOR ICONEX</v>
      </c>
      <c r="P411" s="17" t="str">
        <f t="shared" si="20"/>
        <v>DP 401 GLA-48mm x 50m-24 rls/cs-H (104249)</v>
      </c>
    </row>
    <row r="412" spans="1:16" x14ac:dyDescent="0.25">
      <c r="A412" s="60" t="s">
        <v>647</v>
      </c>
      <c r="B412" s="60" t="s">
        <v>648</v>
      </c>
      <c r="C412" s="60" t="s">
        <v>238</v>
      </c>
      <c r="D412" s="60" t="s">
        <v>110</v>
      </c>
      <c r="E412" s="60" t="s">
        <v>651</v>
      </c>
      <c r="F412" s="60" t="s">
        <v>804</v>
      </c>
      <c r="G412" s="60" t="s">
        <v>67</v>
      </c>
      <c r="H412" s="60" t="s">
        <v>241</v>
      </c>
      <c r="I412" s="60" t="s">
        <v>78</v>
      </c>
      <c r="J412" s="61"/>
      <c r="K412" s="61">
        <v>2521.73</v>
      </c>
      <c r="L412" s="65"/>
      <c r="M412" s="64">
        <v>1515.52</v>
      </c>
      <c r="N412" s="17" t="str">
        <f t="shared" si="21"/>
        <v>6517 ASSOCIATED PKG/TN GALLATIN</v>
      </c>
      <c r="O412" s="17" t="str">
        <f t="shared" si="22"/>
        <v>745518 ASSOCIATED PKG FOR ICONEX</v>
      </c>
      <c r="P412" s="17" t="str">
        <f t="shared" si="20"/>
        <v>FP 115 BRN-72mm x 55m-16 rls/cs-H (104663)</v>
      </c>
    </row>
    <row r="413" spans="1:16" x14ac:dyDescent="0.25">
      <c r="A413" s="60" t="s">
        <v>647</v>
      </c>
      <c r="B413" s="60" t="s">
        <v>648</v>
      </c>
      <c r="C413" s="60" t="s">
        <v>238</v>
      </c>
      <c r="D413" s="60" t="s">
        <v>110</v>
      </c>
      <c r="E413" s="60" t="s">
        <v>651</v>
      </c>
      <c r="F413" s="60" t="s">
        <v>804</v>
      </c>
      <c r="G413" s="60" t="s">
        <v>1091</v>
      </c>
      <c r="H413" s="60" t="s">
        <v>1094</v>
      </c>
      <c r="I413" s="60" t="s">
        <v>1095</v>
      </c>
      <c r="J413" s="61"/>
      <c r="K413" s="61">
        <v>572.62</v>
      </c>
      <c r="L413" s="62"/>
      <c r="M413" s="64">
        <v>90.94</v>
      </c>
      <c r="N413" s="17" t="str">
        <f t="shared" si="21"/>
        <v>6517 ASSOCIATED PKG/TN GALLATIN</v>
      </c>
      <c r="O413" s="17" t="str">
        <f t="shared" si="22"/>
        <v>745518 ASSOCIATED PKG FOR ICONEX</v>
      </c>
      <c r="P413" s="17" t="str">
        <f t="shared" si="20"/>
        <v>GG 200 NAT-48mm x 33m-24 rls/cs-H (204459)</v>
      </c>
    </row>
    <row r="414" spans="1:16" x14ac:dyDescent="0.25">
      <c r="A414" s="60" t="s">
        <v>647</v>
      </c>
      <c r="B414" s="60" t="s">
        <v>648</v>
      </c>
      <c r="C414" s="60" t="s">
        <v>238</v>
      </c>
      <c r="D414" s="60" t="s">
        <v>110</v>
      </c>
      <c r="E414" s="60" t="s">
        <v>651</v>
      </c>
      <c r="F414" s="60" t="s">
        <v>804</v>
      </c>
      <c r="G414" s="60" t="s">
        <v>59</v>
      </c>
      <c r="H414" s="60" t="s">
        <v>223</v>
      </c>
      <c r="I414" s="60" t="s">
        <v>600</v>
      </c>
      <c r="J414" s="61"/>
      <c r="K414" s="61">
        <v>321.24</v>
      </c>
      <c r="L414" s="65"/>
      <c r="M414" s="64">
        <v>303.12</v>
      </c>
      <c r="N414" s="17" t="str">
        <f t="shared" si="21"/>
        <v>6517 ASSOCIATED PKG/TN GALLATIN</v>
      </c>
      <c r="O414" s="17" t="str">
        <f t="shared" si="22"/>
        <v>745518 ASSOCIATED PKG FOR ICONEX</v>
      </c>
      <c r="P414" s="17" t="str">
        <f t="shared" si="20"/>
        <v>GS 490 CLR-48mm x 55m-24 rls/cs-H/A (101230)</v>
      </c>
    </row>
    <row r="415" spans="1:16" x14ac:dyDescent="0.25">
      <c r="A415" s="60" t="s">
        <v>647</v>
      </c>
      <c r="B415" s="60" t="s">
        <v>648</v>
      </c>
      <c r="C415" s="60" t="s">
        <v>238</v>
      </c>
      <c r="D415" s="60" t="s">
        <v>110</v>
      </c>
      <c r="E415" s="60" t="s">
        <v>651</v>
      </c>
      <c r="F415" s="60" t="s">
        <v>804</v>
      </c>
      <c r="G415" s="60" t="s">
        <v>19</v>
      </c>
      <c r="H415" s="60" t="s">
        <v>233</v>
      </c>
      <c r="I415" s="60" t="s">
        <v>49</v>
      </c>
      <c r="J415" s="61"/>
      <c r="K415" s="61">
        <v>5474.29</v>
      </c>
      <c r="L415" s="65"/>
      <c r="M415" s="64">
        <v>24799.200000000001</v>
      </c>
      <c r="N415" s="17" t="str">
        <f t="shared" si="21"/>
        <v>6517 ASSOCIATED PKG/TN GALLATIN</v>
      </c>
      <c r="O415" s="17" t="str">
        <f t="shared" si="22"/>
        <v>745518 ASSOCIATED PKG FOR ICONEX</v>
      </c>
      <c r="P415" s="17" t="str">
        <f t="shared" si="20"/>
        <v>HP 100 CLR-48mm x 100m-36 rls/cs-S (207142)</v>
      </c>
    </row>
    <row r="416" spans="1:16" x14ac:dyDescent="0.25">
      <c r="A416" s="60" t="s">
        <v>647</v>
      </c>
      <c r="B416" s="60" t="s">
        <v>648</v>
      </c>
      <c r="C416" s="60" t="s">
        <v>238</v>
      </c>
      <c r="D416" s="60" t="s">
        <v>110</v>
      </c>
      <c r="E416" s="60" t="s">
        <v>651</v>
      </c>
      <c r="F416" s="60" t="s">
        <v>804</v>
      </c>
      <c r="G416" s="60" t="s">
        <v>19</v>
      </c>
      <c r="H416" s="60" t="s">
        <v>242</v>
      </c>
      <c r="I416" s="60" t="s">
        <v>102</v>
      </c>
      <c r="J416" s="61">
        <v>2523.31</v>
      </c>
      <c r="K416" s="61">
        <v>1026.43</v>
      </c>
      <c r="L416" s="62">
        <v>12399.6</v>
      </c>
      <c r="M416" s="63">
        <v>4133.2</v>
      </c>
      <c r="N416" s="17" t="str">
        <f t="shared" si="21"/>
        <v>6517 ASSOCIATED PKG/TN GALLATIN</v>
      </c>
      <c r="O416" s="17" t="str">
        <f t="shared" si="22"/>
        <v>745518 ASSOCIATED PKG FOR ICONEX</v>
      </c>
      <c r="P416" s="17" t="str">
        <f t="shared" si="20"/>
        <v>HP 100 CLR-72mm x 100m-24 rls/cs-S (207194)</v>
      </c>
    </row>
    <row r="417" spans="1:16" x14ac:dyDescent="0.25">
      <c r="A417" s="60" t="s">
        <v>647</v>
      </c>
      <c r="B417" s="60" t="s">
        <v>648</v>
      </c>
      <c r="C417" s="60" t="s">
        <v>238</v>
      </c>
      <c r="D417" s="60" t="s">
        <v>110</v>
      </c>
      <c r="E417" s="60" t="s">
        <v>651</v>
      </c>
      <c r="F417" s="60" t="s">
        <v>804</v>
      </c>
      <c r="G417" s="60" t="s">
        <v>19</v>
      </c>
      <c r="H417" s="60" t="s">
        <v>243</v>
      </c>
      <c r="I417" s="60" t="s">
        <v>87</v>
      </c>
      <c r="J417" s="61">
        <v>3378.67</v>
      </c>
      <c r="K417" s="61">
        <v>1502.82</v>
      </c>
      <c r="L417" s="62">
        <v>15111.36</v>
      </c>
      <c r="M417" s="63">
        <v>6296.4</v>
      </c>
      <c r="N417" s="17" t="str">
        <f t="shared" si="21"/>
        <v>6517 ASSOCIATED PKG/TN GALLATIN</v>
      </c>
      <c r="O417" s="17" t="str">
        <f t="shared" si="22"/>
        <v>745518 ASSOCIATED PKG FOR ICONEX</v>
      </c>
      <c r="P417" s="17" t="str">
        <f t="shared" si="20"/>
        <v>HP 100 CLR-48mm x 914m-6 rls/cs-S (208453)</v>
      </c>
    </row>
    <row r="418" spans="1:16" x14ac:dyDescent="0.25">
      <c r="A418" s="60" t="s">
        <v>647</v>
      </c>
      <c r="B418" s="60" t="s">
        <v>648</v>
      </c>
      <c r="C418" s="60" t="s">
        <v>238</v>
      </c>
      <c r="D418" s="60" t="s">
        <v>110</v>
      </c>
      <c r="E418" s="60" t="s">
        <v>651</v>
      </c>
      <c r="F418" s="60" t="s">
        <v>804</v>
      </c>
      <c r="G418" s="60" t="s">
        <v>19</v>
      </c>
      <c r="H418" s="60" t="s">
        <v>244</v>
      </c>
      <c r="I418" s="60" t="s">
        <v>94</v>
      </c>
      <c r="J418" s="61">
        <v>20830.88</v>
      </c>
      <c r="K418" s="61">
        <v>18357.939999999999</v>
      </c>
      <c r="L418" s="62">
        <v>90668.160000000003</v>
      </c>
      <c r="M418" s="63">
        <v>75556.800000000003</v>
      </c>
      <c r="N418" s="17" t="str">
        <f t="shared" si="21"/>
        <v>6517 ASSOCIATED PKG/TN GALLATIN</v>
      </c>
      <c r="O418" s="17" t="str">
        <f t="shared" si="22"/>
        <v>745518 ASSOCIATED PKG FOR ICONEX</v>
      </c>
      <c r="P418" s="17" t="str">
        <f t="shared" si="20"/>
        <v>HP 100 CLR-72mm x 914m-4 rls/cs-S (208465)</v>
      </c>
    </row>
    <row r="419" spans="1:16" x14ac:dyDescent="0.25">
      <c r="A419" s="60" t="s">
        <v>647</v>
      </c>
      <c r="B419" s="60" t="s">
        <v>648</v>
      </c>
      <c r="C419" s="60" t="s">
        <v>238</v>
      </c>
      <c r="D419" s="60" t="s">
        <v>110</v>
      </c>
      <c r="E419" s="60" t="s">
        <v>651</v>
      </c>
      <c r="F419" s="60" t="s">
        <v>804</v>
      </c>
      <c r="G419" s="60" t="s">
        <v>18</v>
      </c>
      <c r="H419" s="60" t="s">
        <v>215</v>
      </c>
      <c r="I419" s="60" t="s">
        <v>50</v>
      </c>
      <c r="J419" s="61"/>
      <c r="K419" s="61">
        <v>675.73</v>
      </c>
      <c r="L419" s="62"/>
      <c r="M419" s="63">
        <v>2479.92</v>
      </c>
      <c r="N419" s="17" t="str">
        <f t="shared" si="21"/>
        <v>6517 ASSOCIATED PKG/TN GALLATIN</v>
      </c>
      <c r="O419" s="17" t="str">
        <f t="shared" si="22"/>
        <v>745518 ASSOCIATED PKG FOR ICONEX</v>
      </c>
      <c r="P419" s="17" t="str">
        <f t="shared" si="20"/>
        <v>HP 200 CLR-48mm x 100m-36 rls/cs-S (207149)</v>
      </c>
    </row>
    <row r="420" spans="1:16" x14ac:dyDescent="0.25">
      <c r="A420" s="60" t="s">
        <v>647</v>
      </c>
      <c r="B420" s="60" t="s">
        <v>648</v>
      </c>
      <c r="C420" s="60" t="s">
        <v>238</v>
      </c>
      <c r="D420" s="60" t="s">
        <v>110</v>
      </c>
      <c r="E420" s="60" t="s">
        <v>651</v>
      </c>
      <c r="F420" s="60" t="s">
        <v>804</v>
      </c>
      <c r="G420" s="60" t="s">
        <v>18</v>
      </c>
      <c r="H420" s="60" t="s">
        <v>499</v>
      </c>
      <c r="I420" s="60" t="s">
        <v>500</v>
      </c>
      <c r="J420" s="61"/>
      <c r="K420" s="61">
        <v>298.19</v>
      </c>
      <c r="L420" s="62"/>
      <c r="M420" s="63">
        <v>1033.3</v>
      </c>
      <c r="N420" s="17" t="str">
        <f t="shared" si="21"/>
        <v>6517 ASSOCIATED PKG/TN GALLATIN</v>
      </c>
      <c r="O420" s="17" t="str">
        <f t="shared" si="22"/>
        <v>745518 ASSOCIATED PKG FOR ICONEX</v>
      </c>
      <c r="P420" s="17" t="str">
        <f t="shared" si="20"/>
        <v>HP 200 TAN-72mm x 100m-24 rls/cs-H/A (207239)</v>
      </c>
    </row>
    <row r="421" spans="1:16" x14ac:dyDescent="0.25">
      <c r="A421" s="60" t="s">
        <v>647</v>
      </c>
      <c r="B421" s="60" t="s">
        <v>648</v>
      </c>
      <c r="C421" s="60" t="s">
        <v>238</v>
      </c>
      <c r="D421" s="60" t="s">
        <v>110</v>
      </c>
      <c r="E421" s="60" t="s">
        <v>651</v>
      </c>
      <c r="F421" s="60" t="s">
        <v>804</v>
      </c>
      <c r="G421" s="60" t="s">
        <v>468</v>
      </c>
      <c r="H421" s="60" t="s">
        <v>1417</v>
      </c>
      <c r="I421" s="60" t="s">
        <v>1418</v>
      </c>
      <c r="J421" s="61"/>
      <c r="K421" s="61">
        <v>201.37</v>
      </c>
      <c r="L421" s="62"/>
      <c r="M421" s="63">
        <v>103.33</v>
      </c>
      <c r="N421" s="17" t="str">
        <f t="shared" si="21"/>
        <v>6517 ASSOCIATED PKG/TN GALLATIN</v>
      </c>
      <c r="O421" s="17" t="str">
        <f t="shared" si="22"/>
        <v>745518 ASSOCIATED PKG FOR ICONEX</v>
      </c>
      <c r="P421" s="17" t="str">
        <f t="shared" si="20"/>
        <v>HP 800 CLR-48mm x 50m-36 rls/cs-H (125419)</v>
      </c>
    </row>
    <row r="422" spans="1:16" x14ac:dyDescent="0.25">
      <c r="A422" s="60" t="s">
        <v>647</v>
      </c>
      <c r="B422" s="60" t="s">
        <v>648</v>
      </c>
      <c r="C422" s="60" t="s">
        <v>238</v>
      </c>
      <c r="D422" s="60" t="s">
        <v>110</v>
      </c>
      <c r="E422" s="60" t="s">
        <v>1066</v>
      </c>
      <c r="F422" s="60" t="s">
        <v>1067</v>
      </c>
      <c r="G422" s="60" t="s">
        <v>18</v>
      </c>
      <c r="H422" s="60" t="s">
        <v>215</v>
      </c>
      <c r="I422" s="60" t="s">
        <v>50</v>
      </c>
      <c r="J422" s="61">
        <v>213.84</v>
      </c>
      <c r="K422" s="61"/>
      <c r="L422" s="62">
        <v>826.64</v>
      </c>
      <c r="M422" s="63"/>
      <c r="N422" s="17" t="str">
        <f t="shared" si="21"/>
        <v>6517 ASSOCIATED PKG/TN GALLATIN</v>
      </c>
      <c r="O422" s="17" t="str">
        <f t="shared" si="22"/>
        <v>745651 PORTOBELLO AMERICA</v>
      </c>
      <c r="P422" s="17" t="str">
        <f t="shared" si="20"/>
        <v>HP 200 CLR-48mm x 100m-36 rls/cs-S (207149)</v>
      </c>
    </row>
    <row r="423" spans="1:16" x14ac:dyDescent="0.25">
      <c r="A423" s="60" t="s">
        <v>647</v>
      </c>
      <c r="B423" s="60" t="s">
        <v>648</v>
      </c>
      <c r="C423" s="60" t="s">
        <v>238</v>
      </c>
      <c r="D423" s="60" t="s">
        <v>110</v>
      </c>
      <c r="E423" s="60" t="s">
        <v>1066</v>
      </c>
      <c r="F423" s="60" t="s">
        <v>1067</v>
      </c>
      <c r="G423" s="60" t="s">
        <v>58</v>
      </c>
      <c r="H423" s="60" t="s">
        <v>501</v>
      </c>
      <c r="I423" s="60" t="s">
        <v>502</v>
      </c>
      <c r="J423" s="61">
        <v>328.84</v>
      </c>
      <c r="K423" s="61"/>
      <c r="L423" s="65">
        <v>413.32</v>
      </c>
      <c r="M423" s="64"/>
      <c r="N423" s="17" t="str">
        <f t="shared" si="21"/>
        <v>6517 ASSOCIATED PKG/TN GALLATIN</v>
      </c>
      <c r="O423" s="17" t="str">
        <f t="shared" si="22"/>
        <v>745651 PORTOBELLO AMERICA</v>
      </c>
      <c r="P423" s="17" t="str">
        <f t="shared" si="20"/>
        <v>HP 400 CLR-72mm x 50m-24 rls/cs-H (207852)</v>
      </c>
    </row>
    <row r="424" spans="1:16" x14ac:dyDescent="0.25">
      <c r="A424" s="60" t="s">
        <v>647</v>
      </c>
      <c r="B424" s="60" t="s">
        <v>648</v>
      </c>
      <c r="C424" s="60" t="s">
        <v>238</v>
      </c>
      <c r="D424" s="60" t="s">
        <v>110</v>
      </c>
      <c r="E424" s="60" t="s">
        <v>630</v>
      </c>
      <c r="F424" s="60" t="s">
        <v>631</v>
      </c>
      <c r="G424" s="60" t="s">
        <v>23</v>
      </c>
      <c r="H424" s="60" t="s">
        <v>462</v>
      </c>
      <c r="I424" s="60" t="s">
        <v>463</v>
      </c>
      <c r="J424" s="61">
        <v>1663.2</v>
      </c>
      <c r="K424" s="61">
        <v>2851.2</v>
      </c>
      <c r="L424" s="62">
        <v>3031.2</v>
      </c>
      <c r="M424" s="63">
        <v>4546.8</v>
      </c>
      <c r="N424" s="17" t="str">
        <f t="shared" si="21"/>
        <v>6517 ASSOCIATED PKG/TN GALLATIN</v>
      </c>
      <c r="O424" s="17" t="str">
        <f t="shared" si="22"/>
        <v>745693 ASSOCIATED PKG FOR LPI</v>
      </c>
      <c r="P424" s="17" t="str">
        <f t="shared" si="20"/>
        <v>CP 105 NAT-48mm x 55m-24 rls/cs-S (120407)</v>
      </c>
    </row>
    <row r="425" spans="1:16" x14ac:dyDescent="0.25">
      <c r="A425" s="60" t="s">
        <v>647</v>
      </c>
      <c r="B425" s="60" t="s">
        <v>648</v>
      </c>
      <c r="C425" s="60" t="s">
        <v>238</v>
      </c>
      <c r="D425" s="60" t="s">
        <v>110</v>
      </c>
      <c r="E425" s="60" t="s">
        <v>630</v>
      </c>
      <c r="F425" s="60" t="s">
        <v>631</v>
      </c>
      <c r="G425" s="60" t="s">
        <v>19</v>
      </c>
      <c r="H425" s="60" t="s">
        <v>242</v>
      </c>
      <c r="I425" s="60" t="s">
        <v>102</v>
      </c>
      <c r="J425" s="61"/>
      <c r="K425" s="61">
        <v>805.46</v>
      </c>
      <c r="L425" s="62"/>
      <c r="M425" s="63">
        <v>3099.9</v>
      </c>
      <c r="N425" s="17" t="str">
        <f t="shared" si="21"/>
        <v>6517 ASSOCIATED PKG/TN GALLATIN</v>
      </c>
      <c r="O425" s="17" t="str">
        <f t="shared" si="22"/>
        <v>745693 ASSOCIATED PKG FOR LPI</v>
      </c>
      <c r="P425" s="17" t="str">
        <f t="shared" si="20"/>
        <v>HP 100 CLR-72mm x 100m-24 rls/cs-S (207194)</v>
      </c>
    </row>
    <row r="426" spans="1:16" x14ac:dyDescent="0.25">
      <c r="A426" s="60" t="s">
        <v>647</v>
      </c>
      <c r="B426" s="60" t="s">
        <v>648</v>
      </c>
      <c r="C426" s="60" t="s">
        <v>238</v>
      </c>
      <c r="D426" s="60" t="s">
        <v>110</v>
      </c>
      <c r="E426" s="60" t="s">
        <v>630</v>
      </c>
      <c r="F426" s="60" t="s">
        <v>631</v>
      </c>
      <c r="G426" s="60" t="s">
        <v>18</v>
      </c>
      <c r="H426" s="60" t="s">
        <v>215</v>
      </c>
      <c r="I426" s="60" t="s">
        <v>50</v>
      </c>
      <c r="J426" s="61"/>
      <c r="K426" s="61">
        <v>887.44</v>
      </c>
      <c r="L426" s="65"/>
      <c r="M426" s="64">
        <v>3099.9</v>
      </c>
      <c r="N426" s="17" t="str">
        <f t="shared" si="21"/>
        <v>6517 ASSOCIATED PKG/TN GALLATIN</v>
      </c>
      <c r="O426" s="17" t="str">
        <f t="shared" si="22"/>
        <v>745693 ASSOCIATED PKG FOR LPI</v>
      </c>
      <c r="P426" s="17" t="str">
        <f t="shared" si="20"/>
        <v>HP 200 CLR-48mm x 100m-36 rls/cs-S (207149)</v>
      </c>
    </row>
    <row r="427" spans="1:16" x14ac:dyDescent="0.25">
      <c r="A427" s="60" t="s">
        <v>647</v>
      </c>
      <c r="B427" s="60" t="s">
        <v>648</v>
      </c>
      <c r="C427" s="60" t="s">
        <v>238</v>
      </c>
      <c r="D427" s="60" t="s">
        <v>110</v>
      </c>
      <c r="E427" s="60" t="s">
        <v>630</v>
      </c>
      <c r="F427" s="60" t="s">
        <v>631</v>
      </c>
      <c r="G427" s="60" t="s">
        <v>550</v>
      </c>
      <c r="H427" s="60" t="s">
        <v>888</v>
      </c>
      <c r="I427" s="60" t="s">
        <v>552</v>
      </c>
      <c r="J427" s="61"/>
      <c r="K427" s="61">
        <v>1368.58</v>
      </c>
      <c r="L427" s="65"/>
      <c r="M427" s="64">
        <v>1515.36</v>
      </c>
      <c r="N427" s="17" t="str">
        <f t="shared" si="21"/>
        <v>6517 ASSOCIATED PKG/TN GALLATIN</v>
      </c>
      <c r="O427" s="17" t="str">
        <f t="shared" si="22"/>
        <v>745693 ASSOCIATED PKG FOR LPI</v>
      </c>
      <c r="P427" s="17" t="str">
        <f t="shared" si="20"/>
        <v>PC 006 SIL-48mm x 55m-24 rls/cs-H/A (105449)</v>
      </c>
    </row>
    <row r="428" spans="1:16" x14ac:dyDescent="0.25">
      <c r="A428" s="60" t="s">
        <v>647</v>
      </c>
      <c r="B428" s="60" t="s">
        <v>648</v>
      </c>
      <c r="C428" s="60" t="s">
        <v>238</v>
      </c>
      <c r="D428" s="60" t="s">
        <v>110</v>
      </c>
      <c r="E428" s="60" t="s">
        <v>630</v>
      </c>
      <c r="F428" s="60" t="s">
        <v>631</v>
      </c>
      <c r="G428" s="60" t="s">
        <v>827</v>
      </c>
      <c r="H428" s="60" t="s">
        <v>828</v>
      </c>
      <c r="I428" s="60" t="s">
        <v>829</v>
      </c>
      <c r="J428" s="61"/>
      <c r="K428" s="61">
        <v>1026.43</v>
      </c>
      <c r="L428" s="65"/>
      <c r="M428" s="64">
        <v>1136.52</v>
      </c>
      <c r="N428" s="17" t="str">
        <f t="shared" si="21"/>
        <v>6517 ASSOCIATED PKG/TN GALLATIN</v>
      </c>
      <c r="O428" s="17" t="str">
        <f t="shared" si="22"/>
        <v>745693 ASSOCIATED PKG FOR LPI</v>
      </c>
      <c r="P428" s="17" t="str">
        <f t="shared" si="20"/>
        <v>PC 007 SIL-48mm x 55m-24 rls/cs-S (152300)</v>
      </c>
    </row>
    <row r="429" spans="1:16" x14ac:dyDescent="0.25">
      <c r="A429" s="60" t="s">
        <v>647</v>
      </c>
      <c r="B429" s="60" t="s">
        <v>648</v>
      </c>
      <c r="C429" s="60" t="s">
        <v>238</v>
      </c>
      <c r="D429" s="60" t="s">
        <v>110</v>
      </c>
      <c r="E429" s="60" t="s">
        <v>620</v>
      </c>
      <c r="F429" s="60" t="s">
        <v>553</v>
      </c>
      <c r="G429" s="60" t="s">
        <v>205</v>
      </c>
      <c r="H429" s="60" t="s">
        <v>231</v>
      </c>
      <c r="I429" s="60" t="s">
        <v>379</v>
      </c>
      <c r="J429" s="61">
        <v>63.36</v>
      </c>
      <c r="K429" s="61">
        <v>99.79</v>
      </c>
      <c r="L429" s="65">
        <v>0</v>
      </c>
      <c r="M429" s="64">
        <v>0</v>
      </c>
      <c r="N429" s="17" t="str">
        <f t="shared" si="21"/>
        <v>6517 ASSOCIATED PKG/TN GALLATIN</v>
      </c>
      <c r="O429" s="17" t="str">
        <f t="shared" si="22"/>
        <v>745806 ICONEX LLC</v>
      </c>
      <c r="P429" s="17" t="str">
        <f t="shared" si="20"/>
        <v>SD 935  PISTOL GRIP DISPNSR-3 IN. ROLL-S (909535)</v>
      </c>
    </row>
    <row r="430" spans="1:16" x14ac:dyDescent="0.25">
      <c r="A430" s="60" t="s">
        <v>647</v>
      </c>
      <c r="B430" s="60" t="s">
        <v>648</v>
      </c>
      <c r="C430" s="60" t="s">
        <v>238</v>
      </c>
      <c r="D430" s="60" t="s">
        <v>110</v>
      </c>
      <c r="E430" s="60" t="s">
        <v>1068</v>
      </c>
      <c r="F430" s="60" t="s">
        <v>1069</v>
      </c>
      <c r="G430" s="60" t="s">
        <v>1070</v>
      </c>
      <c r="H430" s="60" t="s">
        <v>1071</v>
      </c>
      <c r="I430" s="60" t="s">
        <v>1072</v>
      </c>
      <c r="J430" s="61">
        <v>1549.94</v>
      </c>
      <c r="K430" s="61"/>
      <c r="L430" s="65">
        <v>378.89299999999997</v>
      </c>
      <c r="M430" s="64"/>
      <c r="N430" s="17" t="str">
        <f t="shared" si="21"/>
        <v>6517 ASSOCIATED PKG/TN GALLATIN</v>
      </c>
      <c r="O430" s="17" t="str">
        <f t="shared" si="22"/>
        <v>746542 JCF HOUSEMENTS</v>
      </c>
      <c r="P430" s="17" t="str">
        <f t="shared" si="20"/>
        <v>AF 099 SIL-72mm x 55m-16 rls/cs-H/A (232623)</v>
      </c>
    </row>
    <row r="431" spans="1:16" x14ac:dyDescent="0.25">
      <c r="A431" s="60" t="s">
        <v>647</v>
      </c>
      <c r="B431" s="60" t="s">
        <v>648</v>
      </c>
      <c r="C431" s="60" t="s">
        <v>238</v>
      </c>
      <c r="D431" s="60" t="s">
        <v>110</v>
      </c>
      <c r="E431" s="60" t="s">
        <v>1068</v>
      </c>
      <c r="F431" s="60" t="s">
        <v>1069</v>
      </c>
      <c r="G431" s="60" t="s">
        <v>1073</v>
      </c>
      <c r="H431" s="60" t="s">
        <v>1074</v>
      </c>
      <c r="I431" s="60" t="s">
        <v>1075</v>
      </c>
      <c r="J431" s="61">
        <v>692.6</v>
      </c>
      <c r="K431" s="61"/>
      <c r="L431" s="62">
        <v>378.9</v>
      </c>
      <c r="M431" s="63"/>
      <c r="N431" s="17" t="str">
        <f t="shared" si="21"/>
        <v>6517 ASSOCIATED PKG/TN GALLATIN</v>
      </c>
      <c r="O431" s="17" t="str">
        <f t="shared" si="22"/>
        <v>746542 JCF HOUSEMENTS</v>
      </c>
      <c r="P431" s="17" t="str">
        <f t="shared" si="20"/>
        <v>CP 027 BLU-48mm x 55m-24 rls/cs-S (202880)</v>
      </c>
    </row>
    <row r="432" spans="1:16" x14ac:dyDescent="0.25">
      <c r="A432" s="60" t="s">
        <v>647</v>
      </c>
      <c r="B432" s="60" t="s">
        <v>648</v>
      </c>
      <c r="C432" s="60" t="s">
        <v>238</v>
      </c>
      <c r="D432" s="60" t="s">
        <v>110</v>
      </c>
      <c r="E432" s="60" t="s">
        <v>1068</v>
      </c>
      <c r="F432" s="60" t="s">
        <v>1069</v>
      </c>
      <c r="G432" s="60" t="s">
        <v>449</v>
      </c>
      <c r="H432" s="60" t="s">
        <v>1076</v>
      </c>
      <c r="I432" s="60" t="s">
        <v>1077</v>
      </c>
      <c r="J432" s="61">
        <v>488.27</v>
      </c>
      <c r="K432" s="61"/>
      <c r="L432" s="62">
        <v>378.9</v>
      </c>
      <c r="M432" s="64"/>
      <c r="N432" s="17" t="str">
        <f t="shared" si="21"/>
        <v>6517 ASSOCIATED PKG/TN GALLATIN</v>
      </c>
      <c r="O432" s="17" t="str">
        <f t="shared" si="22"/>
        <v>746542 JCF HOUSEMENTS</v>
      </c>
      <c r="P432" s="17" t="str">
        <f t="shared" si="20"/>
        <v>CP 066 NAT-48mm x 55m-24 rls/cs-S (132716)</v>
      </c>
    </row>
    <row r="433" spans="1:16" x14ac:dyDescent="0.25">
      <c r="A433" s="60" t="s">
        <v>647</v>
      </c>
      <c r="B433" s="60" t="s">
        <v>648</v>
      </c>
      <c r="C433" s="60" t="s">
        <v>238</v>
      </c>
      <c r="D433" s="60" t="s">
        <v>110</v>
      </c>
      <c r="E433" s="60" t="s">
        <v>1068</v>
      </c>
      <c r="F433" s="60" t="s">
        <v>1069</v>
      </c>
      <c r="G433" s="60" t="s">
        <v>23</v>
      </c>
      <c r="H433" s="60" t="s">
        <v>477</v>
      </c>
      <c r="I433" s="60" t="s">
        <v>478</v>
      </c>
      <c r="J433" s="61">
        <v>183.55</v>
      </c>
      <c r="K433" s="61"/>
      <c r="L433" s="62">
        <v>284.14999999999998</v>
      </c>
      <c r="M433" s="64"/>
      <c r="N433" s="17" t="str">
        <f t="shared" si="21"/>
        <v>6517 ASSOCIATED PKG/TN GALLATIN</v>
      </c>
      <c r="O433" s="17" t="str">
        <f t="shared" si="22"/>
        <v>746542 JCF HOUSEMENTS</v>
      </c>
      <c r="P433" s="17" t="str">
        <f t="shared" si="20"/>
        <v>CP 105 NAT-24mm x 55m- 36 rls/cs-S (140431)</v>
      </c>
    </row>
    <row r="434" spans="1:16" x14ac:dyDescent="0.25">
      <c r="A434" s="60" t="s">
        <v>647</v>
      </c>
      <c r="B434" s="60" t="s">
        <v>648</v>
      </c>
      <c r="C434" s="60" t="s">
        <v>238</v>
      </c>
      <c r="D434" s="60" t="s">
        <v>110</v>
      </c>
      <c r="E434" s="60" t="s">
        <v>1068</v>
      </c>
      <c r="F434" s="60" t="s">
        <v>1069</v>
      </c>
      <c r="G434" s="60" t="s">
        <v>550</v>
      </c>
      <c r="H434" s="60" t="s">
        <v>551</v>
      </c>
      <c r="I434" s="60" t="s">
        <v>899</v>
      </c>
      <c r="J434" s="61">
        <v>342.14</v>
      </c>
      <c r="K434" s="61"/>
      <c r="L434" s="62">
        <v>378.9</v>
      </c>
      <c r="M434" s="64"/>
      <c r="N434" s="17" t="str">
        <f t="shared" si="21"/>
        <v>6517 ASSOCIATED PKG/TN GALLATIN</v>
      </c>
      <c r="O434" s="17" t="str">
        <f t="shared" si="22"/>
        <v>746542 JCF HOUSEMENTS</v>
      </c>
      <c r="P434" s="17" t="str">
        <f t="shared" si="20"/>
        <v>PC 006 SIL-48mm x 55m-24 rls/cs-X (120954)</v>
      </c>
    </row>
    <row r="435" spans="1:16" x14ac:dyDescent="0.25">
      <c r="A435" s="60" t="s">
        <v>647</v>
      </c>
      <c r="B435" s="60" t="s">
        <v>648</v>
      </c>
      <c r="C435" s="60" t="s">
        <v>238</v>
      </c>
      <c r="D435" s="60" t="s">
        <v>110</v>
      </c>
      <c r="E435" s="60" t="s">
        <v>1068</v>
      </c>
      <c r="F435" s="60" t="s">
        <v>1069</v>
      </c>
      <c r="G435" s="60" t="s">
        <v>1078</v>
      </c>
      <c r="H435" s="60" t="s">
        <v>1079</v>
      </c>
      <c r="I435" s="60" t="s">
        <v>1080</v>
      </c>
      <c r="J435" s="61">
        <v>2970</v>
      </c>
      <c r="K435" s="61"/>
      <c r="L435" s="62">
        <v>222.2</v>
      </c>
      <c r="M435" s="64"/>
      <c r="N435" s="17" t="str">
        <f t="shared" si="21"/>
        <v>6517 ASSOCIATED PKG/TN GALLATIN</v>
      </c>
      <c r="O435" s="17" t="str">
        <f t="shared" si="22"/>
        <v>746542 JCF HOUSEMENTS</v>
      </c>
      <c r="P435" s="17" t="str">
        <f t="shared" si="20"/>
        <v>SF 686 SPT- 3IN X 100FT- 16 RLS/CS-H/A (111163)</v>
      </c>
    </row>
    <row r="436" spans="1:16" x14ac:dyDescent="0.25">
      <c r="A436" s="60" t="s">
        <v>647</v>
      </c>
      <c r="B436" s="60" t="s">
        <v>648</v>
      </c>
      <c r="C436" s="60" t="s">
        <v>238</v>
      </c>
      <c r="D436" s="60" t="s">
        <v>110</v>
      </c>
      <c r="E436" s="60" t="s">
        <v>1068</v>
      </c>
      <c r="F436" s="60" t="s">
        <v>1069</v>
      </c>
      <c r="G436" s="60" t="s">
        <v>1078</v>
      </c>
      <c r="H436" s="60" t="s">
        <v>1081</v>
      </c>
      <c r="I436" s="60" t="s">
        <v>1082</v>
      </c>
      <c r="J436" s="61">
        <v>2970.01</v>
      </c>
      <c r="K436" s="61"/>
      <c r="L436" s="62">
        <v>222.2</v>
      </c>
      <c r="M436" s="64"/>
      <c r="N436" s="17" t="str">
        <f t="shared" si="21"/>
        <v>6517 ASSOCIATED PKG/TN GALLATIN</v>
      </c>
      <c r="O436" s="17" t="str">
        <f t="shared" si="22"/>
        <v>746542 JCF HOUSEMENTS</v>
      </c>
      <c r="P436" s="17" t="str">
        <f t="shared" si="20"/>
        <v>SF 686 SPT- 2IN X 100FT- 24 RLS/CS-H/A (183431)</v>
      </c>
    </row>
    <row r="437" spans="1:16" x14ac:dyDescent="0.25">
      <c r="A437" s="60" t="s">
        <v>647</v>
      </c>
      <c r="B437" s="60" t="s">
        <v>648</v>
      </c>
      <c r="C437" s="60" t="s">
        <v>238</v>
      </c>
      <c r="D437" s="60" t="s">
        <v>110</v>
      </c>
      <c r="E437" s="60" t="s">
        <v>830</v>
      </c>
      <c r="F437" s="60" t="s">
        <v>831</v>
      </c>
      <c r="G437" s="60" t="s">
        <v>56</v>
      </c>
      <c r="H437" s="60" t="s">
        <v>444</v>
      </c>
      <c r="I437" s="60" t="s">
        <v>859</v>
      </c>
      <c r="J437" s="61"/>
      <c r="K437" s="61">
        <v>3290.28</v>
      </c>
      <c r="L437" s="62"/>
      <c r="M437" s="64">
        <v>15111.647999999999</v>
      </c>
      <c r="N437" s="17" t="str">
        <f t="shared" si="21"/>
        <v>6517 ASSOCIATED PKG/TN GALLATIN</v>
      </c>
      <c r="O437" s="17" t="str">
        <f t="shared" si="22"/>
        <v>746691 GREEN VALLEY POULTRY FARM</v>
      </c>
      <c r="P437" s="17" t="str">
        <f t="shared" si="20"/>
        <v>AP 101 CLR-48mm x 914m-6 rls/cs-S (230960)</v>
      </c>
    </row>
    <row r="438" spans="1:16" x14ac:dyDescent="0.25">
      <c r="A438" s="60" t="s">
        <v>647</v>
      </c>
      <c r="B438" s="60" t="s">
        <v>648</v>
      </c>
      <c r="C438" s="60" t="s">
        <v>238</v>
      </c>
      <c r="D438" s="60" t="s">
        <v>110</v>
      </c>
      <c r="E438" s="60" t="s">
        <v>830</v>
      </c>
      <c r="F438" s="60" t="s">
        <v>831</v>
      </c>
      <c r="G438" s="60" t="s">
        <v>55</v>
      </c>
      <c r="H438" s="60" t="s">
        <v>805</v>
      </c>
      <c r="I438" s="60" t="s">
        <v>806</v>
      </c>
      <c r="J438" s="61"/>
      <c r="K438" s="61">
        <v>11079.76</v>
      </c>
      <c r="L438" s="65"/>
      <c r="M438" s="64">
        <v>30223.295999999998</v>
      </c>
      <c r="N438" s="17" t="str">
        <f t="shared" si="21"/>
        <v>6517 ASSOCIATED PKG/TN GALLATIN</v>
      </c>
      <c r="O438" s="17" t="str">
        <f t="shared" si="22"/>
        <v>746691 GREEN VALLEY POULTRY FARM</v>
      </c>
      <c r="P438" s="17" t="str">
        <f t="shared" si="20"/>
        <v>AP 201 BLU 48mm x 914m-6 rls/cs-H/A (105301)</v>
      </c>
    </row>
    <row r="439" spans="1:16" x14ac:dyDescent="0.25">
      <c r="A439" s="60" t="s">
        <v>647</v>
      </c>
      <c r="B439" s="60" t="s">
        <v>648</v>
      </c>
      <c r="C439" s="60" t="s">
        <v>238</v>
      </c>
      <c r="D439" s="60" t="s">
        <v>110</v>
      </c>
      <c r="E439" s="60" t="s">
        <v>830</v>
      </c>
      <c r="F439" s="60" t="s">
        <v>831</v>
      </c>
      <c r="G439" s="60" t="s">
        <v>59</v>
      </c>
      <c r="H439" s="60" t="s">
        <v>1083</v>
      </c>
      <c r="I439" s="60" t="s">
        <v>1084</v>
      </c>
      <c r="J439" s="61"/>
      <c r="K439" s="61">
        <v>764.12</v>
      </c>
      <c r="L439" s="62"/>
      <c r="M439" s="64">
        <v>681.96</v>
      </c>
      <c r="N439" s="17" t="str">
        <f t="shared" si="21"/>
        <v>6517 ASSOCIATED PKG/TN GALLATIN</v>
      </c>
      <c r="O439" s="17" t="str">
        <f t="shared" si="22"/>
        <v>746691 GREEN VALLEY POULTRY FARM</v>
      </c>
      <c r="P439" s="17" t="str">
        <f t="shared" si="20"/>
        <v>GS 490 CLR-18mm x 55m-48 rls/cs-H/A (101229)</v>
      </c>
    </row>
    <row r="440" spans="1:16" x14ac:dyDescent="0.25">
      <c r="A440" s="60" t="s">
        <v>647</v>
      </c>
      <c r="B440" s="60" t="s">
        <v>648</v>
      </c>
      <c r="C440" s="60" t="s">
        <v>238</v>
      </c>
      <c r="D440" s="60" t="s">
        <v>110</v>
      </c>
      <c r="E440" s="60" t="s">
        <v>652</v>
      </c>
      <c r="F440" s="60" t="s">
        <v>653</v>
      </c>
      <c r="G440" s="60" t="s">
        <v>56</v>
      </c>
      <c r="H440" s="60" t="s">
        <v>444</v>
      </c>
      <c r="I440" s="60" t="s">
        <v>859</v>
      </c>
      <c r="J440" s="61">
        <v>3133.47</v>
      </c>
      <c r="K440" s="61"/>
      <c r="L440" s="62">
        <v>15111.647999999999</v>
      </c>
      <c r="M440" s="64"/>
      <c r="N440" s="17" t="str">
        <f t="shared" si="21"/>
        <v>6517 ASSOCIATED PKG/TN GALLATIN</v>
      </c>
      <c r="O440" s="17" t="str">
        <f t="shared" si="22"/>
        <v>746695 DUTT &amp; WAGNER</v>
      </c>
      <c r="P440" s="17" t="str">
        <f t="shared" si="20"/>
        <v>AP 101 CLR-48mm x 914m-6 rls/cs-S (230960)</v>
      </c>
    </row>
    <row r="441" spans="1:16" x14ac:dyDescent="0.25">
      <c r="A441" s="60" t="s">
        <v>647</v>
      </c>
      <c r="B441" s="60" t="s">
        <v>648</v>
      </c>
      <c r="C441" s="60" t="s">
        <v>238</v>
      </c>
      <c r="D441" s="60" t="s">
        <v>110</v>
      </c>
      <c r="E441" s="60" t="s">
        <v>652</v>
      </c>
      <c r="F441" s="60" t="s">
        <v>653</v>
      </c>
      <c r="G441" s="60" t="s">
        <v>55</v>
      </c>
      <c r="H441" s="60" t="s">
        <v>654</v>
      </c>
      <c r="I441" s="60" t="s">
        <v>655</v>
      </c>
      <c r="J441" s="61">
        <v>6409.5</v>
      </c>
      <c r="K441" s="61"/>
      <c r="L441" s="62">
        <v>15111.647999999999</v>
      </c>
      <c r="M441" s="63"/>
      <c r="N441" s="17" t="str">
        <f t="shared" si="21"/>
        <v>6517 ASSOCIATED PKG/TN GALLATIN</v>
      </c>
      <c r="O441" s="17" t="str">
        <f t="shared" si="22"/>
        <v>746695 DUTT &amp; WAGNER</v>
      </c>
      <c r="P441" s="17" t="str">
        <f t="shared" si="20"/>
        <v>AP 201 RED 48mm x 914m-6 rls/cs-H/A (105304)</v>
      </c>
    </row>
    <row r="442" spans="1:16" x14ac:dyDescent="0.25">
      <c r="A442" s="60" t="s">
        <v>647</v>
      </c>
      <c r="B442" s="60" t="s">
        <v>648</v>
      </c>
      <c r="C442" s="60" t="s">
        <v>238</v>
      </c>
      <c r="D442" s="60" t="s">
        <v>110</v>
      </c>
      <c r="E442" s="60" t="s">
        <v>656</v>
      </c>
      <c r="F442" s="60" t="s">
        <v>657</v>
      </c>
      <c r="G442" s="60" t="s">
        <v>56</v>
      </c>
      <c r="H442" s="60" t="s">
        <v>444</v>
      </c>
      <c r="I442" s="60" t="s">
        <v>859</v>
      </c>
      <c r="J442" s="61">
        <v>3133.47</v>
      </c>
      <c r="K442" s="61"/>
      <c r="L442" s="62">
        <v>15111.647999999999</v>
      </c>
      <c r="M442" s="63"/>
      <c r="N442" s="17" t="str">
        <f t="shared" si="21"/>
        <v>6517 ASSOCIATED PKG/TN GALLATIN</v>
      </c>
      <c r="O442" s="17" t="str">
        <f t="shared" si="22"/>
        <v>746714 DUTT &amp; WAGNER OF NC INC</v>
      </c>
      <c r="P442" s="17" t="str">
        <f t="shared" si="20"/>
        <v>AP 101 CLR-48mm x 914m-6 rls/cs-S (230960)</v>
      </c>
    </row>
    <row r="443" spans="1:16" x14ac:dyDescent="0.25">
      <c r="A443" s="60" t="s">
        <v>647</v>
      </c>
      <c r="B443" s="60" t="s">
        <v>648</v>
      </c>
      <c r="C443" s="60" t="s">
        <v>238</v>
      </c>
      <c r="D443" s="60" t="s">
        <v>110</v>
      </c>
      <c r="E443" s="60" t="s">
        <v>656</v>
      </c>
      <c r="F443" s="60" t="s">
        <v>657</v>
      </c>
      <c r="G443" s="60" t="s">
        <v>55</v>
      </c>
      <c r="H443" s="60" t="s">
        <v>805</v>
      </c>
      <c r="I443" s="60" t="s">
        <v>806</v>
      </c>
      <c r="J443" s="61">
        <v>879.12</v>
      </c>
      <c r="K443" s="61"/>
      <c r="L443" s="62">
        <v>2518.6080000000002</v>
      </c>
      <c r="M443" s="64"/>
      <c r="N443" s="17" t="str">
        <f t="shared" si="21"/>
        <v>6517 ASSOCIATED PKG/TN GALLATIN</v>
      </c>
      <c r="O443" s="17" t="str">
        <f t="shared" si="22"/>
        <v>746714 DUTT &amp; WAGNER OF NC INC</v>
      </c>
      <c r="P443" s="17" t="str">
        <f t="shared" si="20"/>
        <v>AP 201 BLU 48mm x 914m-6 rls/cs-H/A (105301)</v>
      </c>
    </row>
    <row r="444" spans="1:16" x14ac:dyDescent="0.25">
      <c r="A444" s="60" t="s">
        <v>647</v>
      </c>
      <c r="B444" s="60" t="s">
        <v>648</v>
      </c>
      <c r="C444" s="60" t="s">
        <v>238</v>
      </c>
      <c r="D444" s="60" t="s">
        <v>110</v>
      </c>
      <c r="E444" s="60" t="s">
        <v>658</v>
      </c>
      <c r="F444" s="60" t="s">
        <v>659</v>
      </c>
      <c r="G444" s="60" t="s">
        <v>58</v>
      </c>
      <c r="H444" s="60" t="s">
        <v>236</v>
      </c>
      <c r="I444" s="60" t="s">
        <v>129</v>
      </c>
      <c r="J444" s="61">
        <v>1909.36</v>
      </c>
      <c r="K444" s="61">
        <v>615.38</v>
      </c>
      <c r="L444" s="65">
        <v>2686.71</v>
      </c>
      <c r="M444" s="64">
        <v>826.68</v>
      </c>
      <c r="N444" s="17" t="str">
        <f t="shared" si="21"/>
        <v>6517 ASSOCIATED PKG/TN GALLATIN</v>
      </c>
      <c r="O444" s="17" t="str">
        <f t="shared" si="22"/>
        <v>746719 FLEETLINE PRODUCTS</v>
      </c>
      <c r="P444" s="17" t="str">
        <f t="shared" si="20"/>
        <v>HP 400 CLR-72mm x 100m-24 rls/cs-H/A (207845)</v>
      </c>
    </row>
    <row r="445" spans="1:16" x14ac:dyDescent="0.25">
      <c r="A445" s="60" t="s">
        <v>647</v>
      </c>
      <c r="B445" s="60" t="s">
        <v>648</v>
      </c>
      <c r="C445" s="60" t="s">
        <v>238</v>
      </c>
      <c r="D445" s="60" t="s">
        <v>110</v>
      </c>
      <c r="E445" s="60" t="s">
        <v>658</v>
      </c>
      <c r="F445" s="60" t="s">
        <v>659</v>
      </c>
      <c r="G445" s="60" t="s">
        <v>58</v>
      </c>
      <c r="H445" s="60" t="s">
        <v>262</v>
      </c>
      <c r="I445" s="60" t="s">
        <v>92</v>
      </c>
      <c r="J445" s="61">
        <v>1921.95</v>
      </c>
      <c r="K445" s="61">
        <v>193.56</v>
      </c>
      <c r="L445" s="62">
        <v>3148.2</v>
      </c>
      <c r="M445" s="63">
        <v>314.82499999999999</v>
      </c>
      <c r="N445" s="17" t="str">
        <f t="shared" si="21"/>
        <v>6517 ASSOCIATED PKG/TN GALLATIN</v>
      </c>
      <c r="O445" s="17" t="str">
        <f t="shared" si="22"/>
        <v>746719 FLEETLINE PRODUCTS</v>
      </c>
      <c r="P445" s="17" t="str">
        <f t="shared" si="20"/>
        <v>HP 400 CLR-72mm x 914m-4 rls/cs-H/A (208558)</v>
      </c>
    </row>
    <row r="446" spans="1:16" x14ac:dyDescent="0.25">
      <c r="A446" s="60" t="s">
        <v>647</v>
      </c>
      <c r="B446" s="60" t="s">
        <v>648</v>
      </c>
      <c r="C446" s="60" t="s">
        <v>238</v>
      </c>
      <c r="D446" s="60" t="s">
        <v>110</v>
      </c>
      <c r="E446" s="60" t="s">
        <v>1688</v>
      </c>
      <c r="F446" s="60" t="s">
        <v>1689</v>
      </c>
      <c r="G446" s="60" t="s">
        <v>18</v>
      </c>
      <c r="H446" s="60" t="s">
        <v>216</v>
      </c>
      <c r="I446" s="60" t="s">
        <v>91</v>
      </c>
      <c r="J446" s="61">
        <v>5613.3</v>
      </c>
      <c r="K446" s="61"/>
      <c r="L446" s="62">
        <v>22667.4</v>
      </c>
      <c r="M446" s="64"/>
      <c r="N446" s="17" t="str">
        <f t="shared" si="21"/>
        <v>6517 ASSOCIATED PKG/TN GALLATIN</v>
      </c>
      <c r="O446" s="17" t="str">
        <f t="shared" si="22"/>
        <v>747014 NASHVILLE RECORD PRESSING</v>
      </c>
      <c r="P446" s="17" t="str">
        <f t="shared" si="20"/>
        <v>HP 200 CLR-48mm x 1828m-6 rls/cs-S (100404)</v>
      </c>
    </row>
    <row r="447" spans="1:16" x14ac:dyDescent="0.25">
      <c r="A447" s="60" t="s">
        <v>647</v>
      </c>
      <c r="B447" s="60" t="s">
        <v>648</v>
      </c>
      <c r="C447" s="60" t="s">
        <v>238</v>
      </c>
      <c r="D447" s="60" t="s">
        <v>110</v>
      </c>
      <c r="E447" s="60" t="s">
        <v>1419</v>
      </c>
      <c r="F447" s="60" t="s">
        <v>1420</v>
      </c>
      <c r="G447" s="60" t="s">
        <v>979</v>
      </c>
      <c r="H447" s="60" t="s">
        <v>980</v>
      </c>
      <c r="I447" s="60" t="s">
        <v>981</v>
      </c>
      <c r="J447" s="61">
        <v>163.94</v>
      </c>
      <c r="K447" s="61"/>
      <c r="L447" s="65">
        <v>63.378</v>
      </c>
      <c r="M447" s="64"/>
      <c r="N447" s="17" t="str">
        <f t="shared" si="21"/>
        <v>6517 ASSOCIATED PKG/TN GALLATIN</v>
      </c>
      <c r="O447" s="17" t="str">
        <f t="shared" si="22"/>
        <v>747214 HIGHLY MARELLI USA INC</v>
      </c>
      <c r="P447" s="17" t="str">
        <f t="shared" si="20"/>
        <v>AF 975 SIL-48mm x 46m-24 rls/cs-S (232032)</v>
      </c>
    </row>
    <row r="448" spans="1:16" x14ac:dyDescent="0.25">
      <c r="A448" s="60" t="s">
        <v>647</v>
      </c>
      <c r="B448" s="60" t="s">
        <v>648</v>
      </c>
      <c r="C448" s="60" t="s">
        <v>238</v>
      </c>
      <c r="D448" s="60" t="s">
        <v>110</v>
      </c>
      <c r="E448" s="60" t="s">
        <v>1421</v>
      </c>
      <c r="F448" s="60" t="s">
        <v>1422</v>
      </c>
      <c r="G448" s="60" t="s">
        <v>54</v>
      </c>
      <c r="H448" s="60" t="s">
        <v>240</v>
      </c>
      <c r="I448" s="60" t="s">
        <v>111</v>
      </c>
      <c r="J448" s="61">
        <v>10355.56</v>
      </c>
      <c r="K448" s="61"/>
      <c r="L448" s="62">
        <v>10240</v>
      </c>
      <c r="M448" s="63"/>
      <c r="N448" s="17" t="str">
        <f t="shared" si="21"/>
        <v>6517 ASSOCIATED PKG/TN GALLATIN</v>
      </c>
      <c r="O448" s="17" t="str">
        <f t="shared" si="22"/>
        <v>747350 ASSOCIATED FOR JOHNS MANVILLE</v>
      </c>
      <c r="P448" s="17" t="str">
        <f t="shared" si="20"/>
        <v>CP 66L NAT-4in x 240yd-3 rls/cs-H (209420)</v>
      </c>
    </row>
    <row r="449" spans="1:16" x14ac:dyDescent="0.25">
      <c r="A449" s="60" t="s">
        <v>647</v>
      </c>
      <c r="B449" s="60" t="s">
        <v>648</v>
      </c>
      <c r="C449" s="60" t="s">
        <v>238</v>
      </c>
      <c r="D449" s="60" t="s">
        <v>110</v>
      </c>
      <c r="E449" s="60" t="s">
        <v>1421</v>
      </c>
      <c r="F449" s="60" t="s">
        <v>1422</v>
      </c>
      <c r="G449" s="60" t="s">
        <v>18</v>
      </c>
      <c r="H449" s="60" t="s">
        <v>219</v>
      </c>
      <c r="I449" s="60" t="s">
        <v>60</v>
      </c>
      <c r="J449" s="61">
        <v>791.68</v>
      </c>
      <c r="K449" s="61"/>
      <c r="L449" s="65">
        <v>2893.24</v>
      </c>
      <c r="M449" s="64"/>
      <c r="N449" s="17" t="str">
        <f t="shared" si="21"/>
        <v>6517 ASSOCIATED PKG/TN GALLATIN</v>
      </c>
      <c r="O449" s="17" t="str">
        <f t="shared" si="22"/>
        <v>747350 ASSOCIATED FOR JOHNS MANVILLE</v>
      </c>
      <c r="P449" s="17" t="str">
        <f t="shared" si="20"/>
        <v>HP 200 CLR-72mm x 100m-24 rls/cs-S (207233)</v>
      </c>
    </row>
    <row r="450" spans="1:16" x14ac:dyDescent="0.25">
      <c r="A450" s="60" t="s">
        <v>647</v>
      </c>
      <c r="B450" s="60" t="s">
        <v>648</v>
      </c>
      <c r="C450" s="60" t="s">
        <v>238</v>
      </c>
      <c r="D450" s="60" t="s">
        <v>110</v>
      </c>
      <c r="E450" s="60" t="s">
        <v>1423</v>
      </c>
      <c r="F450" s="60" t="s">
        <v>1424</v>
      </c>
      <c r="G450" s="60" t="s">
        <v>58</v>
      </c>
      <c r="H450" s="60" t="s">
        <v>1111</v>
      </c>
      <c r="I450" s="60" t="s">
        <v>1112</v>
      </c>
      <c r="J450" s="61">
        <v>84.47</v>
      </c>
      <c r="K450" s="61"/>
      <c r="L450" s="65">
        <v>103.33</v>
      </c>
      <c r="M450" s="64"/>
      <c r="N450" s="17" t="str">
        <f t="shared" si="21"/>
        <v>6517 ASSOCIATED PKG/TN GALLATIN</v>
      </c>
      <c r="O450" s="17" t="str">
        <f t="shared" si="22"/>
        <v>747420 ARTAZN</v>
      </c>
      <c r="P450" s="17" t="str">
        <f t="shared" si="20"/>
        <v>HP 400 CLR-48mm x 50m-36 rls/cs-H (207853)</v>
      </c>
    </row>
    <row r="451" spans="1:16" x14ac:dyDescent="0.25">
      <c r="A451" s="60" t="s">
        <v>647</v>
      </c>
      <c r="B451" s="60" t="s">
        <v>648</v>
      </c>
      <c r="C451" s="60" t="s">
        <v>238</v>
      </c>
      <c r="D451" s="60" t="s">
        <v>110</v>
      </c>
      <c r="E451" s="60" t="s">
        <v>1425</v>
      </c>
      <c r="F451" s="60" t="s">
        <v>1426</v>
      </c>
      <c r="G451" s="60" t="s">
        <v>23</v>
      </c>
      <c r="H451" s="60" t="s">
        <v>477</v>
      </c>
      <c r="I451" s="60" t="s">
        <v>478</v>
      </c>
      <c r="J451" s="61">
        <v>39.200000000000003</v>
      </c>
      <c r="K451" s="61"/>
      <c r="L451" s="62">
        <v>56.83</v>
      </c>
      <c r="M451" s="64"/>
      <c r="N451" s="17" t="str">
        <f t="shared" si="21"/>
        <v>6517 ASSOCIATED PKG/TN GALLATIN</v>
      </c>
      <c r="O451" s="17" t="str">
        <f t="shared" si="22"/>
        <v>747474 SAMUELS METAL PROCESSING</v>
      </c>
      <c r="P451" s="17" t="str">
        <f t="shared" si="20"/>
        <v>CP 105 NAT-24mm x 55m- 36 rls/cs-S (140431)</v>
      </c>
    </row>
    <row r="452" spans="1:16" x14ac:dyDescent="0.25">
      <c r="A452" s="60" t="s">
        <v>647</v>
      </c>
      <c r="B452" s="60" t="s">
        <v>648</v>
      </c>
      <c r="C452" s="60" t="s">
        <v>238</v>
      </c>
      <c r="D452" s="60" t="s">
        <v>110</v>
      </c>
      <c r="E452" s="60" t="s">
        <v>1085</v>
      </c>
      <c r="F452" s="60" t="s">
        <v>1086</v>
      </c>
      <c r="G452" s="60" t="s">
        <v>344</v>
      </c>
      <c r="H452" s="60" t="s">
        <v>345</v>
      </c>
      <c r="I452" s="60" t="s">
        <v>389</v>
      </c>
      <c r="J452" s="61"/>
      <c r="K452" s="61">
        <v>77.930000000000007</v>
      </c>
      <c r="L452" s="65"/>
      <c r="M452" s="64">
        <v>0</v>
      </c>
      <c r="N452" s="17" t="str">
        <f t="shared" si="21"/>
        <v>6517 ASSOCIATED PKG/TN GALLATIN</v>
      </c>
      <c r="O452" s="17" t="str">
        <f t="shared" si="22"/>
        <v>747799 GENESCO FAYETTEVILLE</v>
      </c>
      <c r="P452" s="17" t="str">
        <f t="shared" ref="P452:P515" si="23">I452&amp;" ("&amp;H452&amp;")"</f>
        <v>SD 932  PISTOL GRIP TAPE DISP. ECONOMY-S (900617)</v>
      </c>
    </row>
    <row r="453" spans="1:16" x14ac:dyDescent="0.25">
      <c r="A453" s="60" t="s">
        <v>647</v>
      </c>
      <c r="B453" s="60" t="s">
        <v>648</v>
      </c>
      <c r="C453" s="60" t="s">
        <v>238</v>
      </c>
      <c r="D453" s="60" t="s">
        <v>110</v>
      </c>
      <c r="E453" s="60" t="s">
        <v>1087</v>
      </c>
      <c r="F453" s="60" t="s">
        <v>1020</v>
      </c>
      <c r="G453" s="60" t="s">
        <v>55</v>
      </c>
      <c r="H453" s="60" t="s">
        <v>977</v>
      </c>
      <c r="I453" s="60" t="s">
        <v>978</v>
      </c>
      <c r="J453" s="61"/>
      <c r="K453" s="61">
        <v>68.069999999999993</v>
      </c>
      <c r="L453" s="62"/>
      <c r="M453" s="63">
        <v>206.64</v>
      </c>
      <c r="N453" s="17" t="str">
        <f t="shared" si="21"/>
        <v>6517 ASSOCIATED PKG/TN GALLATIN</v>
      </c>
      <c r="O453" s="17" t="str">
        <f t="shared" si="22"/>
        <v>749826 THE ROBINETTE COMPANY</v>
      </c>
      <c r="P453" s="17" t="str">
        <f t="shared" si="23"/>
        <v>AP 201 RED 48mm x 100m-36 rls/cs-H/A (105302)</v>
      </c>
    </row>
    <row r="454" spans="1:16" x14ac:dyDescent="0.25">
      <c r="A454" s="60" t="s">
        <v>647</v>
      </c>
      <c r="B454" s="60" t="s">
        <v>648</v>
      </c>
      <c r="C454" s="60" t="s">
        <v>238</v>
      </c>
      <c r="D454" s="60" t="s">
        <v>110</v>
      </c>
      <c r="E454" s="60" t="s">
        <v>865</v>
      </c>
      <c r="F454" s="60" t="s">
        <v>891</v>
      </c>
      <c r="G454" s="60" t="s">
        <v>205</v>
      </c>
      <c r="H454" s="60" t="s">
        <v>231</v>
      </c>
      <c r="I454" s="60" t="s">
        <v>379</v>
      </c>
      <c r="J454" s="61"/>
      <c r="K454" s="61">
        <v>79.83</v>
      </c>
      <c r="L454" s="62"/>
      <c r="M454" s="64">
        <v>0</v>
      </c>
      <c r="N454" s="17" t="str">
        <f t="shared" si="21"/>
        <v>6517 ASSOCIATED PKG/TN GALLATIN</v>
      </c>
      <c r="O454" s="17" t="str">
        <f t="shared" si="22"/>
        <v>749909 CARDINAL CG - ABINGDON</v>
      </c>
      <c r="P454" s="17" t="str">
        <f t="shared" si="23"/>
        <v>SD 935  PISTOL GRIP DISPNSR-3 IN. ROLL-S (909535)</v>
      </c>
    </row>
    <row r="455" spans="1:16" x14ac:dyDescent="0.25">
      <c r="A455" s="60" t="s">
        <v>647</v>
      </c>
      <c r="B455" s="60" t="s">
        <v>648</v>
      </c>
      <c r="C455" s="60" t="s">
        <v>238</v>
      </c>
      <c r="D455" s="60" t="s">
        <v>110</v>
      </c>
      <c r="E455" s="60" t="s">
        <v>1427</v>
      </c>
      <c r="F455" s="60" t="s">
        <v>1428</v>
      </c>
      <c r="G455" s="60" t="s">
        <v>18</v>
      </c>
      <c r="H455" s="60" t="s">
        <v>499</v>
      </c>
      <c r="I455" s="60" t="s">
        <v>500</v>
      </c>
      <c r="J455" s="61"/>
      <c r="K455" s="61">
        <v>298.19</v>
      </c>
      <c r="L455" s="62"/>
      <c r="M455" s="64">
        <v>1033.3</v>
      </c>
      <c r="N455" s="17" t="str">
        <f t="shared" si="21"/>
        <v>6517 ASSOCIATED PKG/TN GALLATIN</v>
      </c>
      <c r="O455" s="17" t="str">
        <f t="shared" si="22"/>
        <v>751561 EBM-PAPST INC</v>
      </c>
      <c r="P455" s="17" t="str">
        <f t="shared" si="23"/>
        <v>HP 200 TAN-72mm x 100m-24 rls/cs-H/A (207239)</v>
      </c>
    </row>
    <row r="456" spans="1:16" x14ac:dyDescent="0.25">
      <c r="A456" s="60" t="s">
        <v>647</v>
      </c>
      <c r="B456" s="60" t="s">
        <v>648</v>
      </c>
      <c r="C456" s="60" t="s">
        <v>238</v>
      </c>
      <c r="D456" s="60" t="s">
        <v>110</v>
      </c>
      <c r="E456" s="60" t="s">
        <v>1429</v>
      </c>
      <c r="F456" s="60" t="s">
        <v>1430</v>
      </c>
      <c r="G456" s="60" t="s">
        <v>1431</v>
      </c>
      <c r="H456" s="60" t="s">
        <v>1432</v>
      </c>
      <c r="I456" s="60" t="s">
        <v>1685</v>
      </c>
      <c r="J456" s="61"/>
      <c r="K456" s="61">
        <v>2566.08</v>
      </c>
      <c r="L456" s="65"/>
      <c r="M456" s="64">
        <v>12399.84</v>
      </c>
      <c r="N456" s="17" t="str">
        <f t="shared" si="21"/>
        <v>6517 ASSOCIATED PKG/TN GALLATIN</v>
      </c>
      <c r="O456" s="17" t="str">
        <f t="shared" si="22"/>
        <v>751675 WHITMAN PUBLISHING</v>
      </c>
      <c r="P456" s="17" t="str">
        <f t="shared" si="23"/>
        <v>HM 016 CLR-72mm x 100m-24 rls/cs-S (104618)</v>
      </c>
    </row>
    <row r="457" spans="1:16" x14ac:dyDescent="0.25">
      <c r="A457" s="60" t="s">
        <v>647</v>
      </c>
      <c r="B457" s="60" t="s">
        <v>648</v>
      </c>
      <c r="C457" s="60" t="s">
        <v>238</v>
      </c>
      <c r="D457" s="60" t="s">
        <v>110</v>
      </c>
      <c r="E457" s="60" t="s">
        <v>1433</v>
      </c>
      <c r="F457" s="60" t="s">
        <v>1434</v>
      </c>
      <c r="G457" s="60" t="s">
        <v>61</v>
      </c>
      <c r="H457" s="60" t="s">
        <v>951</v>
      </c>
      <c r="I457" s="60" t="s">
        <v>952</v>
      </c>
      <c r="J457" s="61"/>
      <c r="K457" s="61">
        <v>347.61</v>
      </c>
      <c r="L457" s="65"/>
      <c r="M457" s="64">
        <v>314.82</v>
      </c>
      <c r="N457" s="17" t="str">
        <f t="shared" ref="N457:N520" si="24">C457&amp;" "&amp;D457</f>
        <v>6517 ASSOCIATED PKG/TN GALLATIN</v>
      </c>
      <c r="O457" s="17" t="str">
        <f t="shared" ref="O457:O520" si="25">E457&amp;" "&amp;F457</f>
        <v>751790 CORECHEM</v>
      </c>
      <c r="P457" s="17" t="str">
        <f t="shared" si="23"/>
        <v>HP 500 CLR-48mm x 914m-6 rls/cs-H (208561)</v>
      </c>
    </row>
    <row r="458" spans="1:16" x14ac:dyDescent="0.25">
      <c r="A458" s="60" t="s">
        <v>267</v>
      </c>
      <c r="B458" s="60" t="s">
        <v>99</v>
      </c>
      <c r="C458" s="60" t="s">
        <v>268</v>
      </c>
      <c r="D458" s="60" t="s">
        <v>100</v>
      </c>
      <c r="E458" s="60" t="s">
        <v>268</v>
      </c>
      <c r="F458" s="60" t="s">
        <v>100</v>
      </c>
      <c r="G458" s="60" t="s">
        <v>63</v>
      </c>
      <c r="H458" s="60" t="s">
        <v>224</v>
      </c>
      <c r="I458" s="60" t="s">
        <v>64</v>
      </c>
      <c r="J458" s="61">
        <v>3496.29</v>
      </c>
      <c r="K458" s="61">
        <v>1486.18</v>
      </c>
      <c r="L458" s="65">
        <v>14464.8</v>
      </c>
      <c r="M458" s="64">
        <v>6199.2</v>
      </c>
      <c r="N458" s="17" t="str">
        <f t="shared" si="24"/>
        <v>24667 ASSOCIATED PKG/CA SANTA FE SPRINGS</v>
      </c>
      <c r="O458" s="17" t="str">
        <f t="shared" si="25"/>
        <v>24667 ASSOCIATED PKG/CA SANTA FE SPRINGS</v>
      </c>
      <c r="P458" s="17" t="str">
        <f t="shared" si="23"/>
        <v>AP 180 CLR-48mm x 100m-36 rls/cs-H/A (231044)</v>
      </c>
    </row>
    <row r="459" spans="1:16" x14ac:dyDescent="0.25">
      <c r="A459" s="60" t="s">
        <v>267</v>
      </c>
      <c r="B459" s="60" t="s">
        <v>99</v>
      </c>
      <c r="C459" s="60" t="s">
        <v>268</v>
      </c>
      <c r="D459" s="60" t="s">
        <v>100</v>
      </c>
      <c r="E459" s="60" t="s">
        <v>268</v>
      </c>
      <c r="F459" s="60" t="s">
        <v>100</v>
      </c>
      <c r="G459" s="60" t="s">
        <v>20</v>
      </c>
      <c r="H459" s="60" t="s">
        <v>1435</v>
      </c>
      <c r="I459" s="60" t="s">
        <v>1436</v>
      </c>
      <c r="J459" s="61"/>
      <c r="K459" s="61">
        <v>213.84</v>
      </c>
      <c r="L459" s="62"/>
      <c r="M459" s="63">
        <v>284.14999999999998</v>
      </c>
      <c r="N459" s="17" t="str">
        <f t="shared" si="24"/>
        <v>24667 ASSOCIATED PKG/CA SANTA FE SPRINGS</v>
      </c>
      <c r="O459" s="17" t="str">
        <f t="shared" si="25"/>
        <v>24667 ASSOCIATED PKG/CA SANTA FE SPRINGS</v>
      </c>
      <c r="P459" s="17" t="str">
        <f t="shared" si="23"/>
        <v>CP 083 NAT-24mm x 55m-36 rls/cs-S (100530)</v>
      </c>
    </row>
    <row r="460" spans="1:16" x14ac:dyDescent="0.25">
      <c r="A460" s="60" t="s">
        <v>267</v>
      </c>
      <c r="B460" s="60" t="s">
        <v>99</v>
      </c>
      <c r="C460" s="60" t="s">
        <v>268</v>
      </c>
      <c r="D460" s="60" t="s">
        <v>100</v>
      </c>
      <c r="E460" s="60" t="s">
        <v>268</v>
      </c>
      <c r="F460" s="60" t="s">
        <v>100</v>
      </c>
      <c r="G460" s="60" t="s">
        <v>88</v>
      </c>
      <c r="H460" s="60" t="s">
        <v>412</v>
      </c>
      <c r="I460" s="60" t="s">
        <v>413</v>
      </c>
      <c r="J460" s="61">
        <v>592.34</v>
      </c>
      <c r="K460" s="61">
        <v>421.98</v>
      </c>
      <c r="L460" s="62">
        <v>340.98</v>
      </c>
      <c r="M460" s="63">
        <v>227.32</v>
      </c>
      <c r="N460" s="17" t="str">
        <f t="shared" si="24"/>
        <v>24667 ASSOCIATED PKG/CA SANTA FE SPRINGS</v>
      </c>
      <c r="O460" s="17" t="str">
        <f t="shared" si="25"/>
        <v>24667 ASSOCIATED PKG/CA SANTA FE SPRINGS</v>
      </c>
      <c r="P460" s="17" t="str">
        <f t="shared" si="23"/>
        <v>CP 450 NAT-24mm x 55m-36 rls/cs-H (182140)</v>
      </c>
    </row>
    <row r="461" spans="1:16" x14ac:dyDescent="0.25">
      <c r="A461" s="60" t="s">
        <v>267</v>
      </c>
      <c r="B461" s="60" t="s">
        <v>99</v>
      </c>
      <c r="C461" s="60" t="s">
        <v>268</v>
      </c>
      <c r="D461" s="60" t="s">
        <v>100</v>
      </c>
      <c r="E461" s="60" t="s">
        <v>268</v>
      </c>
      <c r="F461" s="60" t="s">
        <v>100</v>
      </c>
      <c r="G461" s="60" t="s">
        <v>1091</v>
      </c>
      <c r="H461" s="60" t="s">
        <v>1092</v>
      </c>
      <c r="I461" s="60" t="s">
        <v>1093</v>
      </c>
      <c r="J461" s="61"/>
      <c r="K461" s="61">
        <v>1120.52</v>
      </c>
      <c r="L461" s="62"/>
      <c r="M461" s="63">
        <v>204.6</v>
      </c>
      <c r="N461" s="17" t="str">
        <f t="shared" si="24"/>
        <v>24667 ASSOCIATED PKG/CA SANTA FE SPRINGS</v>
      </c>
      <c r="O461" s="17" t="str">
        <f t="shared" si="25"/>
        <v>24667 ASSOCIATED PKG/CA SANTA FE SPRINGS</v>
      </c>
      <c r="P461" s="17" t="str">
        <f t="shared" si="23"/>
        <v>GG 200 NAT-24mm x 33m-36 rls/cs-H (204458)</v>
      </c>
    </row>
    <row r="462" spans="1:16" x14ac:dyDescent="0.25">
      <c r="A462" s="60" t="s">
        <v>267</v>
      </c>
      <c r="B462" s="60" t="s">
        <v>99</v>
      </c>
      <c r="C462" s="60" t="s">
        <v>268</v>
      </c>
      <c r="D462" s="60" t="s">
        <v>100</v>
      </c>
      <c r="E462" s="60" t="s">
        <v>268</v>
      </c>
      <c r="F462" s="60" t="s">
        <v>100</v>
      </c>
      <c r="G462" s="60" t="s">
        <v>1091</v>
      </c>
      <c r="H462" s="60" t="s">
        <v>1094</v>
      </c>
      <c r="I462" s="60" t="s">
        <v>1095</v>
      </c>
      <c r="J462" s="61"/>
      <c r="K462" s="61">
        <v>3309.77</v>
      </c>
      <c r="L462" s="62"/>
      <c r="M462" s="63">
        <v>636.58000000000004</v>
      </c>
      <c r="N462" s="17" t="str">
        <f t="shared" si="24"/>
        <v>24667 ASSOCIATED PKG/CA SANTA FE SPRINGS</v>
      </c>
      <c r="O462" s="17" t="str">
        <f t="shared" si="25"/>
        <v>24667 ASSOCIATED PKG/CA SANTA FE SPRINGS</v>
      </c>
      <c r="P462" s="17" t="str">
        <f t="shared" si="23"/>
        <v>GG 200 NAT-48mm x 33m-24 rls/cs-H (204459)</v>
      </c>
    </row>
    <row r="463" spans="1:16" x14ac:dyDescent="0.25">
      <c r="A463" s="60" t="s">
        <v>267</v>
      </c>
      <c r="B463" s="60" t="s">
        <v>99</v>
      </c>
      <c r="C463" s="60" t="s">
        <v>268</v>
      </c>
      <c r="D463" s="60" t="s">
        <v>100</v>
      </c>
      <c r="E463" s="60" t="s">
        <v>268</v>
      </c>
      <c r="F463" s="60" t="s">
        <v>100</v>
      </c>
      <c r="G463" s="60" t="s">
        <v>18</v>
      </c>
      <c r="H463" s="60" t="s">
        <v>212</v>
      </c>
      <c r="I463" s="60" t="s">
        <v>86</v>
      </c>
      <c r="J463" s="61">
        <v>871.4</v>
      </c>
      <c r="K463" s="61"/>
      <c r="L463" s="65">
        <v>3148.2</v>
      </c>
      <c r="M463" s="64"/>
      <c r="N463" s="17" t="str">
        <f t="shared" si="24"/>
        <v>24667 ASSOCIATED PKG/CA SANTA FE SPRINGS</v>
      </c>
      <c r="O463" s="17" t="str">
        <f t="shared" si="25"/>
        <v>24667 ASSOCIATED PKG/CA SANTA FE SPRINGS</v>
      </c>
      <c r="P463" s="17" t="str">
        <f t="shared" si="23"/>
        <v>HP 200 CLR-48mm x 914m-6 rls/cs-S (208492)</v>
      </c>
    </row>
    <row r="464" spans="1:16" x14ac:dyDescent="0.25">
      <c r="A464" s="60" t="s">
        <v>267</v>
      </c>
      <c r="B464" s="60" t="s">
        <v>99</v>
      </c>
      <c r="C464" s="60" t="s">
        <v>268</v>
      </c>
      <c r="D464" s="60" t="s">
        <v>100</v>
      </c>
      <c r="E464" s="60" t="s">
        <v>268</v>
      </c>
      <c r="F464" s="60" t="s">
        <v>100</v>
      </c>
      <c r="G464" s="60" t="s">
        <v>79</v>
      </c>
      <c r="H464" s="60" t="s">
        <v>220</v>
      </c>
      <c r="I464" s="60" t="s">
        <v>90</v>
      </c>
      <c r="J464" s="61"/>
      <c r="K464" s="61">
        <v>11231.83</v>
      </c>
      <c r="L464" s="62"/>
      <c r="M464" s="64">
        <v>30222.720000000001</v>
      </c>
      <c r="N464" s="17" t="str">
        <f t="shared" si="24"/>
        <v>24667 ASSOCIATED PKG/CA SANTA FE SPRINGS</v>
      </c>
      <c r="O464" s="17" t="str">
        <f t="shared" si="25"/>
        <v>24667 ASSOCIATED PKG/CA SANTA FE SPRINGS</v>
      </c>
      <c r="P464" s="17" t="str">
        <f t="shared" si="23"/>
        <v>HP 232 CLR-72mm x 914m-4 rls/cs-H/A (100053)</v>
      </c>
    </row>
    <row r="465" spans="1:16" x14ac:dyDescent="0.25">
      <c r="A465" s="60" t="s">
        <v>267</v>
      </c>
      <c r="B465" s="60" t="s">
        <v>99</v>
      </c>
      <c r="C465" s="60" t="s">
        <v>268</v>
      </c>
      <c r="D465" s="60" t="s">
        <v>100</v>
      </c>
      <c r="E465" s="60" t="s">
        <v>1088</v>
      </c>
      <c r="F465" s="60" t="s">
        <v>1089</v>
      </c>
      <c r="G465" s="60" t="s">
        <v>19</v>
      </c>
      <c r="H465" s="60" t="s">
        <v>243</v>
      </c>
      <c r="I465" s="60" t="s">
        <v>87</v>
      </c>
      <c r="J465" s="61">
        <v>3735.07</v>
      </c>
      <c r="K465" s="61">
        <v>3726.52</v>
      </c>
      <c r="L465" s="62">
        <v>15111.36</v>
      </c>
      <c r="M465" s="64">
        <v>15111.36</v>
      </c>
      <c r="N465" s="17" t="str">
        <f t="shared" si="24"/>
        <v>24667 ASSOCIATED PKG/CA SANTA FE SPRINGS</v>
      </c>
      <c r="O465" s="17" t="str">
        <f t="shared" si="25"/>
        <v>35302 HONEYVILLE GRAIN INC</v>
      </c>
      <c r="P465" s="17" t="str">
        <f t="shared" si="23"/>
        <v>HP 100 CLR-48mm x 914m-6 rls/cs-S (208453)</v>
      </c>
    </row>
    <row r="466" spans="1:16" x14ac:dyDescent="0.25">
      <c r="A466" s="60" t="s">
        <v>267</v>
      </c>
      <c r="B466" s="60" t="s">
        <v>99</v>
      </c>
      <c r="C466" s="60" t="s">
        <v>268</v>
      </c>
      <c r="D466" s="60" t="s">
        <v>100</v>
      </c>
      <c r="E466" s="60" t="s">
        <v>1090</v>
      </c>
      <c r="F466" s="60" t="s">
        <v>329</v>
      </c>
      <c r="G466" s="60" t="s">
        <v>19</v>
      </c>
      <c r="H466" s="60" t="s">
        <v>222</v>
      </c>
      <c r="I466" s="60" t="s">
        <v>104</v>
      </c>
      <c r="J466" s="61">
        <v>12950.15</v>
      </c>
      <c r="K466" s="61">
        <v>13600.22</v>
      </c>
      <c r="L466" s="65">
        <v>54766.656000000003</v>
      </c>
      <c r="M466" s="64">
        <v>54766.656000000003</v>
      </c>
      <c r="N466" s="17" t="str">
        <f t="shared" si="24"/>
        <v>24667 ASSOCIATED PKG/CA SANTA FE SPRINGS</v>
      </c>
      <c r="O466" s="17" t="str">
        <f t="shared" si="25"/>
        <v>45197 PHARMAVITE</v>
      </c>
      <c r="P466" s="17" t="str">
        <f t="shared" si="23"/>
        <v>HP 100 CLR-53mm x 1500m-6 rls/cs-S (195553)</v>
      </c>
    </row>
    <row r="467" spans="1:16" x14ac:dyDescent="0.25">
      <c r="A467" s="60" t="s">
        <v>267</v>
      </c>
      <c r="B467" s="60" t="s">
        <v>99</v>
      </c>
      <c r="C467" s="60" t="s">
        <v>268</v>
      </c>
      <c r="D467" s="60" t="s">
        <v>100</v>
      </c>
      <c r="E467" s="60" t="s">
        <v>1437</v>
      </c>
      <c r="F467" s="60" t="s">
        <v>1438</v>
      </c>
      <c r="G467" s="60" t="s">
        <v>63</v>
      </c>
      <c r="H467" s="60" t="s">
        <v>1194</v>
      </c>
      <c r="I467" s="60" t="s">
        <v>1195</v>
      </c>
      <c r="J467" s="61">
        <v>10914.39</v>
      </c>
      <c r="K467" s="61">
        <v>11461.82</v>
      </c>
      <c r="L467" s="62">
        <v>30221.867999999999</v>
      </c>
      <c r="M467" s="63">
        <v>30221.867999999999</v>
      </c>
      <c r="N467" s="17" t="str">
        <f t="shared" si="24"/>
        <v>24667 ASSOCIATED PKG/CA SANTA FE SPRINGS</v>
      </c>
      <c r="O467" s="17" t="str">
        <f t="shared" si="25"/>
        <v>704928 FRESH LEAF FARMS LLC</v>
      </c>
      <c r="P467" s="17" t="str">
        <f t="shared" si="23"/>
        <v>AP 180 CLR-48mm x 914m-6 rls/cs-H/A (231046)</v>
      </c>
    </row>
    <row r="468" spans="1:16" x14ac:dyDescent="0.25">
      <c r="A468" s="60" t="s">
        <v>267</v>
      </c>
      <c r="B468" s="60" t="s">
        <v>99</v>
      </c>
      <c r="C468" s="60" t="s">
        <v>268</v>
      </c>
      <c r="D468" s="60" t="s">
        <v>100</v>
      </c>
      <c r="E468" s="60" t="s">
        <v>271</v>
      </c>
      <c r="F468" s="60" t="s">
        <v>807</v>
      </c>
      <c r="G468" s="60" t="s">
        <v>20</v>
      </c>
      <c r="H468" s="60" t="s">
        <v>270</v>
      </c>
      <c r="I468" s="60" t="s">
        <v>101</v>
      </c>
      <c r="J468" s="61">
        <v>997.92</v>
      </c>
      <c r="K468" s="61"/>
      <c r="L468" s="62">
        <v>1515.6</v>
      </c>
      <c r="M468" s="64"/>
      <c r="N468" s="17" t="str">
        <f t="shared" si="24"/>
        <v>24667 ASSOCIATED PKG/CA SANTA FE SPRINGS</v>
      </c>
      <c r="O468" s="17" t="str">
        <f t="shared" si="25"/>
        <v>708617 ASSOCIATED PACKAGING - CA SANTA FE</v>
      </c>
      <c r="P468" s="17" t="str">
        <f t="shared" si="23"/>
        <v>CP 083 NAT-48mm x 55m-24 rls/cs-S (101536)</v>
      </c>
    </row>
    <row r="469" spans="1:16" x14ac:dyDescent="0.25">
      <c r="A469" s="60" t="s">
        <v>267</v>
      </c>
      <c r="B469" s="60" t="s">
        <v>99</v>
      </c>
      <c r="C469" s="60" t="s">
        <v>268</v>
      </c>
      <c r="D469" s="60" t="s">
        <v>100</v>
      </c>
      <c r="E469" s="60" t="s">
        <v>271</v>
      </c>
      <c r="F469" s="60" t="s">
        <v>807</v>
      </c>
      <c r="G469" s="60" t="s">
        <v>88</v>
      </c>
      <c r="H469" s="60" t="s">
        <v>412</v>
      </c>
      <c r="I469" s="60" t="s">
        <v>413</v>
      </c>
      <c r="J469" s="61">
        <v>296.17</v>
      </c>
      <c r="K469" s="61"/>
      <c r="L469" s="65">
        <v>170.49</v>
      </c>
      <c r="M469" s="64"/>
      <c r="N469" s="17" t="str">
        <f t="shared" si="24"/>
        <v>24667 ASSOCIATED PKG/CA SANTA FE SPRINGS</v>
      </c>
      <c r="O469" s="17" t="str">
        <f t="shared" si="25"/>
        <v>708617 ASSOCIATED PACKAGING - CA SANTA FE</v>
      </c>
      <c r="P469" s="17" t="str">
        <f t="shared" si="23"/>
        <v>CP 450 NAT-24mm x 55m-36 rls/cs-H (182140)</v>
      </c>
    </row>
    <row r="470" spans="1:16" x14ac:dyDescent="0.25">
      <c r="A470" s="60" t="s">
        <v>267</v>
      </c>
      <c r="B470" s="60" t="s">
        <v>99</v>
      </c>
      <c r="C470" s="60" t="s">
        <v>268</v>
      </c>
      <c r="D470" s="60" t="s">
        <v>100</v>
      </c>
      <c r="E470" s="60" t="s">
        <v>271</v>
      </c>
      <c r="F470" s="60" t="s">
        <v>807</v>
      </c>
      <c r="G470" s="60" t="s">
        <v>1091</v>
      </c>
      <c r="H470" s="60" t="s">
        <v>1092</v>
      </c>
      <c r="I470" s="60" t="s">
        <v>1093</v>
      </c>
      <c r="J470" s="61">
        <v>746.66</v>
      </c>
      <c r="K470" s="61"/>
      <c r="L470" s="62">
        <v>170.5</v>
      </c>
      <c r="M470" s="63"/>
      <c r="N470" s="17" t="str">
        <f t="shared" si="24"/>
        <v>24667 ASSOCIATED PKG/CA SANTA FE SPRINGS</v>
      </c>
      <c r="O470" s="17" t="str">
        <f t="shared" si="25"/>
        <v>708617 ASSOCIATED PACKAGING - CA SANTA FE</v>
      </c>
      <c r="P470" s="17" t="str">
        <f t="shared" si="23"/>
        <v>GG 200 NAT-24mm x 33m-36 rls/cs-H (204458)</v>
      </c>
    </row>
    <row r="471" spans="1:16" x14ac:dyDescent="0.25">
      <c r="A471" s="60" t="s">
        <v>267</v>
      </c>
      <c r="B471" s="60" t="s">
        <v>99</v>
      </c>
      <c r="C471" s="60" t="s">
        <v>268</v>
      </c>
      <c r="D471" s="60" t="s">
        <v>100</v>
      </c>
      <c r="E471" s="60" t="s">
        <v>271</v>
      </c>
      <c r="F471" s="60" t="s">
        <v>807</v>
      </c>
      <c r="G471" s="60" t="s">
        <v>1091</v>
      </c>
      <c r="H471" s="60" t="s">
        <v>1094</v>
      </c>
      <c r="I471" s="60" t="s">
        <v>1095</v>
      </c>
      <c r="J471" s="61">
        <v>1513.04</v>
      </c>
      <c r="K471" s="61"/>
      <c r="L471" s="65">
        <v>363.76</v>
      </c>
      <c r="M471" s="64"/>
      <c r="N471" s="17" t="str">
        <f t="shared" si="24"/>
        <v>24667 ASSOCIATED PKG/CA SANTA FE SPRINGS</v>
      </c>
      <c r="O471" s="17" t="str">
        <f t="shared" si="25"/>
        <v>708617 ASSOCIATED PACKAGING - CA SANTA FE</v>
      </c>
      <c r="P471" s="17" t="str">
        <f t="shared" si="23"/>
        <v>GG 200 NAT-48mm x 33m-24 rls/cs-H (204459)</v>
      </c>
    </row>
    <row r="472" spans="1:16" x14ac:dyDescent="0.25">
      <c r="A472" s="60" t="s">
        <v>267</v>
      </c>
      <c r="B472" s="60" t="s">
        <v>99</v>
      </c>
      <c r="C472" s="60" t="s">
        <v>268</v>
      </c>
      <c r="D472" s="60" t="s">
        <v>100</v>
      </c>
      <c r="E472" s="60" t="s">
        <v>271</v>
      </c>
      <c r="F472" s="60" t="s">
        <v>807</v>
      </c>
      <c r="G472" s="60" t="s">
        <v>18</v>
      </c>
      <c r="H472" s="60" t="s">
        <v>215</v>
      </c>
      <c r="I472" s="60" t="s">
        <v>50</v>
      </c>
      <c r="J472" s="61">
        <v>2534</v>
      </c>
      <c r="K472" s="61"/>
      <c r="L472" s="62">
        <v>9299.7000000000007</v>
      </c>
      <c r="M472" s="63"/>
      <c r="N472" s="17" t="str">
        <f t="shared" si="24"/>
        <v>24667 ASSOCIATED PKG/CA SANTA FE SPRINGS</v>
      </c>
      <c r="O472" s="17" t="str">
        <f t="shared" si="25"/>
        <v>708617 ASSOCIATED PACKAGING - CA SANTA FE</v>
      </c>
      <c r="P472" s="17" t="str">
        <f t="shared" si="23"/>
        <v>HP 200 CLR-48mm x 100m-36 rls/cs-S (207149)</v>
      </c>
    </row>
    <row r="473" spans="1:16" x14ac:dyDescent="0.25">
      <c r="A473" s="60" t="s">
        <v>267</v>
      </c>
      <c r="B473" s="60" t="s">
        <v>99</v>
      </c>
      <c r="C473" s="60" t="s">
        <v>268</v>
      </c>
      <c r="D473" s="60" t="s">
        <v>100</v>
      </c>
      <c r="E473" s="60" t="s">
        <v>271</v>
      </c>
      <c r="F473" s="60" t="s">
        <v>807</v>
      </c>
      <c r="G473" s="60" t="s">
        <v>79</v>
      </c>
      <c r="H473" s="60" t="s">
        <v>247</v>
      </c>
      <c r="I473" s="60" t="s">
        <v>80</v>
      </c>
      <c r="J473" s="61">
        <v>1140.48</v>
      </c>
      <c r="K473" s="61"/>
      <c r="L473" s="65">
        <v>3148.2</v>
      </c>
      <c r="M473" s="64"/>
      <c r="N473" s="17" t="str">
        <f t="shared" si="24"/>
        <v>24667 ASSOCIATED PKG/CA SANTA FE SPRINGS</v>
      </c>
      <c r="O473" s="17" t="str">
        <f t="shared" si="25"/>
        <v>708617 ASSOCIATED PACKAGING - CA SANTA FE</v>
      </c>
      <c r="P473" s="17" t="str">
        <f t="shared" si="23"/>
        <v>HP 232 CLR-48mm x 914m-6 rls/cs-H/A (100962)</v>
      </c>
    </row>
    <row r="474" spans="1:16" x14ac:dyDescent="0.25">
      <c r="A474" s="60" t="s">
        <v>267</v>
      </c>
      <c r="B474" s="60" t="s">
        <v>99</v>
      </c>
      <c r="C474" s="60" t="s">
        <v>268</v>
      </c>
      <c r="D474" s="60" t="s">
        <v>100</v>
      </c>
      <c r="E474" s="60" t="s">
        <v>589</v>
      </c>
      <c r="F474" s="60" t="s">
        <v>590</v>
      </c>
      <c r="G474" s="60" t="s">
        <v>62</v>
      </c>
      <c r="H474" s="60" t="s">
        <v>591</v>
      </c>
      <c r="I474" s="60" t="s">
        <v>592</v>
      </c>
      <c r="J474" s="61">
        <v>1592.21</v>
      </c>
      <c r="K474" s="61"/>
      <c r="L474" s="65">
        <v>3476.4</v>
      </c>
      <c r="M474" s="64"/>
      <c r="N474" s="17" t="str">
        <f t="shared" si="24"/>
        <v>24667 ASSOCIATED PKG/CA SANTA FE SPRINGS</v>
      </c>
      <c r="O474" s="17" t="str">
        <f t="shared" si="25"/>
        <v>708643 GMP LABORATORIES OF AMERICA INC</v>
      </c>
      <c r="P474" s="17" t="str">
        <f t="shared" si="23"/>
        <v>HP 300 CLR-53mm x 914m-6 rls/cs-H (182564)</v>
      </c>
    </row>
    <row r="475" spans="1:16" x14ac:dyDescent="0.25">
      <c r="A475" s="60" t="s">
        <v>267</v>
      </c>
      <c r="B475" s="60" t="s">
        <v>99</v>
      </c>
      <c r="C475" s="60" t="s">
        <v>268</v>
      </c>
      <c r="D475" s="60" t="s">
        <v>100</v>
      </c>
      <c r="E475" s="60" t="s">
        <v>418</v>
      </c>
      <c r="F475" s="60" t="s">
        <v>419</v>
      </c>
      <c r="G475" s="60" t="s">
        <v>38</v>
      </c>
      <c r="H475" s="60" t="s">
        <v>710</v>
      </c>
      <c r="I475" s="60" t="s">
        <v>711</v>
      </c>
      <c r="J475" s="61">
        <v>182.48</v>
      </c>
      <c r="K475" s="61">
        <v>416.28</v>
      </c>
      <c r="L475" s="62">
        <v>113.664</v>
      </c>
      <c r="M475" s="63">
        <v>227.328</v>
      </c>
      <c r="N475" s="17" t="str">
        <f t="shared" si="24"/>
        <v>24667 ASSOCIATED PKG/CA SANTA FE SPRINGS</v>
      </c>
      <c r="O475" s="17" t="str">
        <f t="shared" si="25"/>
        <v>718340 AMERICAN WOODMARK</v>
      </c>
      <c r="P475" s="17" t="str">
        <f t="shared" si="23"/>
        <v>CP 631 GRN-18mm x 55m-48 rls/cs-H (132981)</v>
      </c>
    </row>
    <row r="476" spans="1:16" x14ac:dyDescent="0.25">
      <c r="A476" s="60" t="s">
        <v>267</v>
      </c>
      <c r="B476" s="60" t="s">
        <v>99</v>
      </c>
      <c r="C476" s="60" t="s">
        <v>268</v>
      </c>
      <c r="D476" s="60" t="s">
        <v>100</v>
      </c>
      <c r="E476" s="60" t="s">
        <v>418</v>
      </c>
      <c r="F476" s="60" t="s">
        <v>419</v>
      </c>
      <c r="G476" s="60" t="s">
        <v>38</v>
      </c>
      <c r="H476" s="60" t="s">
        <v>260</v>
      </c>
      <c r="I476" s="60" t="s">
        <v>51</v>
      </c>
      <c r="J476" s="61">
        <v>182.48</v>
      </c>
      <c r="K476" s="61">
        <v>624.41999999999996</v>
      </c>
      <c r="L476" s="62">
        <v>113.664</v>
      </c>
      <c r="M476" s="63">
        <v>340.99200000000002</v>
      </c>
      <c r="N476" s="17" t="str">
        <f t="shared" si="24"/>
        <v>24667 ASSOCIATED PKG/CA SANTA FE SPRINGS</v>
      </c>
      <c r="O476" s="17" t="str">
        <f t="shared" si="25"/>
        <v>718340 AMERICAN WOODMARK</v>
      </c>
      <c r="P476" s="17" t="str">
        <f t="shared" si="23"/>
        <v>CP 631 RED-18mm x 55m-48 rls/cs-H (178949)</v>
      </c>
    </row>
    <row r="477" spans="1:16" x14ac:dyDescent="0.25">
      <c r="A477" s="60" t="s">
        <v>267</v>
      </c>
      <c r="B477" s="60" t="s">
        <v>99</v>
      </c>
      <c r="C477" s="60" t="s">
        <v>268</v>
      </c>
      <c r="D477" s="60" t="s">
        <v>100</v>
      </c>
      <c r="E477" s="60" t="s">
        <v>892</v>
      </c>
      <c r="F477" s="60" t="s">
        <v>893</v>
      </c>
      <c r="G477" s="60" t="s">
        <v>55</v>
      </c>
      <c r="H477" s="60" t="s">
        <v>229</v>
      </c>
      <c r="I477" s="60" t="s">
        <v>96</v>
      </c>
      <c r="J477" s="61"/>
      <c r="K477" s="61">
        <v>3560.44</v>
      </c>
      <c r="L477" s="62"/>
      <c r="M477" s="63">
        <v>9444.7800000000007</v>
      </c>
      <c r="N477" s="17" t="str">
        <f t="shared" si="24"/>
        <v>24667 ASSOCIATED PKG/CA SANTA FE SPRINGS</v>
      </c>
      <c r="O477" s="17" t="str">
        <f t="shared" si="25"/>
        <v>723310 ESSENTIALS</v>
      </c>
      <c r="P477" s="17" t="str">
        <f t="shared" si="23"/>
        <v>AP 201 CLR-48mm x 914m-6 rls/cs-H/A (230964)</v>
      </c>
    </row>
    <row r="478" spans="1:16" x14ac:dyDescent="0.25">
      <c r="A478" s="60" t="s">
        <v>267</v>
      </c>
      <c r="B478" s="60" t="s">
        <v>99</v>
      </c>
      <c r="C478" s="60" t="s">
        <v>268</v>
      </c>
      <c r="D478" s="60" t="s">
        <v>100</v>
      </c>
      <c r="E478" s="60" t="s">
        <v>1439</v>
      </c>
      <c r="F478" s="60" t="s">
        <v>1440</v>
      </c>
      <c r="G478" s="60" t="s">
        <v>63</v>
      </c>
      <c r="H478" s="60" t="s">
        <v>224</v>
      </c>
      <c r="I478" s="60" t="s">
        <v>64</v>
      </c>
      <c r="J478" s="61">
        <v>2972.38</v>
      </c>
      <c r="K478" s="61">
        <v>1486.19</v>
      </c>
      <c r="L478" s="65">
        <v>12398.4</v>
      </c>
      <c r="M478" s="64">
        <v>6199.2</v>
      </c>
      <c r="N478" s="17" t="str">
        <f t="shared" si="24"/>
        <v>24667 ASSOCIATED PKG/CA SANTA FE SPRINGS</v>
      </c>
      <c r="O478" s="17" t="str">
        <f t="shared" si="25"/>
        <v>732142 ONEILL RBW LOGISTICS</v>
      </c>
      <c r="P478" s="17" t="str">
        <f t="shared" si="23"/>
        <v>AP 180 CLR-48mm x 100m-36 rls/cs-H/A (231044)</v>
      </c>
    </row>
    <row r="479" spans="1:16" x14ac:dyDescent="0.25">
      <c r="A479" s="60" t="s">
        <v>267</v>
      </c>
      <c r="B479" s="60" t="s">
        <v>99</v>
      </c>
      <c r="C479" s="60" t="s">
        <v>268</v>
      </c>
      <c r="D479" s="60" t="s">
        <v>100</v>
      </c>
      <c r="E479" s="60" t="s">
        <v>479</v>
      </c>
      <c r="F479" s="60" t="s">
        <v>349</v>
      </c>
      <c r="G479" s="60" t="s">
        <v>18</v>
      </c>
      <c r="H479" s="60" t="s">
        <v>219</v>
      </c>
      <c r="I479" s="60" t="s">
        <v>60</v>
      </c>
      <c r="J479" s="61">
        <v>10634.97</v>
      </c>
      <c r="K479" s="61">
        <v>5730.91</v>
      </c>
      <c r="L479" s="62">
        <v>49598.400000000001</v>
      </c>
      <c r="M479" s="63">
        <v>24799.200000000001</v>
      </c>
      <c r="N479" s="17" t="str">
        <f t="shared" si="24"/>
        <v>24667 ASSOCIATED PKG/CA SANTA FE SPRINGS</v>
      </c>
      <c r="O479" s="17" t="str">
        <f t="shared" si="25"/>
        <v>733192 MS INTERNATIONAL</v>
      </c>
      <c r="P479" s="17" t="str">
        <f t="shared" si="23"/>
        <v>HP 200 CLR-72mm x 100m-24 rls/cs-S (207233)</v>
      </c>
    </row>
    <row r="480" spans="1:16" x14ac:dyDescent="0.25">
      <c r="A480" s="60" t="s">
        <v>267</v>
      </c>
      <c r="B480" s="60" t="s">
        <v>99</v>
      </c>
      <c r="C480" s="60" t="s">
        <v>268</v>
      </c>
      <c r="D480" s="60" t="s">
        <v>100</v>
      </c>
      <c r="E480" s="60" t="s">
        <v>597</v>
      </c>
      <c r="F480" s="60" t="s">
        <v>598</v>
      </c>
      <c r="G480" s="60" t="s">
        <v>19</v>
      </c>
      <c r="H480" s="60" t="s">
        <v>248</v>
      </c>
      <c r="I480" s="60" t="s">
        <v>103</v>
      </c>
      <c r="J480" s="61">
        <v>4358.0600000000004</v>
      </c>
      <c r="K480" s="61">
        <v>4805.7</v>
      </c>
      <c r="L480" s="62">
        <v>17000.28</v>
      </c>
      <c r="M480" s="63">
        <v>17000.28</v>
      </c>
      <c r="N480" s="17" t="str">
        <f t="shared" si="24"/>
        <v>24667 ASSOCIATED PKG/CA SANTA FE SPRINGS</v>
      </c>
      <c r="O480" s="17" t="str">
        <f t="shared" si="25"/>
        <v>733377 ESSENDANT</v>
      </c>
      <c r="P480" s="17" t="str">
        <f t="shared" si="23"/>
        <v>HP 100 CLR-72mm x 1371m-4 rls/cs-H/T (208761)</v>
      </c>
    </row>
    <row r="481" spans="1:16" x14ac:dyDescent="0.25">
      <c r="A481" s="60" t="s">
        <v>267</v>
      </c>
      <c r="B481" s="60" t="s">
        <v>99</v>
      </c>
      <c r="C481" s="60" t="s">
        <v>268</v>
      </c>
      <c r="D481" s="60" t="s">
        <v>100</v>
      </c>
      <c r="E481" s="60" t="s">
        <v>272</v>
      </c>
      <c r="F481" s="60" t="s">
        <v>159</v>
      </c>
      <c r="G481" s="60" t="s">
        <v>63</v>
      </c>
      <c r="H481" s="60" t="s">
        <v>224</v>
      </c>
      <c r="I481" s="60" t="s">
        <v>64</v>
      </c>
      <c r="J481" s="61">
        <v>1057.08</v>
      </c>
      <c r="K481" s="61">
        <v>681.44</v>
      </c>
      <c r="L481" s="62">
        <v>4339.4399999999996</v>
      </c>
      <c r="M481" s="63">
        <v>2686.32</v>
      </c>
      <c r="N481" s="17" t="str">
        <f t="shared" si="24"/>
        <v>24667 ASSOCIATED PKG/CA SANTA FE SPRINGS</v>
      </c>
      <c r="O481" s="17" t="str">
        <f t="shared" si="25"/>
        <v>734762 THE COMPLETE LOGISTICS CO</v>
      </c>
      <c r="P481" s="17" t="str">
        <f t="shared" si="23"/>
        <v>AP 180 CLR-48mm x 100m-36 rls/cs-H/A (231044)</v>
      </c>
    </row>
    <row r="482" spans="1:16" x14ac:dyDescent="0.25">
      <c r="A482" s="60" t="s">
        <v>267</v>
      </c>
      <c r="B482" s="60" t="s">
        <v>99</v>
      </c>
      <c r="C482" s="60" t="s">
        <v>268</v>
      </c>
      <c r="D482" s="60" t="s">
        <v>100</v>
      </c>
      <c r="E482" s="60" t="s">
        <v>272</v>
      </c>
      <c r="F482" s="60" t="s">
        <v>159</v>
      </c>
      <c r="G482" s="60" t="s">
        <v>63</v>
      </c>
      <c r="H482" s="60" t="s">
        <v>269</v>
      </c>
      <c r="I482" s="60" t="s">
        <v>74</v>
      </c>
      <c r="J482" s="61">
        <v>315.06</v>
      </c>
      <c r="K482" s="61"/>
      <c r="L482" s="62">
        <v>1240.0129999999999</v>
      </c>
      <c r="M482" s="63"/>
      <c r="N482" s="17" t="str">
        <f t="shared" si="24"/>
        <v>24667 ASSOCIATED PKG/CA SANTA FE SPRINGS</v>
      </c>
      <c r="O482" s="17" t="str">
        <f t="shared" si="25"/>
        <v>734762 THE COMPLETE LOGISTICS CO</v>
      </c>
      <c r="P482" s="17" t="str">
        <f t="shared" si="23"/>
        <v>AP 180 CLR-72mm x 100m-24 rls/cs-H/A (231045)</v>
      </c>
    </row>
    <row r="483" spans="1:16" x14ac:dyDescent="0.25">
      <c r="A483" s="60" t="s">
        <v>267</v>
      </c>
      <c r="B483" s="60" t="s">
        <v>99</v>
      </c>
      <c r="C483" s="60" t="s">
        <v>268</v>
      </c>
      <c r="D483" s="60" t="s">
        <v>100</v>
      </c>
      <c r="E483" s="60" t="s">
        <v>272</v>
      </c>
      <c r="F483" s="60" t="s">
        <v>159</v>
      </c>
      <c r="G483" s="60" t="s">
        <v>55</v>
      </c>
      <c r="H483" s="60" t="s">
        <v>235</v>
      </c>
      <c r="I483" s="60" t="s">
        <v>77</v>
      </c>
      <c r="J483" s="61"/>
      <c r="K483" s="61">
        <v>392.51</v>
      </c>
      <c r="L483" s="65"/>
      <c r="M483" s="64">
        <v>1033.3440000000001</v>
      </c>
      <c r="N483" s="17" t="str">
        <f t="shared" si="24"/>
        <v>24667 ASSOCIATED PKG/CA SANTA FE SPRINGS</v>
      </c>
      <c r="O483" s="17" t="str">
        <f t="shared" si="25"/>
        <v>734762 THE COMPLETE LOGISTICS CO</v>
      </c>
      <c r="P483" s="17" t="str">
        <f t="shared" si="23"/>
        <v>AP 201 CLR-72mm x 100m-24 rls/cs-H/A (230963)</v>
      </c>
    </row>
    <row r="484" spans="1:16" x14ac:dyDescent="0.25">
      <c r="A484" s="60" t="s">
        <v>267</v>
      </c>
      <c r="B484" s="60" t="s">
        <v>99</v>
      </c>
      <c r="C484" s="60" t="s">
        <v>268</v>
      </c>
      <c r="D484" s="60" t="s">
        <v>100</v>
      </c>
      <c r="E484" s="60" t="s">
        <v>714</v>
      </c>
      <c r="F484" s="60" t="s">
        <v>715</v>
      </c>
      <c r="G484" s="60" t="s">
        <v>79</v>
      </c>
      <c r="H484" s="60" t="s">
        <v>220</v>
      </c>
      <c r="I484" s="60" t="s">
        <v>90</v>
      </c>
      <c r="J484" s="61"/>
      <c r="K484" s="61">
        <v>5759.43</v>
      </c>
      <c r="L484" s="65"/>
      <c r="M484" s="64">
        <v>15111.36</v>
      </c>
      <c r="N484" s="17" t="str">
        <f t="shared" si="24"/>
        <v>24667 ASSOCIATED PKG/CA SANTA FE SPRINGS</v>
      </c>
      <c r="O484" s="17" t="str">
        <f t="shared" si="25"/>
        <v>737603 PASSION GROWERS WEST LLC</v>
      </c>
      <c r="P484" s="17" t="str">
        <f t="shared" si="23"/>
        <v>HP 232 CLR-72mm x 914m-4 rls/cs-H/A (100053)</v>
      </c>
    </row>
    <row r="485" spans="1:16" x14ac:dyDescent="0.25">
      <c r="A485" s="60" t="s">
        <v>267</v>
      </c>
      <c r="B485" s="60" t="s">
        <v>99</v>
      </c>
      <c r="C485" s="60" t="s">
        <v>268</v>
      </c>
      <c r="D485" s="60" t="s">
        <v>100</v>
      </c>
      <c r="E485" s="60" t="s">
        <v>714</v>
      </c>
      <c r="F485" s="60" t="s">
        <v>715</v>
      </c>
      <c r="G485" s="60" t="s">
        <v>79</v>
      </c>
      <c r="H485" s="60" t="s">
        <v>247</v>
      </c>
      <c r="I485" s="60" t="s">
        <v>80</v>
      </c>
      <c r="J485" s="61"/>
      <c r="K485" s="61">
        <v>4311.01</v>
      </c>
      <c r="L485" s="65"/>
      <c r="M485" s="64">
        <v>11333.52</v>
      </c>
      <c r="N485" s="17" t="str">
        <f t="shared" si="24"/>
        <v>24667 ASSOCIATED PKG/CA SANTA FE SPRINGS</v>
      </c>
      <c r="O485" s="17" t="str">
        <f t="shared" si="25"/>
        <v>737603 PASSION GROWERS WEST LLC</v>
      </c>
      <c r="P485" s="17" t="str">
        <f t="shared" si="23"/>
        <v>HP 232 CLR-48mm x 914m-6 rls/cs-H/A (100962)</v>
      </c>
    </row>
    <row r="486" spans="1:16" x14ac:dyDescent="0.25">
      <c r="A486" s="60" t="s">
        <v>267</v>
      </c>
      <c r="B486" s="60" t="s">
        <v>99</v>
      </c>
      <c r="C486" s="60" t="s">
        <v>268</v>
      </c>
      <c r="D486" s="60" t="s">
        <v>100</v>
      </c>
      <c r="E486" s="60" t="s">
        <v>563</v>
      </c>
      <c r="F486" s="60" t="s">
        <v>564</v>
      </c>
      <c r="G486" s="60" t="s">
        <v>19</v>
      </c>
      <c r="H486" s="60" t="s">
        <v>221</v>
      </c>
      <c r="I486" s="60" t="s">
        <v>145</v>
      </c>
      <c r="J486" s="61">
        <v>15242.52</v>
      </c>
      <c r="K486" s="61">
        <v>31819.39</v>
      </c>
      <c r="L486" s="65">
        <v>69890.039999999994</v>
      </c>
      <c r="M486" s="64">
        <v>136002.23999999999</v>
      </c>
      <c r="N486" s="17" t="str">
        <f t="shared" si="24"/>
        <v>24667 ASSOCIATED PKG/CA SANTA FE SPRINGS</v>
      </c>
      <c r="O486" s="17" t="str">
        <f t="shared" si="25"/>
        <v>740541 GOODWIN CO</v>
      </c>
      <c r="P486" s="17" t="str">
        <f t="shared" si="23"/>
        <v>HP 100 CLR-48mm x 1371m-6 rls/cs- S (208470)</v>
      </c>
    </row>
    <row r="487" spans="1:16" x14ac:dyDescent="0.25">
      <c r="A487" s="60" t="s">
        <v>267</v>
      </c>
      <c r="B487" s="60" t="s">
        <v>99</v>
      </c>
      <c r="C487" s="60" t="s">
        <v>268</v>
      </c>
      <c r="D487" s="60" t="s">
        <v>100</v>
      </c>
      <c r="E487" s="60" t="s">
        <v>716</v>
      </c>
      <c r="F487" s="60" t="s">
        <v>717</v>
      </c>
      <c r="G487" s="60" t="s">
        <v>18</v>
      </c>
      <c r="H487" s="60" t="s">
        <v>212</v>
      </c>
      <c r="I487" s="60" t="s">
        <v>86</v>
      </c>
      <c r="J487" s="61"/>
      <c r="K487" s="61">
        <v>4573.8</v>
      </c>
      <c r="L487" s="65"/>
      <c r="M487" s="64">
        <v>15741</v>
      </c>
      <c r="N487" s="17" t="str">
        <f t="shared" si="24"/>
        <v>24667 ASSOCIATED PKG/CA SANTA FE SPRINGS</v>
      </c>
      <c r="O487" s="17" t="str">
        <f t="shared" si="25"/>
        <v>740848 MPIO/DONGBU C/O STARKIST</v>
      </c>
      <c r="P487" s="17" t="str">
        <f t="shared" si="23"/>
        <v>HP 200 CLR-48mm x 914m-6 rls/cs-S (208492)</v>
      </c>
    </row>
    <row r="488" spans="1:16" x14ac:dyDescent="0.25">
      <c r="A488" s="60" t="s">
        <v>267</v>
      </c>
      <c r="B488" s="60" t="s">
        <v>99</v>
      </c>
      <c r="C488" s="60" t="s">
        <v>268</v>
      </c>
      <c r="D488" s="60" t="s">
        <v>100</v>
      </c>
      <c r="E488" s="60" t="s">
        <v>480</v>
      </c>
      <c r="F488" s="60" t="s">
        <v>481</v>
      </c>
      <c r="G488" s="60" t="s">
        <v>63</v>
      </c>
      <c r="H488" s="60" t="s">
        <v>224</v>
      </c>
      <c r="I488" s="60" t="s">
        <v>64</v>
      </c>
      <c r="J488" s="61"/>
      <c r="K488" s="61">
        <v>495.4</v>
      </c>
      <c r="L488" s="62"/>
      <c r="M488" s="63">
        <v>2066.4</v>
      </c>
      <c r="N488" s="17" t="str">
        <f t="shared" si="24"/>
        <v>24667 ASSOCIATED PKG/CA SANTA FE SPRINGS</v>
      </c>
      <c r="O488" s="17" t="str">
        <f t="shared" si="25"/>
        <v>740967 WILL CALL AT SHURTAPE PHOENIX DC</v>
      </c>
      <c r="P488" s="17" t="str">
        <f t="shared" si="23"/>
        <v>AP 180 CLR-48mm x 100m-36 rls/cs-H/A (231044)</v>
      </c>
    </row>
    <row r="489" spans="1:16" x14ac:dyDescent="0.25">
      <c r="A489" s="60" t="s">
        <v>267</v>
      </c>
      <c r="B489" s="60" t="s">
        <v>99</v>
      </c>
      <c r="C489" s="60" t="s">
        <v>268</v>
      </c>
      <c r="D489" s="60" t="s">
        <v>100</v>
      </c>
      <c r="E489" s="60" t="s">
        <v>480</v>
      </c>
      <c r="F489" s="60" t="s">
        <v>481</v>
      </c>
      <c r="G489" s="60" t="s">
        <v>18</v>
      </c>
      <c r="H489" s="60" t="s">
        <v>212</v>
      </c>
      <c r="I489" s="60" t="s">
        <v>86</v>
      </c>
      <c r="J489" s="61">
        <v>1659.64</v>
      </c>
      <c r="K489" s="61"/>
      <c r="L489" s="65">
        <v>6296.4</v>
      </c>
      <c r="M489" s="64"/>
      <c r="N489" s="17" t="str">
        <f t="shared" si="24"/>
        <v>24667 ASSOCIATED PKG/CA SANTA FE SPRINGS</v>
      </c>
      <c r="O489" s="17" t="str">
        <f t="shared" si="25"/>
        <v>740967 WILL CALL AT SHURTAPE PHOENIX DC</v>
      </c>
      <c r="P489" s="17" t="str">
        <f t="shared" si="23"/>
        <v>HP 200 CLR-48mm x 914m-6 rls/cs-S (208492)</v>
      </c>
    </row>
    <row r="490" spans="1:16" x14ac:dyDescent="0.25">
      <c r="A490" s="60" t="s">
        <v>267</v>
      </c>
      <c r="B490" s="60" t="s">
        <v>99</v>
      </c>
      <c r="C490" s="60" t="s">
        <v>268</v>
      </c>
      <c r="D490" s="60" t="s">
        <v>100</v>
      </c>
      <c r="E490" s="60" t="s">
        <v>1441</v>
      </c>
      <c r="F490" s="60" t="s">
        <v>349</v>
      </c>
      <c r="G490" s="60" t="s">
        <v>18</v>
      </c>
      <c r="H490" s="60" t="s">
        <v>219</v>
      </c>
      <c r="I490" s="60" t="s">
        <v>60</v>
      </c>
      <c r="J490" s="61">
        <v>13614.48</v>
      </c>
      <c r="K490" s="61"/>
      <c r="L490" s="62">
        <v>61998</v>
      </c>
      <c r="M490" s="63"/>
      <c r="N490" s="17" t="str">
        <f t="shared" si="24"/>
        <v>24667 ASSOCIATED PKG/CA SANTA FE SPRINGS</v>
      </c>
      <c r="O490" s="17" t="str">
        <f t="shared" si="25"/>
        <v>741114 MS INTERNATIONAL</v>
      </c>
      <c r="P490" s="17" t="str">
        <f t="shared" si="23"/>
        <v>HP 200 CLR-72mm x 100m-24 rls/cs-S (207233)</v>
      </c>
    </row>
    <row r="491" spans="1:16" x14ac:dyDescent="0.25">
      <c r="A491" s="60" t="s">
        <v>267</v>
      </c>
      <c r="B491" s="60" t="s">
        <v>99</v>
      </c>
      <c r="C491" s="60" t="s">
        <v>268</v>
      </c>
      <c r="D491" s="60" t="s">
        <v>100</v>
      </c>
      <c r="E491" s="60" t="s">
        <v>1442</v>
      </c>
      <c r="F491" s="60" t="s">
        <v>1443</v>
      </c>
      <c r="G491" s="60" t="s">
        <v>18</v>
      </c>
      <c r="H491" s="60" t="s">
        <v>219</v>
      </c>
      <c r="I491" s="60" t="s">
        <v>60</v>
      </c>
      <c r="J491" s="61">
        <v>2722.9</v>
      </c>
      <c r="K491" s="61"/>
      <c r="L491" s="65">
        <v>12399.6</v>
      </c>
      <c r="M491" s="64"/>
      <c r="N491" s="17" t="str">
        <f t="shared" si="24"/>
        <v>24667 ASSOCIATED PKG/CA SANTA FE SPRINGS</v>
      </c>
      <c r="O491" s="17" t="str">
        <f t="shared" si="25"/>
        <v>741251 MS INTERNATIONAL INC</v>
      </c>
      <c r="P491" s="17" t="str">
        <f t="shared" si="23"/>
        <v>HP 200 CLR-72mm x 100m-24 rls/cs-S (207233)</v>
      </c>
    </row>
    <row r="492" spans="1:16" x14ac:dyDescent="0.25">
      <c r="A492" s="60" t="s">
        <v>267</v>
      </c>
      <c r="B492" s="60" t="s">
        <v>99</v>
      </c>
      <c r="C492" s="60" t="s">
        <v>268</v>
      </c>
      <c r="D492" s="60" t="s">
        <v>100</v>
      </c>
      <c r="E492" s="60" t="s">
        <v>1096</v>
      </c>
      <c r="F492" s="60" t="s">
        <v>349</v>
      </c>
      <c r="G492" s="60" t="s">
        <v>18</v>
      </c>
      <c r="H492" s="60" t="s">
        <v>215</v>
      </c>
      <c r="I492" s="60" t="s">
        <v>50</v>
      </c>
      <c r="J492" s="61">
        <v>5431.54</v>
      </c>
      <c r="K492" s="61">
        <v>11423.69</v>
      </c>
      <c r="L492" s="65">
        <v>24799.200000000001</v>
      </c>
      <c r="M492" s="64">
        <v>49805.06</v>
      </c>
      <c r="N492" s="17" t="str">
        <f t="shared" si="24"/>
        <v>24667 ASSOCIATED PKG/CA SANTA FE SPRINGS</v>
      </c>
      <c r="O492" s="17" t="str">
        <f t="shared" si="25"/>
        <v>741406 MS INTERNATIONAL</v>
      </c>
      <c r="P492" s="17" t="str">
        <f t="shared" si="23"/>
        <v>HP 200 CLR-48mm x 100m-36 rls/cs-S (207149)</v>
      </c>
    </row>
    <row r="493" spans="1:16" x14ac:dyDescent="0.25">
      <c r="A493" s="60" t="s">
        <v>267</v>
      </c>
      <c r="B493" s="60" t="s">
        <v>99</v>
      </c>
      <c r="C493" s="60" t="s">
        <v>268</v>
      </c>
      <c r="D493" s="60" t="s">
        <v>100</v>
      </c>
      <c r="E493" s="60" t="s">
        <v>1444</v>
      </c>
      <c r="F493" s="60" t="s">
        <v>1443</v>
      </c>
      <c r="G493" s="60" t="s">
        <v>18</v>
      </c>
      <c r="H493" s="60" t="s">
        <v>219</v>
      </c>
      <c r="I493" s="60" t="s">
        <v>60</v>
      </c>
      <c r="J493" s="61">
        <v>2722.9</v>
      </c>
      <c r="K493" s="61"/>
      <c r="L493" s="62">
        <v>12399.6</v>
      </c>
      <c r="M493" s="63"/>
      <c r="N493" s="17" t="str">
        <f t="shared" si="24"/>
        <v>24667 ASSOCIATED PKG/CA SANTA FE SPRINGS</v>
      </c>
      <c r="O493" s="17" t="str">
        <f t="shared" si="25"/>
        <v>743010 MS INTERNATIONAL INC</v>
      </c>
      <c r="P493" s="17" t="str">
        <f t="shared" si="23"/>
        <v>HP 200 CLR-72mm x 100m-24 rls/cs-S (207233)</v>
      </c>
    </row>
    <row r="494" spans="1:16" x14ac:dyDescent="0.25">
      <c r="A494" s="60" t="s">
        <v>267</v>
      </c>
      <c r="B494" s="60" t="s">
        <v>99</v>
      </c>
      <c r="C494" s="60" t="s">
        <v>268</v>
      </c>
      <c r="D494" s="60" t="s">
        <v>100</v>
      </c>
      <c r="E494" s="60" t="s">
        <v>1097</v>
      </c>
      <c r="F494" s="60" t="s">
        <v>1098</v>
      </c>
      <c r="G494" s="60" t="s">
        <v>19</v>
      </c>
      <c r="H494" s="60" t="s">
        <v>222</v>
      </c>
      <c r="I494" s="60" t="s">
        <v>104</v>
      </c>
      <c r="J494" s="61">
        <v>5643.24</v>
      </c>
      <c r="K494" s="61"/>
      <c r="L494" s="65">
        <v>20537.495999999999</v>
      </c>
      <c r="M494" s="64"/>
      <c r="N494" s="17" t="str">
        <f t="shared" si="24"/>
        <v>24667 ASSOCIATED PKG/CA SANTA FE SPRINGS</v>
      </c>
      <c r="O494" s="17" t="str">
        <f t="shared" si="25"/>
        <v>743062 NELLSON LLC- ONTARIO PLANT</v>
      </c>
      <c r="P494" s="17" t="str">
        <f t="shared" si="23"/>
        <v>HP 100 CLR-53mm x 1500m-6 rls/cs-S (195553)</v>
      </c>
    </row>
    <row r="495" spans="1:16" x14ac:dyDescent="0.25">
      <c r="A495" s="60" t="s">
        <v>267</v>
      </c>
      <c r="B495" s="60" t="s">
        <v>99</v>
      </c>
      <c r="C495" s="60" t="s">
        <v>268</v>
      </c>
      <c r="D495" s="60" t="s">
        <v>100</v>
      </c>
      <c r="E495" s="60" t="s">
        <v>1097</v>
      </c>
      <c r="F495" s="60" t="s">
        <v>1098</v>
      </c>
      <c r="G495" s="60" t="s">
        <v>19</v>
      </c>
      <c r="H495" s="60" t="s">
        <v>233</v>
      </c>
      <c r="I495" s="60" t="s">
        <v>49</v>
      </c>
      <c r="J495" s="61">
        <v>2801.3</v>
      </c>
      <c r="K495" s="61"/>
      <c r="L495" s="62">
        <v>12399.6</v>
      </c>
      <c r="M495" s="64"/>
      <c r="N495" s="17" t="str">
        <f t="shared" si="24"/>
        <v>24667 ASSOCIATED PKG/CA SANTA FE SPRINGS</v>
      </c>
      <c r="O495" s="17" t="str">
        <f t="shared" si="25"/>
        <v>743062 NELLSON LLC- ONTARIO PLANT</v>
      </c>
      <c r="P495" s="17" t="str">
        <f t="shared" si="23"/>
        <v>HP 100 CLR-48mm x 100m-36 rls/cs-S (207142)</v>
      </c>
    </row>
    <row r="496" spans="1:16" x14ac:dyDescent="0.25">
      <c r="A496" s="60" t="s">
        <v>267</v>
      </c>
      <c r="B496" s="60" t="s">
        <v>99</v>
      </c>
      <c r="C496" s="60" t="s">
        <v>268</v>
      </c>
      <c r="D496" s="60" t="s">
        <v>100</v>
      </c>
      <c r="E496" s="60" t="s">
        <v>1099</v>
      </c>
      <c r="F496" s="60" t="s">
        <v>1037</v>
      </c>
      <c r="G496" s="60" t="s">
        <v>56</v>
      </c>
      <c r="H496" s="60" t="s">
        <v>239</v>
      </c>
      <c r="I496" s="60" t="s">
        <v>57</v>
      </c>
      <c r="J496" s="61"/>
      <c r="K496" s="61">
        <v>2523.31</v>
      </c>
      <c r="L496" s="62"/>
      <c r="M496" s="63">
        <v>12398.4</v>
      </c>
      <c r="N496" s="17" t="str">
        <f t="shared" si="24"/>
        <v>24667 ASSOCIATED PKG/CA SANTA FE SPRINGS</v>
      </c>
      <c r="O496" s="17" t="str">
        <f t="shared" si="25"/>
        <v>746941 GAP INC</v>
      </c>
      <c r="P496" s="17" t="str">
        <f t="shared" si="23"/>
        <v>AP 101 CLR-48mm x 100m-36 rls/cs-S (230982)</v>
      </c>
    </row>
    <row r="497" spans="1:16" x14ac:dyDescent="0.25">
      <c r="A497" s="60" t="s">
        <v>267</v>
      </c>
      <c r="B497" s="60" t="s">
        <v>99</v>
      </c>
      <c r="C497" s="60" t="s">
        <v>268</v>
      </c>
      <c r="D497" s="60" t="s">
        <v>100</v>
      </c>
      <c r="E497" s="60" t="s">
        <v>1099</v>
      </c>
      <c r="F497" s="60" t="s">
        <v>1037</v>
      </c>
      <c r="G497" s="60" t="s">
        <v>19</v>
      </c>
      <c r="H497" s="60" t="s">
        <v>242</v>
      </c>
      <c r="I497" s="60" t="s">
        <v>102</v>
      </c>
      <c r="J497" s="61">
        <v>2794.18</v>
      </c>
      <c r="K497" s="61">
        <v>4383.72</v>
      </c>
      <c r="L497" s="65">
        <v>12399.6</v>
      </c>
      <c r="M497" s="64">
        <v>18599.400000000001</v>
      </c>
      <c r="N497" s="17" t="str">
        <f t="shared" si="24"/>
        <v>24667 ASSOCIATED PKG/CA SANTA FE SPRINGS</v>
      </c>
      <c r="O497" s="17" t="str">
        <f t="shared" si="25"/>
        <v>746941 GAP INC</v>
      </c>
      <c r="P497" s="17" t="str">
        <f t="shared" si="23"/>
        <v>HP 100 CLR-72mm x 100m-24 rls/cs-S (207194)</v>
      </c>
    </row>
    <row r="498" spans="1:16" x14ac:dyDescent="0.25">
      <c r="A498" s="60" t="s">
        <v>267</v>
      </c>
      <c r="B498" s="60" t="s">
        <v>99</v>
      </c>
      <c r="C498" s="60" t="s">
        <v>268</v>
      </c>
      <c r="D498" s="60" t="s">
        <v>100</v>
      </c>
      <c r="E498" s="60" t="s">
        <v>1100</v>
      </c>
      <c r="F498" s="60" t="s">
        <v>349</v>
      </c>
      <c r="G498" s="60" t="s">
        <v>62</v>
      </c>
      <c r="H498" s="60" t="s">
        <v>245</v>
      </c>
      <c r="I498" s="60" t="s">
        <v>118</v>
      </c>
      <c r="J498" s="61">
        <v>2722.9</v>
      </c>
      <c r="K498" s="61"/>
      <c r="L498" s="62">
        <v>12400.2</v>
      </c>
      <c r="M498" s="63"/>
      <c r="N498" s="17" t="str">
        <f t="shared" si="24"/>
        <v>24667 ASSOCIATED PKG/CA SANTA FE SPRINGS</v>
      </c>
      <c r="O498" s="17" t="str">
        <f t="shared" si="25"/>
        <v>747078 MS INTERNATIONAL</v>
      </c>
      <c r="P498" s="17" t="str">
        <f t="shared" si="23"/>
        <v>HP 300 CLR-72mm x 100m-24 RLS/CS-H (207870)</v>
      </c>
    </row>
    <row r="499" spans="1:16" x14ac:dyDescent="0.25">
      <c r="A499" s="60" t="s">
        <v>267</v>
      </c>
      <c r="B499" s="60" t="s">
        <v>99</v>
      </c>
      <c r="C499" s="60" t="s">
        <v>268</v>
      </c>
      <c r="D499" s="60" t="s">
        <v>100</v>
      </c>
      <c r="E499" s="60" t="s">
        <v>1445</v>
      </c>
      <c r="F499" s="60" t="s">
        <v>1446</v>
      </c>
      <c r="G499" s="60" t="s">
        <v>18</v>
      </c>
      <c r="H499" s="60" t="s">
        <v>212</v>
      </c>
      <c r="I499" s="60" t="s">
        <v>86</v>
      </c>
      <c r="J499" s="61"/>
      <c r="K499" s="61">
        <v>4171.3100000000004</v>
      </c>
      <c r="L499" s="65"/>
      <c r="M499" s="64">
        <v>15111.36</v>
      </c>
      <c r="N499" s="17" t="str">
        <f t="shared" si="24"/>
        <v>24667 ASSOCIATED PKG/CA SANTA FE SPRINGS</v>
      </c>
      <c r="O499" s="17" t="str">
        <f t="shared" si="25"/>
        <v>747829 ST MARY'S FOOD BANK ALLIANCE</v>
      </c>
      <c r="P499" s="17" t="str">
        <f t="shared" si="23"/>
        <v>HP 200 CLR-48mm x 914m-6 rls/cs-S (208492)</v>
      </c>
    </row>
    <row r="500" spans="1:16" x14ac:dyDescent="0.25">
      <c r="A500" s="60" t="s">
        <v>267</v>
      </c>
      <c r="B500" s="60" t="s">
        <v>99</v>
      </c>
      <c r="C500" s="60" t="s">
        <v>268</v>
      </c>
      <c r="D500" s="60" t="s">
        <v>100</v>
      </c>
      <c r="E500" s="60" t="s">
        <v>1101</v>
      </c>
      <c r="F500" s="60" t="s">
        <v>1102</v>
      </c>
      <c r="G500" s="60" t="s">
        <v>19</v>
      </c>
      <c r="H500" s="60" t="s">
        <v>242</v>
      </c>
      <c r="I500" s="60" t="s">
        <v>102</v>
      </c>
      <c r="J500" s="61"/>
      <c r="K500" s="61">
        <v>8767.44</v>
      </c>
      <c r="L500" s="62"/>
      <c r="M500" s="63">
        <v>37198.800000000003</v>
      </c>
      <c r="N500" s="17" t="str">
        <f t="shared" si="24"/>
        <v>24667 ASSOCIATED PKG/CA SANTA FE SPRINGS</v>
      </c>
      <c r="O500" s="17" t="str">
        <f t="shared" si="25"/>
        <v>747895 NSL 00047 @LVO LONGVIEW OMNI</v>
      </c>
      <c r="P500" s="17" t="str">
        <f t="shared" si="23"/>
        <v>HP 100 CLR-72mm x 100m-24 rls/cs-S (207194)</v>
      </c>
    </row>
    <row r="501" spans="1:16" x14ac:dyDescent="0.25">
      <c r="A501" s="60" t="s">
        <v>267</v>
      </c>
      <c r="B501" s="60" t="s">
        <v>99</v>
      </c>
      <c r="C501" s="60" t="s">
        <v>268</v>
      </c>
      <c r="D501" s="60" t="s">
        <v>100</v>
      </c>
      <c r="E501" s="60" t="s">
        <v>866</v>
      </c>
      <c r="F501" s="60" t="s">
        <v>867</v>
      </c>
      <c r="G501" s="60" t="s">
        <v>79</v>
      </c>
      <c r="H501" s="60" t="s">
        <v>220</v>
      </c>
      <c r="I501" s="60" t="s">
        <v>90</v>
      </c>
      <c r="J501" s="61"/>
      <c r="K501" s="61">
        <v>5759.42</v>
      </c>
      <c r="L501" s="62"/>
      <c r="M501" s="63">
        <v>15111.36</v>
      </c>
      <c r="N501" s="17" t="str">
        <f t="shared" si="24"/>
        <v>24667 ASSOCIATED PKG/CA SANTA FE SPRINGS</v>
      </c>
      <c r="O501" s="17" t="str">
        <f t="shared" si="25"/>
        <v>749831 PASSION GROWERS CALEXICO</v>
      </c>
      <c r="P501" s="17" t="str">
        <f t="shared" si="23"/>
        <v>HP 232 CLR-72mm x 914m-4 rls/cs-H/A (100053)</v>
      </c>
    </row>
    <row r="502" spans="1:16" x14ac:dyDescent="0.25">
      <c r="A502" s="60" t="s">
        <v>267</v>
      </c>
      <c r="B502" s="60" t="s">
        <v>99</v>
      </c>
      <c r="C502" s="60" t="s">
        <v>268</v>
      </c>
      <c r="D502" s="60" t="s">
        <v>100</v>
      </c>
      <c r="E502" s="60" t="s">
        <v>894</v>
      </c>
      <c r="F502" s="60" t="s">
        <v>349</v>
      </c>
      <c r="G502" s="60" t="s">
        <v>18</v>
      </c>
      <c r="H502" s="60" t="s">
        <v>219</v>
      </c>
      <c r="I502" s="60" t="s">
        <v>60</v>
      </c>
      <c r="J502" s="61"/>
      <c r="K502" s="61">
        <v>5730.92</v>
      </c>
      <c r="L502" s="62"/>
      <c r="M502" s="64">
        <v>24799.200000000001</v>
      </c>
      <c r="N502" s="17" t="str">
        <f t="shared" si="24"/>
        <v>24667 ASSOCIATED PKG/CA SANTA FE SPRINGS</v>
      </c>
      <c r="O502" s="17" t="str">
        <f t="shared" si="25"/>
        <v>750665 MS INTERNATIONAL</v>
      </c>
      <c r="P502" s="17" t="str">
        <f t="shared" si="23"/>
        <v>HP 200 CLR-72mm x 100m-24 rls/cs-S (207233)</v>
      </c>
    </row>
    <row r="503" spans="1:16" x14ac:dyDescent="0.25">
      <c r="A503" s="60" t="s">
        <v>267</v>
      </c>
      <c r="B503" s="60" t="s">
        <v>99</v>
      </c>
      <c r="C503" s="60" t="s">
        <v>268</v>
      </c>
      <c r="D503" s="60" t="s">
        <v>100</v>
      </c>
      <c r="E503" s="60" t="s">
        <v>1447</v>
      </c>
      <c r="F503" s="60" t="s">
        <v>1448</v>
      </c>
      <c r="G503" s="60" t="s">
        <v>20</v>
      </c>
      <c r="H503" s="60" t="s">
        <v>1435</v>
      </c>
      <c r="I503" s="60" t="s">
        <v>1436</v>
      </c>
      <c r="J503" s="61"/>
      <c r="K503" s="61">
        <v>42.77</v>
      </c>
      <c r="L503" s="62"/>
      <c r="M503" s="63">
        <v>56.83</v>
      </c>
      <c r="N503" s="17" t="str">
        <f t="shared" si="24"/>
        <v>24667 ASSOCIATED PKG/CA SANTA FE SPRINGS</v>
      </c>
      <c r="O503" s="17" t="str">
        <f t="shared" si="25"/>
        <v>751402 C D CONTAINER</v>
      </c>
      <c r="P503" s="17" t="str">
        <f t="shared" si="23"/>
        <v>CP 083 NAT-24mm x 55m-36 rls/cs-S (100530)</v>
      </c>
    </row>
    <row r="504" spans="1:16" x14ac:dyDescent="0.25">
      <c r="A504" s="60" t="s">
        <v>283</v>
      </c>
      <c r="B504" s="60" t="s">
        <v>71</v>
      </c>
      <c r="C504" s="60" t="s">
        <v>284</v>
      </c>
      <c r="D504" s="60" t="s">
        <v>120</v>
      </c>
      <c r="E504" s="60" t="s">
        <v>284</v>
      </c>
      <c r="F504" s="60" t="s">
        <v>120</v>
      </c>
      <c r="G504" s="60" t="s">
        <v>19</v>
      </c>
      <c r="H504" s="60" t="s">
        <v>233</v>
      </c>
      <c r="I504" s="60" t="s">
        <v>49</v>
      </c>
      <c r="J504" s="61">
        <v>5901.98</v>
      </c>
      <c r="K504" s="61"/>
      <c r="L504" s="62">
        <v>24799.200000000001</v>
      </c>
      <c r="M504" s="64"/>
      <c r="N504" s="17" t="str">
        <f t="shared" si="24"/>
        <v>7834 ASSOCIATED PKG/FL TAMPA</v>
      </c>
      <c r="O504" s="17" t="str">
        <f t="shared" si="25"/>
        <v>7834 ASSOCIATED PKG/FL TAMPA</v>
      </c>
      <c r="P504" s="17" t="str">
        <f t="shared" si="23"/>
        <v>HP 100 CLR-48mm x 100m-36 rls/cs-S (207142)</v>
      </c>
    </row>
    <row r="505" spans="1:16" x14ac:dyDescent="0.25">
      <c r="A505" s="60" t="s">
        <v>283</v>
      </c>
      <c r="B505" s="60" t="s">
        <v>71</v>
      </c>
      <c r="C505" s="60" t="s">
        <v>284</v>
      </c>
      <c r="D505" s="60" t="s">
        <v>120</v>
      </c>
      <c r="E505" s="60" t="s">
        <v>284</v>
      </c>
      <c r="F505" s="60" t="s">
        <v>120</v>
      </c>
      <c r="G505" s="60" t="s">
        <v>19</v>
      </c>
      <c r="H505" s="60" t="s">
        <v>243</v>
      </c>
      <c r="I505" s="60" t="s">
        <v>87</v>
      </c>
      <c r="J505" s="61">
        <v>11028.44</v>
      </c>
      <c r="K505" s="61"/>
      <c r="L505" s="62">
        <v>45334.080000000002</v>
      </c>
      <c r="M505" s="63"/>
      <c r="N505" s="17" t="str">
        <f t="shared" si="24"/>
        <v>7834 ASSOCIATED PKG/FL TAMPA</v>
      </c>
      <c r="O505" s="17" t="str">
        <f t="shared" si="25"/>
        <v>7834 ASSOCIATED PKG/FL TAMPA</v>
      </c>
      <c r="P505" s="17" t="str">
        <f t="shared" si="23"/>
        <v>HP 100 CLR-48mm x 914m-6 rls/cs-S (208453)</v>
      </c>
    </row>
    <row r="506" spans="1:16" x14ac:dyDescent="0.25">
      <c r="A506" s="60" t="s">
        <v>283</v>
      </c>
      <c r="B506" s="60" t="s">
        <v>71</v>
      </c>
      <c r="C506" s="60" t="s">
        <v>284</v>
      </c>
      <c r="D506" s="60" t="s">
        <v>120</v>
      </c>
      <c r="E506" s="60" t="s">
        <v>284</v>
      </c>
      <c r="F506" s="60" t="s">
        <v>120</v>
      </c>
      <c r="G506" s="60" t="s">
        <v>18</v>
      </c>
      <c r="H506" s="60" t="s">
        <v>215</v>
      </c>
      <c r="I506" s="60" t="s">
        <v>50</v>
      </c>
      <c r="J506" s="61">
        <v>6265.51</v>
      </c>
      <c r="K506" s="61">
        <v>9964.94</v>
      </c>
      <c r="L506" s="62">
        <v>24799.200000000001</v>
      </c>
      <c r="M506" s="63">
        <v>37198.800000000003</v>
      </c>
      <c r="N506" s="17" t="str">
        <f t="shared" si="24"/>
        <v>7834 ASSOCIATED PKG/FL TAMPA</v>
      </c>
      <c r="O506" s="17" t="str">
        <f t="shared" si="25"/>
        <v>7834 ASSOCIATED PKG/FL TAMPA</v>
      </c>
      <c r="P506" s="17" t="str">
        <f t="shared" si="23"/>
        <v>HP 200 CLR-48mm x 100m-36 rls/cs-S (207149)</v>
      </c>
    </row>
    <row r="507" spans="1:16" x14ac:dyDescent="0.25">
      <c r="A507" s="60" t="s">
        <v>283</v>
      </c>
      <c r="B507" s="60" t="s">
        <v>71</v>
      </c>
      <c r="C507" s="60" t="s">
        <v>284</v>
      </c>
      <c r="D507" s="60" t="s">
        <v>120</v>
      </c>
      <c r="E507" s="60" t="s">
        <v>284</v>
      </c>
      <c r="F507" s="60" t="s">
        <v>120</v>
      </c>
      <c r="G507" s="60" t="s">
        <v>18</v>
      </c>
      <c r="H507" s="60" t="s">
        <v>499</v>
      </c>
      <c r="I507" s="60" t="s">
        <v>500</v>
      </c>
      <c r="J507" s="61">
        <v>1760.62</v>
      </c>
      <c r="K507" s="61">
        <v>940.9</v>
      </c>
      <c r="L507" s="62">
        <v>6199.8</v>
      </c>
      <c r="M507" s="64">
        <v>3099.9</v>
      </c>
      <c r="N507" s="17" t="str">
        <f t="shared" si="24"/>
        <v>7834 ASSOCIATED PKG/FL TAMPA</v>
      </c>
      <c r="O507" s="17" t="str">
        <f t="shared" si="25"/>
        <v>7834 ASSOCIATED PKG/FL TAMPA</v>
      </c>
      <c r="P507" s="17" t="str">
        <f t="shared" si="23"/>
        <v>HP 200 TAN-72mm x 100m-24 rls/cs-H/A (207239)</v>
      </c>
    </row>
    <row r="508" spans="1:16" x14ac:dyDescent="0.25">
      <c r="A508" s="60" t="s">
        <v>283</v>
      </c>
      <c r="B508" s="60" t="s">
        <v>71</v>
      </c>
      <c r="C508" s="60" t="s">
        <v>284</v>
      </c>
      <c r="D508" s="60" t="s">
        <v>120</v>
      </c>
      <c r="E508" s="60" t="s">
        <v>284</v>
      </c>
      <c r="F508" s="60" t="s">
        <v>120</v>
      </c>
      <c r="G508" s="60" t="s">
        <v>18</v>
      </c>
      <c r="H508" s="60" t="s">
        <v>212</v>
      </c>
      <c r="I508" s="60" t="s">
        <v>86</v>
      </c>
      <c r="J508" s="61">
        <v>35403</v>
      </c>
      <c r="K508" s="61">
        <v>33942.17</v>
      </c>
      <c r="L508" s="62">
        <v>129076.2</v>
      </c>
      <c r="M508" s="64">
        <v>121835.34</v>
      </c>
      <c r="N508" s="17" t="str">
        <f t="shared" si="24"/>
        <v>7834 ASSOCIATED PKG/FL TAMPA</v>
      </c>
      <c r="O508" s="17" t="str">
        <f t="shared" si="25"/>
        <v>7834 ASSOCIATED PKG/FL TAMPA</v>
      </c>
      <c r="P508" s="17" t="str">
        <f t="shared" si="23"/>
        <v>HP 200 CLR-48mm x 914m-6 rls/cs-S (208492)</v>
      </c>
    </row>
    <row r="509" spans="1:16" x14ac:dyDescent="0.25">
      <c r="A509" s="60" t="s">
        <v>283</v>
      </c>
      <c r="B509" s="60" t="s">
        <v>71</v>
      </c>
      <c r="C509" s="60" t="s">
        <v>284</v>
      </c>
      <c r="D509" s="60" t="s">
        <v>120</v>
      </c>
      <c r="E509" s="60" t="s">
        <v>284</v>
      </c>
      <c r="F509" s="60" t="s">
        <v>120</v>
      </c>
      <c r="G509" s="60" t="s">
        <v>18</v>
      </c>
      <c r="H509" s="60" t="s">
        <v>214</v>
      </c>
      <c r="I509" s="60" t="s">
        <v>158</v>
      </c>
      <c r="J509" s="61">
        <v>13461.04</v>
      </c>
      <c r="K509" s="61">
        <v>8837.5300000000007</v>
      </c>
      <c r="L509" s="62">
        <v>50371.199999999997</v>
      </c>
      <c r="M509" s="64">
        <v>31167.18</v>
      </c>
      <c r="N509" s="17" t="str">
        <f t="shared" si="24"/>
        <v>7834 ASSOCIATED PKG/FL TAMPA</v>
      </c>
      <c r="O509" s="17" t="str">
        <f t="shared" si="25"/>
        <v>7834 ASSOCIATED PKG/FL TAMPA</v>
      </c>
      <c r="P509" s="17" t="str">
        <f t="shared" si="23"/>
        <v>HP 200 CLR-72mm x 914m-4 rls/cs-S (208496)</v>
      </c>
    </row>
    <row r="510" spans="1:16" x14ac:dyDescent="0.25">
      <c r="A510" s="60" t="s">
        <v>283</v>
      </c>
      <c r="B510" s="60" t="s">
        <v>71</v>
      </c>
      <c r="C510" s="60" t="s">
        <v>284</v>
      </c>
      <c r="D510" s="60" t="s">
        <v>120</v>
      </c>
      <c r="E510" s="60" t="s">
        <v>284</v>
      </c>
      <c r="F510" s="60" t="s">
        <v>120</v>
      </c>
      <c r="G510" s="60" t="s">
        <v>62</v>
      </c>
      <c r="H510" s="60" t="s">
        <v>255</v>
      </c>
      <c r="I510" s="60" t="s">
        <v>81</v>
      </c>
      <c r="J510" s="61">
        <v>1108.4000000000001</v>
      </c>
      <c r="K510" s="61">
        <v>2330.86</v>
      </c>
      <c r="L510" s="62">
        <v>2066.6999999999998</v>
      </c>
      <c r="M510" s="63">
        <v>4133.3999999999996</v>
      </c>
      <c r="N510" s="17" t="str">
        <f t="shared" si="24"/>
        <v>7834 ASSOCIATED PKG/FL TAMPA</v>
      </c>
      <c r="O510" s="17" t="str">
        <f t="shared" si="25"/>
        <v>7834 ASSOCIATED PKG/FL TAMPA</v>
      </c>
      <c r="P510" s="17" t="str">
        <f t="shared" si="23"/>
        <v>HP 300 CLR-48mm x 100m-36 rls/cs-H/A (207871)</v>
      </c>
    </row>
    <row r="511" spans="1:16" x14ac:dyDescent="0.25">
      <c r="A511" s="60" t="s">
        <v>283</v>
      </c>
      <c r="B511" s="60" t="s">
        <v>71</v>
      </c>
      <c r="C511" s="60" t="s">
        <v>284</v>
      </c>
      <c r="D511" s="60" t="s">
        <v>120</v>
      </c>
      <c r="E511" s="60" t="s">
        <v>284</v>
      </c>
      <c r="F511" s="60" t="s">
        <v>120</v>
      </c>
      <c r="G511" s="60" t="s">
        <v>62</v>
      </c>
      <c r="H511" s="60" t="s">
        <v>246</v>
      </c>
      <c r="I511" s="60" t="s">
        <v>171</v>
      </c>
      <c r="J511" s="61">
        <v>1624.59</v>
      </c>
      <c r="K511" s="61">
        <v>1705.97</v>
      </c>
      <c r="L511" s="62">
        <v>3148.2</v>
      </c>
      <c r="M511" s="64">
        <v>3148.2</v>
      </c>
      <c r="N511" s="17" t="str">
        <f t="shared" si="24"/>
        <v>7834 ASSOCIATED PKG/FL TAMPA</v>
      </c>
      <c r="O511" s="17" t="str">
        <f t="shared" si="25"/>
        <v>7834 ASSOCIATED PKG/FL TAMPA</v>
      </c>
      <c r="P511" s="17" t="str">
        <f t="shared" si="23"/>
        <v>HP 300 CLR-48mm x 914m-6 rls/cs-H (208532)</v>
      </c>
    </row>
    <row r="512" spans="1:16" x14ac:dyDescent="0.25">
      <c r="A512" s="60" t="s">
        <v>283</v>
      </c>
      <c r="B512" s="60" t="s">
        <v>71</v>
      </c>
      <c r="C512" s="60" t="s">
        <v>284</v>
      </c>
      <c r="D512" s="60" t="s">
        <v>120</v>
      </c>
      <c r="E512" s="60" t="s">
        <v>284</v>
      </c>
      <c r="F512" s="60" t="s">
        <v>120</v>
      </c>
      <c r="G512" s="60" t="s">
        <v>109</v>
      </c>
      <c r="H512" s="60" t="s">
        <v>355</v>
      </c>
      <c r="I512" s="60" t="s">
        <v>356</v>
      </c>
      <c r="J512" s="61"/>
      <c r="K512" s="61">
        <v>211.7</v>
      </c>
      <c r="L512" s="62"/>
      <c r="M512" s="63">
        <v>307.39999999999998</v>
      </c>
      <c r="N512" s="17" t="str">
        <f t="shared" si="24"/>
        <v>7834 ASSOCIATED PKG/FL TAMPA</v>
      </c>
      <c r="O512" s="17" t="str">
        <f t="shared" si="25"/>
        <v>7834 ASSOCIATED PKG/FL TAMPA</v>
      </c>
      <c r="P512" s="17" t="str">
        <f t="shared" si="23"/>
        <v>WP 100 NAT-70mm x 153m(500ft)-6 rls/cs-H (101688)</v>
      </c>
    </row>
    <row r="513" spans="1:16" x14ac:dyDescent="0.25">
      <c r="A513" s="60" t="s">
        <v>283</v>
      </c>
      <c r="B513" s="60" t="s">
        <v>71</v>
      </c>
      <c r="C513" s="60" t="s">
        <v>284</v>
      </c>
      <c r="D513" s="60" t="s">
        <v>120</v>
      </c>
      <c r="E513" s="60" t="s">
        <v>285</v>
      </c>
      <c r="F513" s="60" t="s">
        <v>121</v>
      </c>
      <c r="G513" s="60" t="s">
        <v>19</v>
      </c>
      <c r="H513" s="60" t="s">
        <v>221</v>
      </c>
      <c r="I513" s="60" t="s">
        <v>145</v>
      </c>
      <c r="J513" s="61">
        <v>44234.94</v>
      </c>
      <c r="K513" s="61">
        <v>43341.09</v>
      </c>
      <c r="L513" s="62">
        <v>221003.64</v>
      </c>
      <c r="M513" s="63">
        <v>204003.36</v>
      </c>
      <c r="N513" s="17" t="str">
        <f t="shared" si="24"/>
        <v>7834 ASSOCIATED PKG/FL TAMPA</v>
      </c>
      <c r="O513" s="17" t="str">
        <f t="shared" si="25"/>
        <v>15492 M &amp; B PRODUCTS INC</v>
      </c>
      <c r="P513" s="17" t="str">
        <f t="shared" si="23"/>
        <v>HP 100 CLR-48mm x 1371m-6 rls/cs- S (208470)</v>
      </c>
    </row>
    <row r="514" spans="1:16" x14ac:dyDescent="0.25">
      <c r="A514" s="60" t="s">
        <v>283</v>
      </c>
      <c r="B514" s="60" t="s">
        <v>71</v>
      </c>
      <c r="C514" s="60" t="s">
        <v>284</v>
      </c>
      <c r="D514" s="60" t="s">
        <v>120</v>
      </c>
      <c r="E514" s="60" t="s">
        <v>781</v>
      </c>
      <c r="F514" s="60" t="s">
        <v>782</v>
      </c>
      <c r="G514" s="60" t="s">
        <v>19</v>
      </c>
      <c r="H514" s="60" t="s">
        <v>222</v>
      </c>
      <c r="I514" s="60" t="s">
        <v>104</v>
      </c>
      <c r="J514" s="61">
        <v>5795.06</v>
      </c>
      <c r="K514" s="61">
        <v>6085.53</v>
      </c>
      <c r="L514" s="65">
        <v>17114.580000000002</v>
      </c>
      <c r="M514" s="64">
        <v>17114.580000000002</v>
      </c>
      <c r="N514" s="17" t="str">
        <f t="shared" si="24"/>
        <v>7834 ASSOCIATED PKG/FL TAMPA</v>
      </c>
      <c r="O514" s="17" t="str">
        <f t="shared" si="25"/>
        <v>25338 VENTURA FOODS</v>
      </c>
      <c r="P514" s="17" t="str">
        <f t="shared" si="23"/>
        <v>HP 100 CLR-53mm x 1500m-6 rls/cs-S (195553)</v>
      </c>
    </row>
    <row r="515" spans="1:16" x14ac:dyDescent="0.25">
      <c r="A515" s="60" t="s">
        <v>283</v>
      </c>
      <c r="B515" s="60" t="s">
        <v>71</v>
      </c>
      <c r="C515" s="60" t="s">
        <v>284</v>
      </c>
      <c r="D515" s="60" t="s">
        <v>120</v>
      </c>
      <c r="E515" s="60" t="s">
        <v>547</v>
      </c>
      <c r="F515" s="60" t="s">
        <v>662</v>
      </c>
      <c r="G515" s="60" t="s">
        <v>19</v>
      </c>
      <c r="H515" s="60" t="s">
        <v>243</v>
      </c>
      <c r="I515" s="60" t="s">
        <v>87</v>
      </c>
      <c r="J515" s="61">
        <v>7116.6</v>
      </c>
      <c r="K515" s="61"/>
      <c r="L515" s="62">
        <v>30222.720000000001</v>
      </c>
      <c r="M515" s="63"/>
      <c r="N515" s="17" t="str">
        <f t="shared" si="24"/>
        <v>7834 ASSOCIATED PKG/FL TAMPA</v>
      </c>
      <c r="O515" s="17" t="str">
        <f t="shared" si="25"/>
        <v>33670 HILEX POLY COMPANY/DNU</v>
      </c>
      <c r="P515" s="17" t="str">
        <f t="shared" si="23"/>
        <v>HP 100 CLR-48mm x 914m-6 rls/cs-S (208453)</v>
      </c>
    </row>
    <row r="516" spans="1:16" x14ac:dyDescent="0.25">
      <c r="A516" s="60" t="s">
        <v>283</v>
      </c>
      <c r="B516" s="60" t="s">
        <v>71</v>
      </c>
      <c r="C516" s="60" t="s">
        <v>284</v>
      </c>
      <c r="D516" s="60" t="s">
        <v>120</v>
      </c>
      <c r="E516" s="60" t="s">
        <v>1103</v>
      </c>
      <c r="F516" s="60" t="s">
        <v>1104</v>
      </c>
      <c r="G516" s="60" t="s">
        <v>21</v>
      </c>
      <c r="H516" s="60" t="s">
        <v>1105</v>
      </c>
      <c r="I516" s="60" t="s">
        <v>1106</v>
      </c>
      <c r="J516" s="61">
        <v>41.34</v>
      </c>
      <c r="K516" s="61"/>
      <c r="L516" s="62">
        <v>56.83</v>
      </c>
      <c r="M516" s="63"/>
      <c r="N516" s="17" t="str">
        <f t="shared" si="24"/>
        <v>7834 ASSOCIATED PKG/FL TAMPA</v>
      </c>
      <c r="O516" s="17" t="str">
        <f t="shared" si="25"/>
        <v>44684 GENESIS DIRECT</v>
      </c>
      <c r="P516" s="17" t="str">
        <f t="shared" ref="P516:P579" si="26">I516&amp;" ("&amp;H516&amp;")"</f>
        <v>CP 106 NAT-36mm x 55m-24 rls/cs-S (101007)</v>
      </c>
    </row>
    <row r="517" spans="1:16" x14ac:dyDescent="0.25">
      <c r="A517" s="60" t="s">
        <v>283</v>
      </c>
      <c r="B517" s="60" t="s">
        <v>71</v>
      </c>
      <c r="C517" s="60" t="s">
        <v>284</v>
      </c>
      <c r="D517" s="60" t="s">
        <v>120</v>
      </c>
      <c r="E517" s="60" t="s">
        <v>783</v>
      </c>
      <c r="F517" s="60" t="s">
        <v>784</v>
      </c>
      <c r="G517" s="60" t="s">
        <v>18</v>
      </c>
      <c r="H517" s="60" t="s">
        <v>212</v>
      </c>
      <c r="I517" s="60" t="s">
        <v>86</v>
      </c>
      <c r="J517" s="61">
        <v>4790.0200000000004</v>
      </c>
      <c r="K517" s="61">
        <v>5029.5200000000004</v>
      </c>
      <c r="L517" s="62">
        <v>15111.36</v>
      </c>
      <c r="M517" s="63">
        <v>15111.36</v>
      </c>
      <c r="N517" s="17" t="str">
        <f t="shared" si="24"/>
        <v>7834 ASSOCIATED PKG/FL TAMPA</v>
      </c>
      <c r="O517" s="17" t="str">
        <f t="shared" si="25"/>
        <v>45817 DUPUY STORAGE</v>
      </c>
      <c r="P517" s="17" t="str">
        <f t="shared" si="26"/>
        <v>HP 200 CLR-48mm x 914m-6 rls/cs-S (208492)</v>
      </c>
    </row>
    <row r="518" spans="1:16" x14ac:dyDescent="0.25">
      <c r="A518" s="60" t="s">
        <v>283</v>
      </c>
      <c r="B518" s="60" t="s">
        <v>71</v>
      </c>
      <c r="C518" s="60" t="s">
        <v>284</v>
      </c>
      <c r="D518" s="60" t="s">
        <v>120</v>
      </c>
      <c r="E518" s="60" t="s">
        <v>732</v>
      </c>
      <c r="F518" s="60" t="s">
        <v>733</v>
      </c>
      <c r="G518" s="60" t="s">
        <v>18</v>
      </c>
      <c r="H518" s="60" t="s">
        <v>212</v>
      </c>
      <c r="I518" s="60" t="s">
        <v>86</v>
      </c>
      <c r="J518" s="61"/>
      <c r="K518" s="61">
        <v>17124.310000000001</v>
      </c>
      <c r="L518" s="62"/>
      <c r="M518" s="63">
        <v>60445.440000000002</v>
      </c>
      <c r="N518" s="17" t="str">
        <f t="shared" si="24"/>
        <v>7834 ASSOCIATED PKG/FL TAMPA</v>
      </c>
      <c r="O518" s="17" t="str">
        <f t="shared" si="25"/>
        <v>708553 LANTMANNEN BAKERY</v>
      </c>
      <c r="P518" s="17" t="str">
        <f t="shared" si="26"/>
        <v>HP 200 CLR-48mm x 914m-6 rls/cs-S (208492)</v>
      </c>
    </row>
    <row r="519" spans="1:16" x14ac:dyDescent="0.25">
      <c r="A519" s="60" t="s">
        <v>283</v>
      </c>
      <c r="B519" s="60" t="s">
        <v>71</v>
      </c>
      <c r="C519" s="60" t="s">
        <v>284</v>
      </c>
      <c r="D519" s="60" t="s">
        <v>120</v>
      </c>
      <c r="E519" s="60" t="s">
        <v>567</v>
      </c>
      <c r="F519" s="60" t="s">
        <v>568</v>
      </c>
      <c r="G519" s="60" t="s">
        <v>84</v>
      </c>
      <c r="H519" s="60" t="s">
        <v>569</v>
      </c>
      <c r="I519" s="60" t="s">
        <v>570</v>
      </c>
      <c r="J519" s="61">
        <v>1812.89</v>
      </c>
      <c r="K519" s="61"/>
      <c r="L519" s="65">
        <v>2066.6999999999998</v>
      </c>
      <c r="M519" s="64"/>
      <c r="N519" s="17" t="str">
        <f t="shared" si="24"/>
        <v>7834 ASSOCIATED PKG/FL TAMPA</v>
      </c>
      <c r="O519" s="17" t="str">
        <f t="shared" si="25"/>
        <v>711125 COH EPROC</v>
      </c>
      <c r="P519" s="17" t="str">
        <f t="shared" si="26"/>
        <v>HP 240 TK SECURITY-72mmx100m-24rls/cs-H (101853)</v>
      </c>
    </row>
    <row r="520" spans="1:16" x14ac:dyDescent="0.25">
      <c r="A520" s="60" t="s">
        <v>283</v>
      </c>
      <c r="B520" s="60" t="s">
        <v>71</v>
      </c>
      <c r="C520" s="60" t="s">
        <v>284</v>
      </c>
      <c r="D520" s="60" t="s">
        <v>120</v>
      </c>
      <c r="E520" s="60" t="s">
        <v>286</v>
      </c>
      <c r="F520" s="60" t="s">
        <v>206</v>
      </c>
      <c r="G520" s="60" t="s">
        <v>18</v>
      </c>
      <c r="H520" s="60" t="s">
        <v>218</v>
      </c>
      <c r="I520" s="60" t="s">
        <v>82</v>
      </c>
      <c r="J520" s="61">
        <v>3616.87</v>
      </c>
      <c r="K520" s="61">
        <v>1847.93</v>
      </c>
      <c r="L520" s="65">
        <v>6296.4</v>
      </c>
      <c r="M520" s="64">
        <v>3148.2</v>
      </c>
      <c r="N520" s="17" t="str">
        <f t="shared" si="24"/>
        <v>7834 ASSOCIATED PKG/FL TAMPA</v>
      </c>
      <c r="O520" s="17" t="str">
        <f t="shared" si="25"/>
        <v>711402 KENNESAW FRUIT &amp; JUICE</v>
      </c>
      <c r="P520" s="17" t="str">
        <f t="shared" si="26"/>
        <v>HP 200 ORG-48mm x 914m-6 rls/cs-H (136221)</v>
      </c>
    </row>
    <row r="521" spans="1:16" x14ac:dyDescent="0.25">
      <c r="A521" s="60" t="s">
        <v>283</v>
      </c>
      <c r="B521" s="60" t="s">
        <v>71</v>
      </c>
      <c r="C521" s="60" t="s">
        <v>284</v>
      </c>
      <c r="D521" s="60" t="s">
        <v>120</v>
      </c>
      <c r="E521" s="60" t="s">
        <v>286</v>
      </c>
      <c r="F521" s="60" t="s">
        <v>206</v>
      </c>
      <c r="G521" s="60" t="s">
        <v>18</v>
      </c>
      <c r="H521" s="60" t="s">
        <v>459</v>
      </c>
      <c r="I521" s="60" t="s">
        <v>460</v>
      </c>
      <c r="J521" s="61"/>
      <c r="K521" s="61">
        <v>583.6</v>
      </c>
      <c r="L521" s="65"/>
      <c r="M521" s="64">
        <v>944.46</v>
      </c>
      <c r="N521" s="17" t="str">
        <f t="shared" ref="N521:N552" si="27">C521&amp;" "&amp;D521</f>
        <v>7834 ASSOCIATED PKG/FL TAMPA</v>
      </c>
      <c r="O521" s="17" t="str">
        <f t="shared" ref="O521:O552" si="28">E521&amp;" "&amp;F521</f>
        <v>711402 KENNESAW FRUIT &amp; JUICE</v>
      </c>
      <c r="P521" s="17" t="str">
        <f t="shared" si="26"/>
        <v>HP 200 BLU-48mm x 914m-6 rls/cs-H (162592)</v>
      </c>
    </row>
    <row r="522" spans="1:16" x14ac:dyDescent="0.25">
      <c r="A522" s="60" t="s">
        <v>283</v>
      </c>
      <c r="B522" s="60" t="s">
        <v>71</v>
      </c>
      <c r="C522" s="60" t="s">
        <v>284</v>
      </c>
      <c r="D522" s="60" t="s">
        <v>120</v>
      </c>
      <c r="E522" s="60" t="s">
        <v>286</v>
      </c>
      <c r="F522" s="60" t="s">
        <v>206</v>
      </c>
      <c r="G522" s="60" t="s">
        <v>18</v>
      </c>
      <c r="H522" s="60" t="s">
        <v>212</v>
      </c>
      <c r="I522" s="60" t="s">
        <v>86</v>
      </c>
      <c r="J522" s="61">
        <v>1659.64</v>
      </c>
      <c r="K522" s="61"/>
      <c r="L522" s="62">
        <v>6296.4</v>
      </c>
      <c r="M522" s="64"/>
      <c r="N522" s="17" t="str">
        <f t="shared" si="27"/>
        <v>7834 ASSOCIATED PKG/FL TAMPA</v>
      </c>
      <c r="O522" s="17" t="str">
        <f t="shared" si="28"/>
        <v>711402 KENNESAW FRUIT &amp; JUICE</v>
      </c>
      <c r="P522" s="17" t="str">
        <f t="shared" si="26"/>
        <v>HP 200 CLR-48mm x 914m-6 rls/cs-S (208492)</v>
      </c>
    </row>
    <row r="523" spans="1:16" x14ac:dyDescent="0.25">
      <c r="A523" s="60" t="s">
        <v>283</v>
      </c>
      <c r="B523" s="60" t="s">
        <v>71</v>
      </c>
      <c r="C523" s="60" t="s">
        <v>284</v>
      </c>
      <c r="D523" s="60" t="s">
        <v>120</v>
      </c>
      <c r="E523" s="60" t="s">
        <v>286</v>
      </c>
      <c r="F523" s="60" t="s">
        <v>206</v>
      </c>
      <c r="G523" s="60" t="s">
        <v>18</v>
      </c>
      <c r="H523" s="60" t="s">
        <v>493</v>
      </c>
      <c r="I523" s="60" t="s">
        <v>494</v>
      </c>
      <c r="J523" s="61"/>
      <c r="K523" s="61">
        <v>923.97</v>
      </c>
      <c r="L523" s="62"/>
      <c r="M523" s="64">
        <v>1574.1</v>
      </c>
      <c r="N523" s="17" t="str">
        <f t="shared" si="27"/>
        <v>7834 ASSOCIATED PKG/FL TAMPA</v>
      </c>
      <c r="O523" s="17" t="str">
        <f t="shared" si="28"/>
        <v>711402 KENNESAW FRUIT &amp; JUICE</v>
      </c>
      <c r="P523" s="17" t="str">
        <f t="shared" si="26"/>
        <v>HP 200 RED-48mm x 914m-6 rls/cs-H (218104)</v>
      </c>
    </row>
    <row r="524" spans="1:16" x14ac:dyDescent="0.25">
      <c r="A524" s="60" t="s">
        <v>283</v>
      </c>
      <c r="B524" s="60" t="s">
        <v>71</v>
      </c>
      <c r="C524" s="60" t="s">
        <v>284</v>
      </c>
      <c r="D524" s="60" t="s">
        <v>120</v>
      </c>
      <c r="E524" s="60" t="s">
        <v>1690</v>
      </c>
      <c r="F524" s="60" t="s">
        <v>1691</v>
      </c>
      <c r="G524" s="60" t="s">
        <v>19</v>
      </c>
      <c r="H524" s="60" t="s">
        <v>243</v>
      </c>
      <c r="I524" s="60" t="s">
        <v>87</v>
      </c>
      <c r="J524" s="61"/>
      <c r="K524" s="61">
        <v>3726.52</v>
      </c>
      <c r="L524" s="62"/>
      <c r="M524" s="64">
        <v>15111.36</v>
      </c>
      <c r="N524" s="17" t="str">
        <f t="shared" si="27"/>
        <v>7834 ASSOCIATED PKG/FL TAMPA</v>
      </c>
      <c r="O524" s="17" t="str">
        <f t="shared" si="28"/>
        <v>713105 PALMETTO CANNING CO</v>
      </c>
      <c r="P524" s="17" t="str">
        <f t="shared" si="26"/>
        <v>HP 100 CLR-48mm x 914m-6 rls/cs-S (208453)</v>
      </c>
    </row>
    <row r="525" spans="1:16" x14ac:dyDescent="0.25">
      <c r="A525" s="60" t="s">
        <v>283</v>
      </c>
      <c r="B525" s="60" t="s">
        <v>71</v>
      </c>
      <c r="C525" s="60" t="s">
        <v>284</v>
      </c>
      <c r="D525" s="60" t="s">
        <v>120</v>
      </c>
      <c r="E525" s="60" t="s">
        <v>1107</v>
      </c>
      <c r="F525" s="60" t="s">
        <v>1108</v>
      </c>
      <c r="G525" s="60" t="s">
        <v>18</v>
      </c>
      <c r="H525" s="60" t="s">
        <v>215</v>
      </c>
      <c r="I525" s="60" t="s">
        <v>50</v>
      </c>
      <c r="J525" s="61"/>
      <c r="K525" s="61">
        <v>3378.67</v>
      </c>
      <c r="L525" s="62"/>
      <c r="M525" s="64">
        <v>12399.6</v>
      </c>
      <c r="N525" s="17" t="str">
        <f t="shared" si="27"/>
        <v>7834 ASSOCIATED PKG/FL TAMPA</v>
      </c>
      <c r="O525" s="17" t="str">
        <f t="shared" si="28"/>
        <v>716630 WINCUP PLASTICS DBA CARDINAL S</v>
      </c>
      <c r="P525" s="17" t="str">
        <f t="shared" si="26"/>
        <v>HP 200 CLR-48mm x 100m-36 rls/cs-S (207149)</v>
      </c>
    </row>
    <row r="526" spans="1:16" x14ac:dyDescent="0.25">
      <c r="A526" s="60" t="s">
        <v>283</v>
      </c>
      <c r="B526" s="60" t="s">
        <v>71</v>
      </c>
      <c r="C526" s="60" t="s">
        <v>284</v>
      </c>
      <c r="D526" s="60" t="s">
        <v>120</v>
      </c>
      <c r="E526" s="60" t="s">
        <v>1107</v>
      </c>
      <c r="F526" s="60" t="s">
        <v>1108</v>
      </c>
      <c r="G526" s="60" t="s">
        <v>18</v>
      </c>
      <c r="H526" s="60" t="s">
        <v>212</v>
      </c>
      <c r="I526" s="60" t="s">
        <v>86</v>
      </c>
      <c r="J526" s="61">
        <v>3737.92</v>
      </c>
      <c r="K526" s="61">
        <v>3926.1</v>
      </c>
      <c r="L526" s="62">
        <v>15111.36</v>
      </c>
      <c r="M526" s="64">
        <v>15111.36</v>
      </c>
      <c r="N526" s="17" t="str">
        <f t="shared" si="27"/>
        <v>7834 ASSOCIATED PKG/FL TAMPA</v>
      </c>
      <c r="O526" s="17" t="str">
        <f t="shared" si="28"/>
        <v>716630 WINCUP PLASTICS DBA CARDINAL S</v>
      </c>
      <c r="P526" s="17" t="str">
        <f t="shared" si="26"/>
        <v>HP 200 CLR-48mm x 914m-6 rls/cs-S (208492)</v>
      </c>
    </row>
    <row r="527" spans="1:16" x14ac:dyDescent="0.25">
      <c r="A527" s="60" t="s">
        <v>283</v>
      </c>
      <c r="B527" s="60" t="s">
        <v>71</v>
      </c>
      <c r="C527" s="60" t="s">
        <v>284</v>
      </c>
      <c r="D527" s="60" t="s">
        <v>120</v>
      </c>
      <c r="E527" s="60" t="s">
        <v>1109</v>
      </c>
      <c r="F527" s="60" t="s">
        <v>1110</v>
      </c>
      <c r="G527" s="60" t="s">
        <v>79</v>
      </c>
      <c r="H527" s="60" t="s">
        <v>220</v>
      </c>
      <c r="I527" s="60" t="s">
        <v>90</v>
      </c>
      <c r="J527" s="61"/>
      <c r="K527" s="61">
        <v>16565.46</v>
      </c>
      <c r="L527" s="62"/>
      <c r="M527" s="63">
        <v>45334.080000000002</v>
      </c>
      <c r="N527" s="17" t="str">
        <f t="shared" si="27"/>
        <v>7834 ASSOCIATED PKG/FL TAMPA</v>
      </c>
      <c r="O527" s="17" t="str">
        <f t="shared" si="28"/>
        <v>716751 PASSION GROWERS</v>
      </c>
      <c r="P527" s="17" t="str">
        <f t="shared" si="26"/>
        <v>HP 232 CLR-72mm x 914m-4 rls/cs-H/A (100053)</v>
      </c>
    </row>
    <row r="528" spans="1:16" x14ac:dyDescent="0.25">
      <c r="A528" s="60" t="s">
        <v>283</v>
      </c>
      <c r="B528" s="60" t="s">
        <v>71</v>
      </c>
      <c r="C528" s="60" t="s">
        <v>284</v>
      </c>
      <c r="D528" s="60" t="s">
        <v>120</v>
      </c>
      <c r="E528" s="60" t="s">
        <v>1692</v>
      </c>
      <c r="F528" s="60" t="s">
        <v>1693</v>
      </c>
      <c r="G528" s="60" t="s">
        <v>18</v>
      </c>
      <c r="H528" s="60" t="s">
        <v>215</v>
      </c>
      <c r="I528" s="60" t="s">
        <v>50</v>
      </c>
      <c r="J528" s="61">
        <v>2702.94</v>
      </c>
      <c r="K528" s="61"/>
      <c r="L528" s="65">
        <v>9919.68</v>
      </c>
      <c r="M528" s="64"/>
      <c r="N528" s="17" t="str">
        <f t="shared" si="27"/>
        <v>7834 ASSOCIATED PKG/FL TAMPA</v>
      </c>
      <c r="O528" s="17" t="str">
        <f t="shared" si="28"/>
        <v>721619 IGT GLOBAL SOLUTIONS CORP</v>
      </c>
      <c r="P528" s="17" t="str">
        <f t="shared" si="26"/>
        <v>HP 200 CLR-48mm x 100m-36 rls/cs-S (207149)</v>
      </c>
    </row>
    <row r="529" spans="1:16" x14ac:dyDescent="0.25">
      <c r="A529" s="60" t="s">
        <v>283</v>
      </c>
      <c r="B529" s="60" t="s">
        <v>71</v>
      </c>
      <c r="C529" s="60" t="s">
        <v>284</v>
      </c>
      <c r="D529" s="60" t="s">
        <v>120</v>
      </c>
      <c r="E529" s="60" t="s">
        <v>287</v>
      </c>
      <c r="F529" s="60" t="s">
        <v>122</v>
      </c>
      <c r="G529" s="60" t="s">
        <v>19</v>
      </c>
      <c r="H529" s="60" t="s">
        <v>233</v>
      </c>
      <c r="I529" s="60" t="s">
        <v>49</v>
      </c>
      <c r="J529" s="61">
        <v>5046.62</v>
      </c>
      <c r="K529" s="61"/>
      <c r="L529" s="62">
        <v>24799.200000000001</v>
      </c>
      <c r="M529" s="64"/>
      <c r="N529" s="17" t="str">
        <f t="shared" si="27"/>
        <v>7834 ASSOCIATED PKG/FL TAMPA</v>
      </c>
      <c r="O529" s="17" t="str">
        <f t="shared" si="28"/>
        <v>724391 BADIA SPICE</v>
      </c>
      <c r="P529" s="17" t="str">
        <f t="shared" si="26"/>
        <v>HP 100 CLR-48mm x 100m-36 rls/cs-S (207142)</v>
      </c>
    </row>
    <row r="530" spans="1:16" x14ac:dyDescent="0.25">
      <c r="A530" s="60" t="s">
        <v>283</v>
      </c>
      <c r="B530" s="60" t="s">
        <v>71</v>
      </c>
      <c r="C530" s="60" t="s">
        <v>284</v>
      </c>
      <c r="D530" s="60" t="s">
        <v>120</v>
      </c>
      <c r="E530" s="60" t="s">
        <v>287</v>
      </c>
      <c r="F530" s="60" t="s">
        <v>122</v>
      </c>
      <c r="G530" s="60" t="s">
        <v>19</v>
      </c>
      <c r="H530" s="60" t="s">
        <v>243</v>
      </c>
      <c r="I530" s="60" t="s">
        <v>87</v>
      </c>
      <c r="J530" s="61">
        <v>11205.22</v>
      </c>
      <c r="K530" s="61">
        <v>42368.82</v>
      </c>
      <c r="L530" s="62">
        <v>45334.080000000002</v>
      </c>
      <c r="M530" s="64">
        <v>166224.95999999999</v>
      </c>
      <c r="N530" s="17" t="str">
        <f t="shared" si="27"/>
        <v>7834 ASSOCIATED PKG/FL TAMPA</v>
      </c>
      <c r="O530" s="17" t="str">
        <f t="shared" si="28"/>
        <v>724391 BADIA SPICE</v>
      </c>
      <c r="P530" s="17" t="str">
        <f t="shared" si="26"/>
        <v>HP 100 CLR-48mm x 914m-6 rls/cs-S (208453)</v>
      </c>
    </row>
    <row r="531" spans="1:16" x14ac:dyDescent="0.25">
      <c r="A531" s="60" t="s">
        <v>283</v>
      </c>
      <c r="B531" s="60" t="s">
        <v>71</v>
      </c>
      <c r="C531" s="60" t="s">
        <v>284</v>
      </c>
      <c r="D531" s="60" t="s">
        <v>120</v>
      </c>
      <c r="E531" s="60" t="s">
        <v>288</v>
      </c>
      <c r="F531" s="60" t="s">
        <v>123</v>
      </c>
      <c r="G531" s="60" t="s">
        <v>58</v>
      </c>
      <c r="H531" s="60" t="s">
        <v>501</v>
      </c>
      <c r="I531" s="60" t="s">
        <v>502</v>
      </c>
      <c r="J531" s="61">
        <v>1273.54</v>
      </c>
      <c r="K531" s="61">
        <v>430.06</v>
      </c>
      <c r="L531" s="62">
        <v>1549.95</v>
      </c>
      <c r="M531" s="64">
        <v>516.67200000000003</v>
      </c>
      <c r="N531" s="17" t="str">
        <f t="shared" si="27"/>
        <v>7834 ASSOCIATED PKG/FL TAMPA</v>
      </c>
      <c r="O531" s="17" t="str">
        <f t="shared" si="28"/>
        <v>728865 SIEMENS ENERGY</v>
      </c>
      <c r="P531" s="17" t="str">
        <f t="shared" si="26"/>
        <v>HP 400 CLR-72mm x 50m-24 rls/cs-H (207852)</v>
      </c>
    </row>
    <row r="532" spans="1:16" x14ac:dyDescent="0.25">
      <c r="A532" s="60" t="s">
        <v>283</v>
      </c>
      <c r="B532" s="60" t="s">
        <v>71</v>
      </c>
      <c r="C532" s="60" t="s">
        <v>284</v>
      </c>
      <c r="D532" s="60" t="s">
        <v>120</v>
      </c>
      <c r="E532" s="60" t="s">
        <v>288</v>
      </c>
      <c r="F532" s="60" t="s">
        <v>123</v>
      </c>
      <c r="G532" s="60" t="s">
        <v>58</v>
      </c>
      <c r="H532" s="60" t="s">
        <v>1111</v>
      </c>
      <c r="I532" s="60" t="s">
        <v>1112</v>
      </c>
      <c r="J532" s="61">
        <v>844.67</v>
      </c>
      <c r="K532" s="61">
        <v>866.05</v>
      </c>
      <c r="L532" s="62">
        <v>1033.3</v>
      </c>
      <c r="M532" s="64">
        <v>1033.3</v>
      </c>
      <c r="N532" s="17" t="str">
        <f t="shared" si="27"/>
        <v>7834 ASSOCIATED PKG/FL TAMPA</v>
      </c>
      <c r="O532" s="17" t="str">
        <f t="shared" si="28"/>
        <v>728865 SIEMENS ENERGY</v>
      </c>
      <c r="P532" s="17" t="str">
        <f t="shared" si="26"/>
        <v>HP 400 CLR-48mm x 50m-36 rls/cs-H (207853)</v>
      </c>
    </row>
    <row r="533" spans="1:16" x14ac:dyDescent="0.25">
      <c r="A533" s="60" t="s">
        <v>283</v>
      </c>
      <c r="B533" s="60" t="s">
        <v>71</v>
      </c>
      <c r="C533" s="60" t="s">
        <v>284</v>
      </c>
      <c r="D533" s="60" t="s">
        <v>120</v>
      </c>
      <c r="E533" s="60" t="s">
        <v>1449</v>
      </c>
      <c r="F533" s="60" t="s">
        <v>1450</v>
      </c>
      <c r="G533" s="60" t="s">
        <v>55</v>
      </c>
      <c r="H533" s="60" t="s">
        <v>235</v>
      </c>
      <c r="I533" s="60" t="s">
        <v>77</v>
      </c>
      <c r="J533" s="61"/>
      <c r="K533" s="61">
        <v>3065.04</v>
      </c>
      <c r="L533" s="62"/>
      <c r="M533" s="63">
        <v>12400.128000000001</v>
      </c>
      <c r="N533" s="17" t="str">
        <f t="shared" si="27"/>
        <v>7834 ASSOCIATED PKG/FL TAMPA</v>
      </c>
      <c r="O533" s="17" t="str">
        <f t="shared" si="28"/>
        <v>730232 CLEAR LAKE ENTERPRISES INC</v>
      </c>
      <c r="P533" s="17" t="str">
        <f t="shared" si="26"/>
        <v>AP 201 CLR-72mm x 100m-24 rls/cs-H/A (230963)</v>
      </c>
    </row>
    <row r="534" spans="1:16" x14ac:dyDescent="0.25">
      <c r="A534" s="60" t="s">
        <v>283</v>
      </c>
      <c r="B534" s="60" t="s">
        <v>71</v>
      </c>
      <c r="C534" s="60" t="s">
        <v>284</v>
      </c>
      <c r="D534" s="60" t="s">
        <v>120</v>
      </c>
      <c r="E534" s="60" t="s">
        <v>1113</v>
      </c>
      <c r="F534" s="60" t="s">
        <v>1114</v>
      </c>
      <c r="G534" s="60" t="s">
        <v>79</v>
      </c>
      <c r="H534" s="60" t="s">
        <v>247</v>
      </c>
      <c r="I534" s="60" t="s">
        <v>80</v>
      </c>
      <c r="J534" s="61"/>
      <c r="K534" s="61">
        <v>4333.82</v>
      </c>
      <c r="L534" s="62"/>
      <c r="M534" s="64">
        <v>15111.36</v>
      </c>
      <c r="N534" s="17" t="str">
        <f t="shared" si="27"/>
        <v>7834 ASSOCIATED PKG/FL TAMPA</v>
      </c>
      <c r="O534" s="17" t="str">
        <f t="shared" si="28"/>
        <v>730862 UNCLE JOHNS PRIDE</v>
      </c>
      <c r="P534" s="17" t="str">
        <f t="shared" si="26"/>
        <v>HP 232 CLR-48mm x 914m-6 rls/cs-H/A (100962)</v>
      </c>
    </row>
    <row r="535" spans="1:16" x14ac:dyDescent="0.25">
      <c r="A535" s="60" t="s">
        <v>283</v>
      </c>
      <c r="B535" s="60" t="s">
        <v>71</v>
      </c>
      <c r="C535" s="60" t="s">
        <v>284</v>
      </c>
      <c r="D535" s="60" t="s">
        <v>120</v>
      </c>
      <c r="E535" s="60" t="s">
        <v>1694</v>
      </c>
      <c r="F535" s="60" t="s">
        <v>1695</v>
      </c>
      <c r="G535" s="60" t="s">
        <v>21</v>
      </c>
      <c r="H535" s="60" t="s">
        <v>955</v>
      </c>
      <c r="I535" s="60" t="s">
        <v>956</v>
      </c>
      <c r="J535" s="61">
        <v>116.54</v>
      </c>
      <c r="K535" s="61"/>
      <c r="L535" s="62">
        <v>170.49</v>
      </c>
      <c r="M535" s="63"/>
      <c r="N535" s="17" t="str">
        <f t="shared" si="27"/>
        <v>7834 ASSOCIATED PKG/FL TAMPA</v>
      </c>
      <c r="O535" s="17" t="str">
        <f t="shared" si="28"/>
        <v>732720 HONEYCOMB COMPANY OF AMERICA</v>
      </c>
      <c r="P535" s="17" t="str">
        <f t="shared" si="26"/>
        <v>CP 106 NAT-24mm x 55m-36 rls/cs-S (101006)</v>
      </c>
    </row>
    <row r="536" spans="1:16" x14ac:dyDescent="0.25">
      <c r="A536" s="60" t="s">
        <v>283</v>
      </c>
      <c r="B536" s="60" t="s">
        <v>71</v>
      </c>
      <c r="C536" s="60" t="s">
        <v>284</v>
      </c>
      <c r="D536" s="60" t="s">
        <v>120</v>
      </c>
      <c r="E536" s="60" t="s">
        <v>1115</v>
      </c>
      <c r="F536" s="60" t="s">
        <v>1116</v>
      </c>
      <c r="G536" s="60" t="s">
        <v>19</v>
      </c>
      <c r="H536" s="60" t="s">
        <v>248</v>
      </c>
      <c r="I536" s="60" t="s">
        <v>103</v>
      </c>
      <c r="J536" s="61">
        <v>3284.58</v>
      </c>
      <c r="K536" s="61"/>
      <c r="L536" s="62">
        <v>17000.28</v>
      </c>
      <c r="M536" s="63"/>
      <c r="N536" s="17" t="str">
        <f t="shared" si="27"/>
        <v>7834 ASSOCIATED PKG/FL TAMPA</v>
      </c>
      <c r="O536" s="17" t="str">
        <f t="shared" si="28"/>
        <v>733173 VITAMIN SHOPPE</v>
      </c>
      <c r="P536" s="17" t="str">
        <f t="shared" si="26"/>
        <v>HP 100 CLR-72mm x 1371m-4 rls/cs-H/T (208761)</v>
      </c>
    </row>
    <row r="537" spans="1:16" x14ac:dyDescent="0.25">
      <c r="A537" s="60" t="s">
        <v>283</v>
      </c>
      <c r="B537" s="60" t="s">
        <v>71</v>
      </c>
      <c r="C537" s="60" t="s">
        <v>284</v>
      </c>
      <c r="D537" s="60" t="s">
        <v>120</v>
      </c>
      <c r="E537" s="60" t="s">
        <v>1696</v>
      </c>
      <c r="F537" s="60" t="s">
        <v>1697</v>
      </c>
      <c r="G537" s="60" t="s">
        <v>19</v>
      </c>
      <c r="H537" s="60" t="s">
        <v>243</v>
      </c>
      <c r="I537" s="60" t="s">
        <v>87</v>
      </c>
      <c r="J537" s="61">
        <v>1378.08</v>
      </c>
      <c r="K537" s="61"/>
      <c r="L537" s="65">
        <v>6296.4</v>
      </c>
      <c r="M537" s="64"/>
      <c r="N537" s="17" t="str">
        <f t="shared" si="27"/>
        <v>7834 ASSOCIATED PKG/FL TAMPA</v>
      </c>
      <c r="O537" s="17" t="str">
        <f t="shared" si="28"/>
        <v>734282 COLONIAL PRESS</v>
      </c>
      <c r="P537" s="17" t="str">
        <f t="shared" si="26"/>
        <v>HP 100 CLR-48mm x 914m-6 rls/cs-S (208453)</v>
      </c>
    </row>
    <row r="538" spans="1:16" x14ac:dyDescent="0.25">
      <c r="A538" s="60" t="s">
        <v>283</v>
      </c>
      <c r="B538" s="60" t="s">
        <v>71</v>
      </c>
      <c r="C538" s="60" t="s">
        <v>284</v>
      </c>
      <c r="D538" s="60" t="s">
        <v>120</v>
      </c>
      <c r="E538" s="60" t="s">
        <v>290</v>
      </c>
      <c r="F538" s="60" t="s">
        <v>167</v>
      </c>
      <c r="G538" s="60" t="s">
        <v>19</v>
      </c>
      <c r="H538" s="60" t="s">
        <v>244</v>
      </c>
      <c r="I538" s="60" t="s">
        <v>94</v>
      </c>
      <c r="J538" s="61">
        <v>4698.26</v>
      </c>
      <c r="K538" s="61"/>
      <c r="L538" s="62">
        <v>19204.02</v>
      </c>
      <c r="M538" s="64"/>
      <c r="N538" s="17" t="str">
        <f t="shared" si="27"/>
        <v>7834 ASSOCIATED PKG/FL TAMPA</v>
      </c>
      <c r="O538" s="17" t="str">
        <f t="shared" si="28"/>
        <v>735533 TURANO FLORIDA BUN LLC</v>
      </c>
      <c r="P538" s="17" t="str">
        <f t="shared" si="26"/>
        <v>HP 100 CLR-72mm x 914m-4 rls/cs-S (208465)</v>
      </c>
    </row>
    <row r="539" spans="1:16" x14ac:dyDescent="0.25">
      <c r="A539" s="60" t="s">
        <v>283</v>
      </c>
      <c r="B539" s="60" t="s">
        <v>71</v>
      </c>
      <c r="C539" s="60" t="s">
        <v>284</v>
      </c>
      <c r="D539" s="60" t="s">
        <v>120</v>
      </c>
      <c r="E539" s="60" t="s">
        <v>1117</v>
      </c>
      <c r="F539" s="60" t="s">
        <v>1118</v>
      </c>
      <c r="G539" s="60" t="s">
        <v>19</v>
      </c>
      <c r="H539" s="60" t="s">
        <v>243</v>
      </c>
      <c r="I539" s="60" t="s">
        <v>87</v>
      </c>
      <c r="J539" s="61">
        <v>2223.94</v>
      </c>
      <c r="K539" s="61"/>
      <c r="L539" s="62">
        <v>9444.6</v>
      </c>
      <c r="M539" s="63"/>
      <c r="N539" s="17" t="str">
        <f t="shared" si="27"/>
        <v>7834 ASSOCIATED PKG/FL TAMPA</v>
      </c>
      <c r="O539" s="17" t="str">
        <f t="shared" si="28"/>
        <v>739411 BASE CULTURE</v>
      </c>
      <c r="P539" s="17" t="str">
        <f t="shared" si="26"/>
        <v>HP 100 CLR-48mm x 914m-6 rls/cs-S (208453)</v>
      </c>
    </row>
    <row r="540" spans="1:16" x14ac:dyDescent="0.25">
      <c r="A540" s="60" t="s">
        <v>283</v>
      </c>
      <c r="B540" s="60" t="s">
        <v>71</v>
      </c>
      <c r="C540" s="60" t="s">
        <v>284</v>
      </c>
      <c r="D540" s="60" t="s">
        <v>120</v>
      </c>
      <c r="E540" s="60" t="s">
        <v>321</v>
      </c>
      <c r="F540" s="60" t="s">
        <v>322</v>
      </c>
      <c r="G540" s="60" t="s">
        <v>1698</v>
      </c>
      <c r="H540" s="60" t="s">
        <v>1699</v>
      </c>
      <c r="I540" s="60" t="s">
        <v>1700</v>
      </c>
      <c r="J540" s="61">
        <v>481.73</v>
      </c>
      <c r="K540" s="61"/>
      <c r="L540" s="62">
        <v>0</v>
      </c>
      <c r="M540" s="64"/>
      <c r="N540" s="17" t="str">
        <f t="shared" si="27"/>
        <v>7834 ASSOCIATED PKG/FL TAMPA</v>
      </c>
      <c r="O540" s="17" t="str">
        <f t="shared" si="28"/>
        <v>739633 SUPPORT SERVICE OPS SUPPLIES</v>
      </c>
      <c r="P540" s="17" t="str">
        <f t="shared" si="26"/>
        <v>FE-2 Folded-Edge Tape Dispenser - H (903250)</v>
      </c>
    </row>
    <row r="541" spans="1:16" x14ac:dyDescent="0.25">
      <c r="A541" s="60" t="s">
        <v>283</v>
      </c>
      <c r="B541" s="60" t="s">
        <v>71</v>
      </c>
      <c r="C541" s="60" t="s">
        <v>284</v>
      </c>
      <c r="D541" s="60" t="s">
        <v>120</v>
      </c>
      <c r="E541" s="60" t="s">
        <v>321</v>
      </c>
      <c r="F541" s="60" t="s">
        <v>322</v>
      </c>
      <c r="G541" s="60" t="s">
        <v>65</v>
      </c>
      <c r="H541" s="60" t="s">
        <v>264</v>
      </c>
      <c r="I541" s="60" t="s">
        <v>66</v>
      </c>
      <c r="J541" s="61">
        <v>10543.74</v>
      </c>
      <c r="K541" s="61"/>
      <c r="L541" s="65">
        <v>13034.16</v>
      </c>
      <c r="M541" s="64"/>
      <c r="N541" s="17" t="str">
        <f t="shared" si="27"/>
        <v>7834 ASSOCIATED PKG/FL TAMPA</v>
      </c>
      <c r="O541" s="17" t="str">
        <f t="shared" si="28"/>
        <v>739633 SUPPORT SERVICE OPS SUPPLIES</v>
      </c>
      <c r="P541" s="17" t="str">
        <f t="shared" si="26"/>
        <v>FP 097 KFT-48mm x 55m-24 rls/cs-H/A (101072)</v>
      </c>
    </row>
    <row r="542" spans="1:16" x14ac:dyDescent="0.25">
      <c r="A542" s="60" t="s">
        <v>283</v>
      </c>
      <c r="B542" s="60" t="s">
        <v>71</v>
      </c>
      <c r="C542" s="60" t="s">
        <v>284</v>
      </c>
      <c r="D542" s="60" t="s">
        <v>120</v>
      </c>
      <c r="E542" s="60" t="s">
        <v>321</v>
      </c>
      <c r="F542" s="60" t="s">
        <v>322</v>
      </c>
      <c r="G542" s="60" t="s">
        <v>19</v>
      </c>
      <c r="H542" s="60" t="s">
        <v>248</v>
      </c>
      <c r="I542" s="60" t="s">
        <v>103</v>
      </c>
      <c r="J542" s="61"/>
      <c r="K542" s="61">
        <v>6322.31</v>
      </c>
      <c r="L542" s="62"/>
      <c r="M542" s="64">
        <v>31167.18</v>
      </c>
      <c r="N542" s="17" t="str">
        <f t="shared" si="27"/>
        <v>7834 ASSOCIATED PKG/FL TAMPA</v>
      </c>
      <c r="O542" s="17" t="str">
        <f t="shared" si="28"/>
        <v>739633 SUPPORT SERVICE OPS SUPPLIES</v>
      </c>
      <c r="P542" s="17" t="str">
        <f t="shared" si="26"/>
        <v>HP 100 CLR-72mm x 1371m-4 rls/cs-H/T (208761)</v>
      </c>
    </row>
    <row r="543" spans="1:16" x14ac:dyDescent="0.25">
      <c r="A543" s="60" t="s">
        <v>283</v>
      </c>
      <c r="B543" s="60" t="s">
        <v>71</v>
      </c>
      <c r="C543" s="60" t="s">
        <v>284</v>
      </c>
      <c r="D543" s="60" t="s">
        <v>120</v>
      </c>
      <c r="E543" s="60" t="s">
        <v>394</v>
      </c>
      <c r="F543" s="60" t="s">
        <v>395</v>
      </c>
      <c r="G543" s="60" t="s">
        <v>19</v>
      </c>
      <c r="H543" s="60" t="s">
        <v>233</v>
      </c>
      <c r="I543" s="60" t="s">
        <v>49</v>
      </c>
      <c r="J543" s="61">
        <v>7569.94</v>
      </c>
      <c r="K543" s="61">
        <v>5388.76</v>
      </c>
      <c r="L543" s="62">
        <v>37198.800000000003</v>
      </c>
      <c r="M543" s="63">
        <v>24799.200000000001</v>
      </c>
      <c r="N543" s="17" t="str">
        <f t="shared" si="27"/>
        <v>7834 ASSOCIATED PKG/FL TAMPA</v>
      </c>
      <c r="O543" s="17" t="str">
        <f t="shared" si="28"/>
        <v>740447 HILEX POLY COMPANY</v>
      </c>
      <c r="P543" s="17" t="str">
        <f t="shared" si="26"/>
        <v>HP 100 CLR-48mm x 100m-36 rls/cs-S (207142)</v>
      </c>
    </row>
    <row r="544" spans="1:16" x14ac:dyDescent="0.25">
      <c r="A544" s="60" t="s">
        <v>283</v>
      </c>
      <c r="B544" s="60" t="s">
        <v>71</v>
      </c>
      <c r="C544" s="60" t="s">
        <v>284</v>
      </c>
      <c r="D544" s="60" t="s">
        <v>120</v>
      </c>
      <c r="E544" s="60" t="s">
        <v>394</v>
      </c>
      <c r="F544" s="60" t="s">
        <v>395</v>
      </c>
      <c r="G544" s="60" t="s">
        <v>19</v>
      </c>
      <c r="H544" s="60" t="s">
        <v>243</v>
      </c>
      <c r="I544" s="60" t="s">
        <v>87</v>
      </c>
      <c r="J544" s="61">
        <v>7470.14</v>
      </c>
      <c r="K544" s="61">
        <v>15299.54</v>
      </c>
      <c r="L544" s="65">
        <v>30222.720000000001</v>
      </c>
      <c r="M544" s="64">
        <v>60445.440000000002</v>
      </c>
      <c r="N544" s="17" t="str">
        <f t="shared" si="27"/>
        <v>7834 ASSOCIATED PKG/FL TAMPA</v>
      </c>
      <c r="O544" s="17" t="str">
        <f t="shared" si="28"/>
        <v>740447 HILEX POLY COMPANY</v>
      </c>
      <c r="P544" s="17" t="str">
        <f t="shared" si="26"/>
        <v>HP 100 CLR-48mm x 914m-6 rls/cs-S (208453)</v>
      </c>
    </row>
    <row r="545" spans="1:16" x14ac:dyDescent="0.25">
      <c r="A545" s="60" t="s">
        <v>283</v>
      </c>
      <c r="B545" s="60" t="s">
        <v>71</v>
      </c>
      <c r="C545" s="60" t="s">
        <v>284</v>
      </c>
      <c r="D545" s="60" t="s">
        <v>120</v>
      </c>
      <c r="E545" s="60" t="s">
        <v>1451</v>
      </c>
      <c r="F545" s="60" t="s">
        <v>1452</v>
      </c>
      <c r="G545" s="60" t="s">
        <v>19</v>
      </c>
      <c r="H545" s="60" t="s">
        <v>244</v>
      </c>
      <c r="I545" s="60" t="s">
        <v>94</v>
      </c>
      <c r="J545" s="61"/>
      <c r="K545" s="61">
        <v>3725.57</v>
      </c>
      <c r="L545" s="62"/>
      <c r="M545" s="64">
        <v>15111.36</v>
      </c>
      <c r="N545" s="17" t="str">
        <f t="shared" si="27"/>
        <v>7834 ASSOCIATED PKG/FL TAMPA</v>
      </c>
      <c r="O545" s="17" t="str">
        <f t="shared" si="28"/>
        <v>741354 MALLARD MANUFACTURING</v>
      </c>
      <c r="P545" s="17" t="str">
        <f t="shared" si="26"/>
        <v>HP 100 CLR-72mm x 914m-4 rls/cs-S (208465)</v>
      </c>
    </row>
    <row r="546" spans="1:16" x14ac:dyDescent="0.25">
      <c r="A546" s="60" t="s">
        <v>283</v>
      </c>
      <c r="B546" s="60" t="s">
        <v>71</v>
      </c>
      <c r="C546" s="60" t="s">
        <v>284</v>
      </c>
      <c r="D546" s="60" t="s">
        <v>120</v>
      </c>
      <c r="E546" s="60" t="s">
        <v>1701</v>
      </c>
      <c r="F546" s="60" t="s">
        <v>1702</v>
      </c>
      <c r="G546" s="60" t="s">
        <v>400</v>
      </c>
      <c r="H546" s="60" t="s">
        <v>1463</v>
      </c>
      <c r="I546" s="60" t="s">
        <v>1464</v>
      </c>
      <c r="J546" s="61"/>
      <c r="K546" s="61">
        <v>3736.26</v>
      </c>
      <c r="L546" s="62"/>
      <c r="M546" s="63">
        <v>4590</v>
      </c>
      <c r="N546" s="17" t="str">
        <f t="shared" si="27"/>
        <v>7834 ASSOCIATED PKG/FL TAMPA</v>
      </c>
      <c r="O546" s="17" t="str">
        <f t="shared" si="28"/>
        <v>741842 SAFARILAND LLC</v>
      </c>
      <c r="P546" s="17" t="str">
        <f t="shared" si="26"/>
        <v>WP 150 RKSAF 70MMx183M(600FT)-10rl/cs-NS (105030)</v>
      </c>
    </row>
    <row r="547" spans="1:16" x14ac:dyDescent="0.25">
      <c r="A547" s="60" t="s">
        <v>283</v>
      </c>
      <c r="B547" s="60" t="s">
        <v>71</v>
      </c>
      <c r="C547" s="60" t="s">
        <v>284</v>
      </c>
      <c r="D547" s="60" t="s">
        <v>120</v>
      </c>
      <c r="E547" s="60" t="s">
        <v>435</v>
      </c>
      <c r="F547" s="60" t="s">
        <v>436</v>
      </c>
      <c r="G547" s="60" t="s">
        <v>58</v>
      </c>
      <c r="H547" s="60" t="s">
        <v>262</v>
      </c>
      <c r="I547" s="60" t="s">
        <v>92</v>
      </c>
      <c r="J547" s="61">
        <v>4814.25</v>
      </c>
      <c r="K547" s="61"/>
      <c r="L547" s="62">
        <v>11333.52</v>
      </c>
      <c r="M547" s="64"/>
      <c r="N547" s="17" t="str">
        <f t="shared" si="27"/>
        <v>7834 ASSOCIATED PKG/FL TAMPA</v>
      </c>
      <c r="O547" s="17" t="str">
        <f t="shared" si="28"/>
        <v>742271 ADVANTUS CORPORATION</v>
      </c>
      <c r="P547" s="17" t="str">
        <f t="shared" si="26"/>
        <v>HP 400 CLR-72mm x 914m-4 rls/cs-H/A (208558)</v>
      </c>
    </row>
    <row r="548" spans="1:16" x14ac:dyDescent="0.25">
      <c r="A548" s="60" t="s">
        <v>283</v>
      </c>
      <c r="B548" s="60" t="s">
        <v>71</v>
      </c>
      <c r="C548" s="60" t="s">
        <v>284</v>
      </c>
      <c r="D548" s="60" t="s">
        <v>120</v>
      </c>
      <c r="E548" s="60" t="s">
        <v>571</v>
      </c>
      <c r="F548" s="60" t="s">
        <v>572</v>
      </c>
      <c r="G548" s="60" t="s">
        <v>58</v>
      </c>
      <c r="H548" s="60" t="s">
        <v>262</v>
      </c>
      <c r="I548" s="60" t="s">
        <v>92</v>
      </c>
      <c r="J548" s="61">
        <v>4379.4399999999996</v>
      </c>
      <c r="K548" s="61">
        <v>4828.51</v>
      </c>
      <c r="L548" s="62">
        <v>11333.52</v>
      </c>
      <c r="M548" s="64">
        <v>11333.717000000001</v>
      </c>
      <c r="N548" s="17" t="str">
        <f t="shared" si="27"/>
        <v>7834 ASSOCIATED PKG/FL TAMPA</v>
      </c>
      <c r="O548" s="17" t="str">
        <f t="shared" si="28"/>
        <v>742832 24 SEVEN ENTERPRISES INC</v>
      </c>
      <c r="P548" s="17" t="str">
        <f t="shared" si="26"/>
        <v>HP 400 CLR-72mm x 914m-4 rls/cs-H/A (208558)</v>
      </c>
    </row>
    <row r="549" spans="1:16" x14ac:dyDescent="0.25">
      <c r="A549" s="60" t="s">
        <v>283</v>
      </c>
      <c r="B549" s="60" t="s">
        <v>71</v>
      </c>
      <c r="C549" s="60" t="s">
        <v>284</v>
      </c>
      <c r="D549" s="60" t="s">
        <v>120</v>
      </c>
      <c r="E549" s="60" t="s">
        <v>834</v>
      </c>
      <c r="F549" s="60" t="s">
        <v>835</v>
      </c>
      <c r="G549" s="60" t="s">
        <v>62</v>
      </c>
      <c r="H549" s="60" t="s">
        <v>246</v>
      </c>
      <c r="I549" s="60" t="s">
        <v>171</v>
      </c>
      <c r="J549" s="61"/>
      <c r="K549" s="61">
        <v>6652.8</v>
      </c>
      <c r="L549" s="62"/>
      <c r="M549" s="64">
        <v>12592.8</v>
      </c>
      <c r="N549" s="17" t="str">
        <f t="shared" si="27"/>
        <v>7834 ASSOCIATED PKG/FL TAMPA</v>
      </c>
      <c r="O549" s="17" t="str">
        <f t="shared" si="28"/>
        <v>742841 PALMETTO CANNING</v>
      </c>
      <c r="P549" s="17" t="str">
        <f t="shared" si="26"/>
        <v>HP 300 CLR-48mm x 914m-6 rls/cs-H (208532)</v>
      </c>
    </row>
    <row r="550" spans="1:16" x14ac:dyDescent="0.25">
      <c r="A550" s="60" t="s">
        <v>283</v>
      </c>
      <c r="B550" s="60" t="s">
        <v>71</v>
      </c>
      <c r="C550" s="60" t="s">
        <v>284</v>
      </c>
      <c r="D550" s="60" t="s">
        <v>120</v>
      </c>
      <c r="E550" s="60" t="s">
        <v>1453</v>
      </c>
      <c r="F550" s="60" t="s">
        <v>1454</v>
      </c>
      <c r="G550" s="60" t="s">
        <v>70</v>
      </c>
      <c r="H550" s="60" t="s">
        <v>383</v>
      </c>
      <c r="I550" s="60" t="s">
        <v>384</v>
      </c>
      <c r="J550" s="61">
        <v>1113.8699999999999</v>
      </c>
      <c r="K550" s="61"/>
      <c r="L550" s="62">
        <v>2518.56</v>
      </c>
      <c r="M550" s="64"/>
      <c r="N550" s="17" t="str">
        <f t="shared" si="27"/>
        <v>7834 ASSOCIATED PKG/FL TAMPA</v>
      </c>
      <c r="O550" s="17" t="str">
        <f t="shared" si="28"/>
        <v>743045 MOTHER KOMBUCHA</v>
      </c>
      <c r="P550" s="17" t="str">
        <f t="shared" si="26"/>
        <v>HP 235 CLR-48mm x 914m-6 rls/cs-H (178027)</v>
      </c>
    </row>
    <row r="551" spans="1:16" x14ac:dyDescent="0.25">
      <c r="A551" s="60" t="s">
        <v>283</v>
      </c>
      <c r="B551" s="60" t="s">
        <v>71</v>
      </c>
      <c r="C551" s="60" t="s">
        <v>284</v>
      </c>
      <c r="D551" s="60" t="s">
        <v>120</v>
      </c>
      <c r="E551" s="60" t="s">
        <v>1455</v>
      </c>
      <c r="F551" s="60" t="s">
        <v>1456</v>
      </c>
      <c r="G551" s="60" t="s">
        <v>449</v>
      </c>
      <c r="H551" s="60" t="s">
        <v>1457</v>
      </c>
      <c r="I551" s="60" t="s">
        <v>1458</v>
      </c>
      <c r="J551" s="61"/>
      <c r="K551" s="61">
        <v>5003.8500000000004</v>
      </c>
      <c r="L551" s="62"/>
      <c r="M551" s="64">
        <v>3409.8</v>
      </c>
      <c r="N551" s="17" t="str">
        <f t="shared" si="27"/>
        <v>7834 ASSOCIATED PKG/FL TAMPA</v>
      </c>
      <c r="O551" s="17" t="str">
        <f t="shared" si="28"/>
        <v>743172 ATLAS EXPORT</v>
      </c>
      <c r="P551" s="17" t="str">
        <f t="shared" si="26"/>
        <v>CP 066 NAT-24mm x 55m-36 rls/cs-H/A (120077)</v>
      </c>
    </row>
    <row r="552" spans="1:16" x14ac:dyDescent="0.25">
      <c r="A552" s="60" t="s">
        <v>283</v>
      </c>
      <c r="B552" s="60" t="s">
        <v>71</v>
      </c>
      <c r="C552" s="60" t="s">
        <v>284</v>
      </c>
      <c r="D552" s="60" t="s">
        <v>120</v>
      </c>
      <c r="E552" s="60" t="s">
        <v>1455</v>
      </c>
      <c r="F552" s="60" t="s">
        <v>1456</v>
      </c>
      <c r="G552" s="60" t="s">
        <v>449</v>
      </c>
      <c r="H552" s="60" t="s">
        <v>450</v>
      </c>
      <c r="I552" s="60" t="s">
        <v>870</v>
      </c>
      <c r="J552" s="61">
        <v>3122.06</v>
      </c>
      <c r="K552" s="61"/>
      <c r="L552" s="65">
        <v>2273.1999999999998</v>
      </c>
      <c r="M552" s="64"/>
      <c r="N552" s="17" t="str">
        <f t="shared" si="27"/>
        <v>7834 ASSOCIATED PKG/FL TAMPA</v>
      </c>
      <c r="O552" s="17" t="str">
        <f t="shared" si="28"/>
        <v>743172 ATLAS EXPORT</v>
      </c>
      <c r="P552" s="17" t="str">
        <f t="shared" si="26"/>
        <v>CP 066 NAT-24mm x 55m-36 rls/cs-X (172840)</v>
      </c>
    </row>
    <row r="553" spans="1:16" x14ac:dyDescent="0.25">
      <c r="A553" s="60" t="s">
        <v>283</v>
      </c>
      <c r="B553" s="60" t="s">
        <v>71</v>
      </c>
      <c r="C553" s="60" t="s">
        <v>284</v>
      </c>
      <c r="D553" s="60" t="s">
        <v>120</v>
      </c>
      <c r="E553" s="60" t="s">
        <v>1459</v>
      </c>
      <c r="F553" s="60" t="s">
        <v>1460</v>
      </c>
      <c r="G553" s="60" t="s">
        <v>18</v>
      </c>
      <c r="H553" s="60" t="s">
        <v>214</v>
      </c>
      <c r="I553" s="60" t="s">
        <v>158</v>
      </c>
      <c r="J553" s="61"/>
      <c r="K553" s="61">
        <v>521.53</v>
      </c>
      <c r="L553" s="62"/>
      <c r="M553" s="63">
        <v>1888.92</v>
      </c>
      <c r="N553" s="17" t="str">
        <f t="shared" ref="N553:N554" si="29">C553&amp;" "&amp;D553</f>
        <v>7834 ASSOCIATED PKG/FL TAMPA</v>
      </c>
      <c r="O553" s="17" t="str">
        <f t="shared" ref="O553:O554" si="30">E553&amp;" "&amp;F553</f>
        <v>743686 SOLAR CITY INC DBA THE LEVEREDGE</v>
      </c>
      <c r="P553" s="17" t="str">
        <f t="shared" si="26"/>
        <v>HP 200 CLR-72mm x 914m-4 rls/cs-S (208496)</v>
      </c>
    </row>
    <row r="554" spans="1:16" x14ac:dyDescent="0.25">
      <c r="A554" s="60" t="s">
        <v>283</v>
      </c>
      <c r="B554" s="60" t="s">
        <v>71</v>
      </c>
      <c r="C554" s="60" t="s">
        <v>284</v>
      </c>
      <c r="D554" s="60" t="s">
        <v>120</v>
      </c>
      <c r="E554" s="60" t="s">
        <v>1703</v>
      </c>
      <c r="F554" s="60" t="s">
        <v>1704</v>
      </c>
      <c r="G554" s="60" t="s">
        <v>18</v>
      </c>
      <c r="H554" s="60" t="s">
        <v>212</v>
      </c>
      <c r="I554" s="60" t="s">
        <v>86</v>
      </c>
      <c r="J554" s="61"/>
      <c r="K554" s="61">
        <v>3476.09</v>
      </c>
      <c r="L554" s="62"/>
      <c r="M554" s="64">
        <v>12592.8</v>
      </c>
      <c r="N554" s="17" t="str">
        <f t="shared" si="29"/>
        <v>7834 ASSOCIATED PKG/FL TAMPA</v>
      </c>
      <c r="O554" s="17" t="str">
        <f t="shared" si="30"/>
        <v>743687 SOUTHERN WINE AND SPIRITS</v>
      </c>
      <c r="P554" s="17" t="str">
        <f t="shared" si="26"/>
        <v>HP 200 CLR-48mm x 914m-6 rls/cs-S (208492)</v>
      </c>
    </row>
    <row r="555" spans="1:16" x14ac:dyDescent="0.25">
      <c r="A555" s="60" t="s">
        <v>283</v>
      </c>
      <c r="B555" s="60" t="s">
        <v>71</v>
      </c>
      <c r="C555" s="60" t="s">
        <v>284</v>
      </c>
      <c r="D555" s="60" t="s">
        <v>120</v>
      </c>
      <c r="E555" s="60" t="s">
        <v>663</v>
      </c>
      <c r="F555" s="60" t="s">
        <v>664</v>
      </c>
      <c r="G555" s="60" t="s">
        <v>61</v>
      </c>
      <c r="H555" s="60" t="s">
        <v>289</v>
      </c>
      <c r="I555" s="60" t="s">
        <v>154</v>
      </c>
      <c r="J555" s="61"/>
      <c r="K555" s="61">
        <v>2157.4</v>
      </c>
      <c r="L555" s="62"/>
      <c r="M555" s="64">
        <v>2065.9699999999998</v>
      </c>
      <c r="N555" s="17" t="str">
        <f t="shared" ref="N555:N618" si="31">C555&amp;" "&amp;D555</f>
        <v>7834 ASSOCIATED PKG/FL TAMPA</v>
      </c>
      <c r="O555" s="17" t="str">
        <f t="shared" ref="O555:O618" si="32">E555&amp;" "&amp;F555</f>
        <v>744456 HANCOCK FARM &amp; SEED COMPANY</v>
      </c>
      <c r="P555" s="17" t="str">
        <f t="shared" si="26"/>
        <v>HP 500 CLR-72mm x 50m-24 rls/cs-H/A (207775)</v>
      </c>
    </row>
    <row r="556" spans="1:16" x14ac:dyDescent="0.25">
      <c r="A556" s="60" t="s">
        <v>283</v>
      </c>
      <c r="B556" s="60" t="s">
        <v>71</v>
      </c>
      <c r="C556" s="60" t="s">
        <v>284</v>
      </c>
      <c r="D556" s="60" t="s">
        <v>120</v>
      </c>
      <c r="E556" s="60" t="s">
        <v>663</v>
      </c>
      <c r="F556" s="60" t="s">
        <v>664</v>
      </c>
      <c r="G556" s="60" t="s">
        <v>61</v>
      </c>
      <c r="H556" s="60" t="s">
        <v>306</v>
      </c>
      <c r="I556" s="60" t="s">
        <v>160</v>
      </c>
      <c r="J556" s="61">
        <v>5527.05</v>
      </c>
      <c r="K556" s="61"/>
      <c r="L556" s="62">
        <v>11333.630999999999</v>
      </c>
      <c r="M556" s="63"/>
      <c r="N556" s="17" t="str">
        <f t="shared" si="31"/>
        <v>7834 ASSOCIATED PKG/FL TAMPA</v>
      </c>
      <c r="O556" s="17" t="str">
        <f t="shared" si="32"/>
        <v>744456 HANCOCK FARM &amp; SEED COMPANY</v>
      </c>
      <c r="P556" s="17" t="str">
        <f t="shared" si="26"/>
        <v>HP 500 CLR-72mm x 914m-4 rls/cs-S (208571)</v>
      </c>
    </row>
    <row r="557" spans="1:16" x14ac:dyDescent="0.25">
      <c r="A557" s="60" t="s">
        <v>283</v>
      </c>
      <c r="B557" s="60" t="s">
        <v>71</v>
      </c>
      <c r="C557" s="60" t="s">
        <v>284</v>
      </c>
      <c r="D557" s="60" t="s">
        <v>120</v>
      </c>
      <c r="E557" s="60" t="s">
        <v>1461</v>
      </c>
      <c r="F557" s="60" t="s">
        <v>1462</v>
      </c>
      <c r="G557" s="60" t="s">
        <v>400</v>
      </c>
      <c r="H557" s="60" t="s">
        <v>1463</v>
      </c>
      <c r="I557" s="60" t="s">
        <v>1464</v>
      </c>
      <c r="J557" s="61">
        <v>6636.17</v>
      </c>
      <c r="K557" s="61"/>
      <c r="L557" s="62">
        <v>9639</v>
      </c>
      <c r="M557" s="64"/>
      <c r="N557" s="17" t="str">
        <f t="shared" si="31"/>
        <v>7834 ASSOCIATED PKG/FL TAMPA</v>
      </c>
      <c r="O557" s="17" t="str">
        <f t="shared" si="32"/>
        <v>744968 ASSOCIATED PKG FOR SAFARILAND LLC</v>
      </c>
      <c r="P557" s="17" t="str">
        <f t="shared" si="26"/>
        <v>WP 150 RKSAF 70MMx183M(600FT)-10rl/cs-NS (105030)</v>
      </c>
    </row>
    <row r="558" spans="1:16" x14ac:dyDescent="0.25">
      <c r="A558" s="60" t="s">
        <v>283</v>
      </c>
      <c r="B558" s="60" t="s">
        <v>71</v>
      </c>
      <c r="C558" s="60" t="s">
        <v>284</v>
      </c>
      <c r="D558" s="60" t="s">
        <v>120</v>
      </c>
      <c r="E558" s="60" t="s">
        <v>1119</v>
      </c>
      <c r="F558" s="60" t="s">
        <v>1120</v>
      </c>
      <c r="G558" s="60" t="s">
        <v>18</v>
      </c>
      <c r="H558" s="60" t="s">
        <v>212</v>
      </c>
      <c r="I558" s="60" t="s">
        <v>86</v>
      </c>
      <c r="J558" s="61">
        <v>4182.71</v>
      </c>
      <c r="K558" s="61"/>
      <c r="L558" s="62">
        <v>15111.36</v>
      </c>
      <c r="M558" s="63"/>
      <c r="N558" s="17" t="str">
        <f t="shared" si="31"/>
        <v>7834 ASSOCIATED PKG/FL TAMPA</v>
      </c>
      <c r="O558" s="17" t="str">
        <f t="shared" si="32"/>
        <v>745701 FORMULATED SOLUTIONS</v>
      </c>
      <c r="P558" s="17" t="str">
        <f t="shared" si="26"/>
        <v>HP 200 CLR-48mm x 914m-6 rls/cs-S (208492)</v>
      </c>
    </row>
    <row r="559" spans="1:16" x14ac:dyDescent="0.25">
      <c r="A559" s="60" t="s">
        <v>283</v>
      </c>
      <c r="B559" s="60" t="s">
        <v>71</v>
      </c>
      <c r="C559" s="60" t="s">
        <v>284</v>
      </c>
      <c r="D559" s="60" t="s">
        <v>120</v>
      </c>
      <c r="E559" s="60" t="s">
        <v>1465</v>
      </c>
      <c r="F559" s="60" t="s">
        <v>1466</v>
      </c>
      <c r="G559" s="60" t="s">
        <v>18</v>
      </c>
      <c r="H559" s="60" t="s">
        <v>214</v>
      </c>
      <c r="I559" s="60" t="s">
        <v>158</v>
      </c>
      <c r="J559" s="61"/>
      <c r="K559" s="61">
        <v>4172.25</v>
      </c>
      <c r="L559" s="65"/>
      <c r="M559" s="64">
        <v>15111.36</v>
      </c>
      <c r="N559" s="17" t="str">
        <f t="shared" si="31"/>
        <v>7834 ASSOCIATED PKG/FL TAMPA</v>
      </c>
      <c r="O559" s="17" t="str">
        <f t="shared" si="32"/>
        <v>746057 COCA-COLA BEVERAGES FLORIDA</v>
      </c>
      <c r="P559" s="17" t="str">
        <f t="shared" si="26"/>
        <v>HP 200 CLR-72mm x 914m-4 rls/cs-S (208496)</v>
      </c>
    </row>
    <row r="560" spans="1:16" x14ac:dyDescent="0.25">
      <c r="A560" s="60" t="s">
        <v>283</v>
      </c>
      <c r="B560" s="60" t="s">
        <v>71</v>
      </c>
      <c r="C560" s="60" t="s">
        <v>284</v>
      </c>
      <c r="D560" s="60" t="s">
        <v>120</v>
      </c>
      <c r="E560" s="60" t="s">
        <v>1121</v>
      </c>
      <c r="F560" s="60" t="s">
        <v>1122</v>
      </c>
      <c r="G560" s="60" t="s">
        <v>19</v>
      </c>
      <c r="H560" s="60" t="s">
        <v>243</v>
      </c>
      <c r="I560" s="60" t="s">
        <v>87</v>
      </c>
      <c r="J560" s="61">
        <v>3735.07</v>
      </c>
      <c r="K560" s="61"/>
      <c r="L560" s="62">
        <v>15111.36</v>
      </c>
      <c r="M560" s="63"/>
      <c r="N560" s="17" t="str">
        <f t="shared" si="31"/>
        <v>7834 ASSOCIATED PKG/FL TAMPA</v>
      </c>
      <c r="O560" s="17" t="str">
        <f t="shared" si="32"/>
        <v>746140 ASSOCIATED FOR BADIA</v>
      </c>
      <c r="P560" s="17" t="str">
        <f t="shared" si="26"/>
        <v>HP 100 CLR-48mm x 914m-6 rls/cs-S (208453)</v>
      </c>
    </row>
    <row r="561" spans="1:16" x14ac:dyDescent="0.25">
      <c r="A561" s="60" t="s">
        <v>283</v>
      </c>
      <c r="B561" s="60" t="s">
        <v>71</v>
      </c>
      <c r="C561" s="60" t="s">
        <v>284</v>
      </c>
      <c r="D561" s="60" t="s">
        <v>120</v>
      </c>
      <c r="E561" s="60" t="s">
        <v>1121</v>
      </c>
      <c r="F561" s="60" t="s">
        <v>1122</v>
      </c>
      <c r="G561" s="60" t="s">
        <v>18</v>
      </c>
      <c r="H561" s="60" t="s">
        <v>212</v>
      </c>
      <c r="I561" s="60" t="s">
        <v>86</v>
      </c>
      <c r="J561" s="61">
        <v>16730.84</v>
      </c>
      <c r="K561" s="61"/>
      <c r="L561" s="62">
        <v>60445.440000000002</v>
      </c>
      <c r="M561" s="63"/>
      <c r="N561" s="17" t="str">
        <f t="shared" si="31"/>
        <v>7834 ASSOCIATED PKG/FL TAMPA</v>
      </c>
      <c r="O561" s="17" t="str">
        <f t="shared" si="32"/>
        <v>746140 ASSOCIATED FOR BADIA</v>
      </c>
      <c r="P561" s="17" t="str">
        <f t="shared" si="26"/>
        <v>HP 200 CLR-48mm x 914m-6 rls/cs-S (208492)</v>
      </c>
    </row>
    <row r="562" spans="1:16" x14ac:dyDescent="0.25">
      <c r="A562" s="60" t="s">
        <v>283</v>
      </c>
      <c r="B562" s="60" t="s">
        <v>71</v>
      </c>
      <c r="C562" s="60" t="s">
        <v>284</v>
      </c>
      <c r="D562" s="60" t="s">
        <v>120</v>
      </c>
      <c r="E562" s="60" t="s">
        <v>1121</v>
      </c>
      <c r="F562" s="60" t="s">
        <v>1122</v>
      </c>
      <c r="G562" s="60" t="s">
        <v>109</v>
      </c>
      <c r="H562" s="60" t="s">
        <v>355</v>
      </c>
      <c r="I562" s="60" t="s">
        <v>356</v>
      </c>
      <c r="J562" s="61">
        <v>147.72999999999999</v>
      </c>
      <c r="K562" s="61"/>
      <c r="L562" s="62">
        <v>230.55</v>
      </c>
      <c r="M562" s="63"/>
      <c r="N562" s="17" t="str">
        <f t="shared" si="31"/>
        <v>7834 ASSOCIATED PKG/FL TAMPA</v>
      </c>
      <c r="O562" s="17" t="str">
        <f t="shared" si="32"/>
        <v>746140 ASSOCIATED FOR BADIA</v>
      </c>
      <c r="P562" s="17" t="str">
        <f t="shared" si="26"/>
        <v>WP 100 NAT-70mm x 153m(500ft)-6 rls/cs-H (101688)</v>
      </c>
    </row>
    <row r="563" spans="1:16" x14ac:dyDescent="0.25">
      <c r="A563" s="60" t="s">
        <v>283</v>
      </c>
      <c r="B563" s="60" t="s">
        <v>71</v>
      </c>
      <c r="C563" s="60" t="s">
        <v>284</v>
      </c>
      <c r="D563" s="60" t="s">
        <v>120</v>
      </c>
      <c r="E563" s="60" t="s">
        <v>1467</v>
      </c>
      <c r="F563" s="60" t="s">
        <v>1468</v>
      </c>
      <c r="G563" s="60" t="s">
        <v>65</v>
      </c>
      <c r="H563" s="60" t="s">
        <v>264</v>
      </c>
      <c r="I563" s="60" t="s">
        <v>66</v>
      </c>
      <c r="J563" s="61">
        <v>95.04</v>
      </c>
      <c r="K563" s="61"/>
      <c r="L563" s="62">
        <v>151.56</v>
      </c>
      <c r="M563" s="63"/>
      <c r="N563" s="17" t="str">
        <f t="shared" si="31"/>
        <v>7834 ASSOCIATED PKG/FL TAMPA</v>
      </c>
      <c r="O563" s="17" t="str">
        <f t="shared" si="32"/>
        <v>747366 ROB BLANKENSHIP</v>
      </c>
      <c r="P563" s="17" t="str">
        <f t="shared" si="26"/>
        <v>FP 097 KFT-48mm x 55m-24 rls/cs-H/A (101072)</v>
      </c>
    </row>
    <row r="564" spans="1:16" x14ac:dyDescent="0.25">
      <c r="A564" s="60" t="s">
        <v>283</v>
      </c>
      <c r="B564" s="60" t="s">
        <v>71</v>
      </c>
      <c r="C564" s="60" t="s">
        <v>284</v>
      </c>
      <c r="D564" s="60" t="s">
        <v>120</v>
      </c>
      <c r="E564" s="60" t="s">
        <v>895</v>
      </c>
      <c r="F564" s="60" t="s">
        <v>896</v>
      </c>
      <c r="G564" s="60" t="s">
        <v>70</v>
      </c>
      <c r="H564" s="60" t="s">
        <v>383</v>
      </c>
      <c r="I564" s="60" t="s">
        <v>384</v>
      </c>
      <c r="J564" s="61"/>
      <c r="K564" s="61">
        <v>1461.83</v>
      </c>
      <c r="L564" s="62"/>
      <c r="M564" s="63">
        <v>3148.2</v>
      </c>
      <c r="N564" s="17" t="str">
        <f t="shared" si="31"/>
        <v>7834 ASSOCIATED PKG/FL TAMPA</v>
      </c>
      <c r="O564" s="17" t="str">
        <f t="shared" si="32"/>
        <v>750236 CHEMICAL DYNAMICS</v>
      </c>
      <c r="P564" s="17" t="str">
        <f t="shared" si="26"/>
        <v>HP 235 CLR-48mm x 914m-6 rls/cs-H (178027)</v>
      </c>
    </row>
    <row r="565" spans="1:16" x14ac:dyDescent="0.25">
      <c r="A565" s="60" t="s">
        <v>283</v>
      </c>
      <c r="B565" s="60" t="s">
        <v>71</v>
      </c>
      <c r="C565" s="60" t="s">
        <v>284</v>
      </c>
      <c r="D565" s="60" t="s">
        <v>120</v>
      </c>
      <c r="E565" s="60" t="s">
        <v>1705</v>
      </c>
      <c r="F565" s="60" t="s">
        <v>1706</v>
      </c>
      <c r="G565" s="60" t="s">
        <v>18</v>
      </c>
      <c r="H565" s="60" t="s">
        <v>1707</v>
      </c>
      <c r="I565" s="60" t="s">
        <v>1708</v>
      </c>
      <c r="J565" s="61"/>
      <c r="K565" s="61">
        <v>369.55</v>
      </c>
      <c r="L565" s="62"/>
      <c r="M565" s="63">
        <v>629.62</v>
      </c>
      <c r="N565" s="17" t="str">
        <f t="shared" si="31"/>
        <v>7834 ASSOCIATED PKG/FL TAMPA</v>
      </c>
      <c r="O565" s="17" t="str">
        <f t="shared" si="32"/>
        <v>751855 COMMERCIAL WAREHOUSING</v>
      </c>
      <c r="P565" s="17" t="str">
        <f t="shared" si="26"/>
        <v>HP 200 CLR-36mm x 914m-8 rls/cs-H (100501)</v>
      </c>
    </row>
    <row r="566" spans="1:16" x14ac:dyDescent="0.25">
      <c r="A566" s="60" t="s">
        <v>283</v>
      </c>
      <c r="B566" s="60" t="s">
        <v>71</v>
      </c>
      <c r="C566" s="60" t="s">
        <v>284</v>
      </c>
      <c r="D566" s="60" t="s">
        <v>120</v>
      </c>
      <c r="E566" s="60" t="s">
        <v>1705</v>
      </c>
      <c r="F566" s="60" t="s">
        <v>1706</v>
      </c>
      <c r="G566" s="60" t="s">
        <v>18</v>
      </c>
      <c r="H566" s="60" t="s">
        <v>215</v>
      </c>
      <c r="I566" s="60" t="s">
        <v>50</v>
      </c>
      <c r="J566" s="61"/>
      <c r="K566" s="61">
        <v>844.67</v>
      </c>
      <c r="L566" s="62"/>
      <c r="M566" s="63">
        <v>3099.9</v>
      </c>
      <c r="N566" s="17" t="str">
        <f t="shared" si="31"/>
        <v>7834 ASSOCIATED PKG/FL TAMPA</v>
      </c>
      <c r="O566" s="17" t="str">
        <f t="shared" si="32"/>
        <v>751855 COMMERCIAL WAREHOUSING</v>
      </c>
      <c r="P566" s="17" t="str">
        <f t="shared" si="26"/>
        <v>HP 200 CLR-48mm x 100m-36 rls/cs-S (207149)</v>
      </c>
    </row>
    <row r="567" spans="1:16" x14ac:dyDescent="0.25">
      <c r="A567" s="60" t="s">
        <v>297</v>
      </c>
      <c r="B567" s="60" t="s">
        <v>68</v>
      </c>
      <c r="C567" s="60" t="s">
        <v>291</v>
      </c>
      <c r="D567" s="60" t="s">
        <v>124</v>
      </c>
      <c r="E567" s="60" t="s">
        <v>291</v>
      </c>
      <c r="F567" s="60" t="s">
        <v>124</v>
      </c>
      <c r="G567" s="60" t="s">
        <v>63</v>
      </c>
      <c r="H567" s="60" t="s">
        <v>224</v>
      </c>
      <c r="I567" s="60" t="s">
        <v>64</v>
      </c>
      <c r="J567" s="61"/>
      <c r="K567" s="61">
        <v>805.46</v>
      </c>
      <c r="L567" s="65"/>
      <c r="M567" s="64">
        <v>4132.8</v>
      </c>
      <c r="N567" s="17" t="str">
        <f t="shared" si="31"/>
        <v>7839 ASSOCIATED PKG/GA DOUGLASVILLE</v>
      </c>
      <c r="O567" s="17" t="str">
        <f t="shared" si="32"/>
        <v>7839 ASSOCIATED PKG/GA DOUGLASVILLE</v>
      </c>
      <c r="P567" s="17" t="str">
        <f t="shared" si="26"/>
        <v>AP 180 CLR-48mm x 100m-36 rls/cs-H/A (231044)</v>
      </c>
    </row>
    <row r="568" spans="1:16" x14ac:dyDescent="0.25">
      <c r="A568" s="60" t="s">
        <v>297</v>
      </c>
      <c r="B568" s="60" t="s">
        <v>68</v>
      </c>
      <c r="C568" s="60" t="s">
        <v>291</v>
      </c>
      <c r="D568" s="60" t="s">
        <v>124</v>
      </c>
      <c r="E568" s="60" t="s">
        <v>291</v>
      </c>
      <c r="F568" s="60" t="s">
        <v>124</v>
      </c>
      <c r="G568" s="60" t="s">
        <v>63</v>
      </c>
      <c r="H568" s="60" t="s">
        <v>1194</v>
      </c>
      <c r="I568" s="60" t="s">
        <v>1195</v>
      </c>
      <c r="J568" s="61"/>
      <c r="K568" s="61">
        <v>1794.83</v>
      </c>
      <c r="L568" s="65"/>
      <c r="M568" s="64">
        <v>7555.4669999999996</v>
      </c>
      <c r="N568" s="17" t="str">
        <f t="shared" si="31"/>
        <v>7839 ASSOCIATED PKG/GA DOUGLASVILLE</v>
      </c>
      <c r="O568" s="17" t="str">
        <f t="shared" si="32"/>
        <v>7839 ASSOCIATED PKG/GA DOUGLASVILLE</v>
      </c>
      <c r="P568" s="17" t="str">
        <f t="shared" si="26"/>
        <v>AP 180 CLR-48mm x 914m-6 rls/cs-H/A (231046)</v>
      </c>
    </row>
    <row r="569" spans="1:16" x14ac:dyDescent="0.25">
      <c r="A569" s="60" t="s">
        <v>297</v>
      </c>
      <c r="B569" s="60" t="s">
        <v>68</v>
      </c>
      <c r="C569" s="60" t="s">
        <v>291</v>
      </c>
      <c r="D569" s="60" t="s">
        <v>124</v>
      </c>
      <c r="E569" s="60" t="s">
        <v>291</v>
      </c>
      <c r="F569" s="60" t="s">
        <v>124</v>
      </c>
      <c r="G569" s="60" t="s">
        <v>67</v>
      </c>
      <c r="H569" s="60" t="s">
        <v>253</v>
      </c>
      <c r="I569" s="60" t="s">
        <v>69</v>
      </c>
      <c r="J569" s="61"/>
      <c r="K569" s="61">
        <v>2194</v>
      </c>
      <c r="L569" s="62"/>
      <c r="M569" s="64">
        <v>1439.5920000000001</v>
      </c>
      <c r="N569" s="17" t="str">
        <f t="shared" si="31"/>
        <v>7839 ASSOCIATED PKG/GA DOUGLASVILLE</v>
      </c>
      <c r="O569" s="17" t="str">
        <f t="shared" si="32"/>
        <v>7839 ASSOCIATED PKG/GA DOUGLASVILLE</v>
      </c>
      <c r="P569" s="17" t="str">
        <f t="shared" si="26"/>
        <v>FP 115 BRN-48mm x 55m-24 rls/cs-H (104675)</v>
      </c>
    </row>
    <row r="570" spans="1:16" x14ac:dyDescent="0.25">
      <c r="A570" s="60" t="s">
        <v>297</v>
      </c>
      <c r="B570" s="60" t="s">
        <v>68</v>
      </c>
      <c r="C570" s="60" t="s">
        <v>291</v>
      </c>
      <c r="D570" s="60" t="s">
        <v>124</v>
      </c>
      <c r="E570" s="60" t="s">
        <v>291</v>
      </c>
      <c r="F570" s="60" t="s">
        <v>124</v>
      </c>
      <c r="G570" s="60" t="s">
        <v>205</v>
      </c>
      <c r="H570" s="60" t="s">
        <v>231</v>
      </c>
      <c r="I570" s="60" t="s">
        <v>379</v>
      </c>
      <c r="J570" s="61"/>
      <c r="K570" s="61">
        <v>66.53</v>
      </c>
      <c r="L570" s="62"/>
      <c r="M570" s="63">
        <v>0</v>
      </c>
      <c r="N570" s="17" t="str">
        <f t="shared" si="31"/>
        <v>7839 ASSOCIATED PKG/GA DOUGLASVILLE</v>
      </c>
      <c r="O570" s="17" t="str">
        <f t="shared" si="32"/>
        <v>7839 ASSOCIATED PKG/GA DOUGLASVILLE</v>
      </c>
      <c r="P570" s="17" t="str">
        <f t="shared" si="26"/>
        <v>SD 935  PISTOL GRIP DISPNSR-3 IN. ROLL-S (909535)</v>
      </c>
    </row>
    <row r="571" spans="1:16" x14ac:dyDescent="0.25">
      <c r="A571" s="60" t="s">
        <v>297</v>
      </c>
      <c r="B571" s="60" t="s">
        <v>68</v>
      </c>
      <c r="C571" s="60" t="s">
        <v>291</v>
      </c>
      <c r="D571" s="60" t="s">
        <v>124</v>
      </c>
      <c r="E571" s="60" t="s">
        <v>357</v>
      </c>
      <c r="F571" s="60" t="s">
        <v>358</v>
      </c>
      <c r="G571" s="60" t="s">
        <v>19</v>
      </c>
      <c r="H571" s="60" t="s">
        <v>248</v>
      </c>
      <c r="I571" s="60" t="s">
        <v>103</v>
      </c>
      <c r="J571" s="61">
        <v>14017.92</v>
      </c>
      <c r="K571" s="61"/>
      <c r="L571" s="62">
        <v>68001.119999999995</v>
      </c>
      <c r="M571" s="63"/>
      <c r="N571" s="17" t="str">
        <f t="shared" si="31"/>
        <v>7839 ASSOCIATED PKG/GA DOUGLASVILLE</v>
      </c>
      <c r="O571" s="17" t="str">
        <f t="shared" si="32"/>
        <v>12662 LIFOAM</v>
      </c>
      <c r="P571" s="17" t="str">
        <f t="shared" si="26"/>
        <v>HP 100 CLR-72mm x 1371m-4 rls/cs-H/T (208761)</v>
      </c>
    </row>
    <row r="572" spans="1:16" x14ac:dyDescent="0.25">
      <c r="A572" s="60" t="s">
        <v>297</v>
      </c>
      <c r="B572" s="60" t="s">
        <v>68</v>
      </c>
      <c r="C572" s="60" t="s">
        <v>291</v>
      </c>
      <c r="D572" s="60" t="s">
        <v>124</v>
      </c>
      <c r="E572" s="60" t="s">
        <v>736</v>
      </c>
      <c r="F572" s="60" t="s">
        <v>737</v>
      </c>
      <c r="G572" s="60" t="s">
        <v>65</v>
      </c>
      <c r="H572" s="60" t="s">
        <v>252</v>
      </c>
      <c r="I572" s="60" t="s">
        <v>152</v>
      </c>
      <c r="J572" s="61"/>
      <c r="K572" s="61">
        <v>2737.15</v>
      </c>
      <c r="L572" s="65"/>
      <c r="M572" s="64">
        <v>2273.4</v>
      </c>
      <c r="N572" s="17" t="str">
        <f t="shared" si="31"/>
        <v>7839 ASSOCIATED PKG/GA DOUGLASVILLE</v>
      </c>
      <c r="O572" s="17" t="str">
        <f t="shared" si="32"/>
        <v>23361 BRILL CSM BAKERY SOLUTION</v>
      </c>
      <c r="P572" s="17" t="str">
        <f t="shared" si="26"/>
        <v>FP 097 KFT-72mm x 55m-16 rls/cs-H/A (101073)</v>
      </c>
    </row>
    <row r="573" spans="1:16" x14ac:dyDescent="0.25">
      <c r="A573" s="60" t="s">
        <v>297</v>
      </c>
      <c r="B573" s="60" t="s">
        <v>68</v>
      </c>
      <c r="C573" s="60" t="s">
        <v>291</v>
      </c>
      <c r="D573" s="60" t="s">
        <v>124</v>
      </c>
      <c r="E573" s="60" t="s">
        <v>736</v>
      </c>
      <c r="F573" s="60" t="s">
        <v>737</v>
      </c>
      <c r="G573" s="60" t="s">
        <v>59</v>
      </c>
      <c r="H573" s="60" t="s">
        <v>1083</v>
      </c>
      <c r="I573" s="60" t="s">
        <v>1084</v>
      </c>
      <c r="J573" s="61">
        <v>3773.08</v>
      </c>
      <c r="K573" s="61"/>
      <c r="L573" s="62">
        <v>3409.8</v>
      </c>
      <c r="M573" s="63"/>
      <c r="N573" s="17" t="str">
        <f t="shared" si="31"/>
        <v>7839 ASSOCIATED PKG/GA DOUGLASVILLE</v>
      </c>
      <c r="O573" s="17" t="str">
        <f t="shared" si="32"/>
        <v>23361 BRILL CSM BAKERY SOLUTION</v>
      </c>
      <c r="P573" s="17" t="str">
        <f t="shared" si="26"/>
        <v>GS 490 CLR-18mm x 55m-48 rls/cs-H/A (101229)</v>
      </c>
    </row>
    <row r="574" spans="1:16" x14ac:dyDescent="0.25">
      <c r="A574" s="60" t="s">
        <v>297</v>
      </c>
      <c r="B574" s="60" t="s">
        <v>68</v>
      </c>
      <c r="C574" s="60" t="s">
        <v>291</v>
      </c>
      <c r="D574" s="60" t="s">
        <v>124</v>
      </c>
      <c r="E574" s="60" t="s">
        <v>1123</v>
      </c>
      <c r="F574" s="60" t="s">
        <v>1124</v>
      </c>
      <c r="G574" s="60" t="s">
        <v>18</v>
      </c>
      <c r="H574" s="60" t="s">
        <v>215</v>
      </c>
      <c r="I574" s="60" t="s">
        <v>50</v>
      </c>
      <c r="J574" s="61"/>
      <c r="K574" s="61">
        <v>281.56</v>
      </c>
      <c r="L574" s="65"/>
      <c r="M574" s="64">
        <v>1033.3</v>
      </c>
      <c r="N574" s="17" t="str">
        <f t="shared" si="31"/>
        <v>7839 ASSOCIATED PKG/GA DOUGLASVILLE</v>
      </c>
      <c r="O574" s="17" t="str">
        <f t="shared" si="32"/>
        <v>25219 RAINBOW GOLD PRODUCTS INC.</v>
      </c>
      <c r="P574" s="17" t="str">
        <f t="shared" si="26"/>
        <v>HP 200 CLR-48mm x 100m-36 rls/cs-S (207149)</v>
      </c>
    </row>
    <row r="575" spans="1:16" x14ac:dyDescent="0.25">
      <c r="A575" s="60" t="s">
        <v>297</v>
      </c>
      <c r="B575" s="60" t="s">
        <v>68</v>
      </c>
      <c r="C575" s="60" t="s">
        <v>291</v>
      </c>
      <c r="D575" s="60" t="s">
        <v>124</v>
      </c>
      <c r="E575" s="60" t="s">
        <v>1123</v>
      </c>
      <c r="F575" s="60" t="s">
        <v>1124</v>
      </c>
      <c r="G575" s="60" t="s">
        <v>18</v>
      </c>
      <c r="H575" s="60" t="s">
        <v>212</v>
      </c>
      <c r="I575" s="60" t="s">
        <v>86</v>
      </c>
      <c r="J575" s="61"/>
      <c r="K575" s="61">
        <v>869.02</v>
      </c>
      <c r="L575" s="62"/>
      <c r="M575" s="63">
        <v>3148.2</v>
      </c>
      <c r="N575" s="17" t="str">
        <f t="shared" si="31"/>
        <v>7839 ASSOCIATED PKG/GA DOUGLASVILLE</v>
      </c>
      <c r="O575" s="17" t="str">
        <f t="shared" si="32"/>
        <v>25219 RAINBOW GOLD PRODUCTS INC.</v>
      </c>
      <c r="P575" s="17" t="str">
        <f t="shared" si="26"/>
        <v>HP 200 CLR-48mm x 914m-6 rls/cs-S (208492)</v>
      </c>
    </row>
    <row r="576" spans="1:16" x14ac:dyDescent="0.25">
      <c r="A576" s="60" t="s">
        <v>297</v>
      </c>
      <c r="B576" s="60" t="s">
        <v>68</v>
      </c>
      <c r="C576" s="60" t="s">
        <v>291</v>
      </c>
      <c r="D576" s="60" t="s">
        <v>124</v>
      </c>
      <c r="E576" s="60" t="s">
        <v>1125</v>
      </c>
      <c r="F576" s="60" t="s">
        <v>1126</v>
      </c>
      <c r="G576" s="60" t="s">
        <v>18</v>
      </c>
      <c r="H576" s="60" t="s">
        <v>215</v>
      </c>
      <c r="I576" s="60" t="s">
        <v>50</v>
      </c>
      <c r="J576" s="61">
        <v>219.54</v>
      </c>
      <c r="K576" s="61">
        <v>112.62</v>
      </c>
      <c r="L576" s="62">
        <v>826.64</v>
      </c>
      <c r="M576" s="63">
        <v>413.32</v>
      </c>
      <c r="N576" s="17" t="str">
        <f t="shared" si="31"/>
        <v>7839 ASSOCIATED PKG/GA DOUGLASVILLE</v>
      </c>
      <c r="O576" s="17" t="str">
        <f t="shared" si="32"/>
        <v>44691 AUTOCHLOR SYSTEM</v>
      </c>
      <c r="P576" s="17" t="str">
        <f t="shared" si="26"/>
        <v>HP 200 CLR-48mm x 100m-36 rls/cs-S (207149)</v>
      </c>
    </row>
    <row r="577" spans="1:16" x14ac:dyDescent="0.25">
      <c r="A577" s="60" t="s">
        <v>297</v>
      </c>
      <c r="B577" s="60" t="s">
        <v>68</v>
      </c>
      <c r="C577" s="60" t="s">
        <v>291</v>
      </c>
      <c r="D577" s="60" t="s">
        <v>124</v>
      </c>
      <c r="E577" s="60" t="s">
        <v>1125</v>
      </c>
      <c r="F577" s="60" t="s">
        <v>1126</v>
      </c>
      <c r="G577" s="60" t="s">
        <v>18</v>
      </c>
      <c r="H577" s="60" t="s">
        <v>213</v>
      </c>
      <c r="I577" s="60" t="s">
        <v>157</v>
      </c>
      <c r="J577" s="61"/>
      <c r="K577" s="61">
        <v>1303.83</v>
      </c>
      <c r="L577" s="62"/>
      <c r="M577" s="63">
        <v>4722.3</v>
      </c>
      <c r="N577" s="17" t="str">
        <f t="shared" si="31"/>
        <v>7839 ASSOCIATED PKG/GA DOUGLASVILLE</v>
      </c>
      <c r="O577" s="17" t="str">
        <f t="shared" si="32"/>
        <v>44691 AUTOCHLOR SYSTEM</v>
      </c>
      <c r="P577" s="17" t="str">
        <f t="shared" si="26"/>
        <v>HP 200 CLR-48mm x 1371m-6 rls/cs-S (208511)</v>
      </c>
    </row>
    <row r="578" spans="1:16" x14ac:dyDescent="0.25">
      <c r="A578" s="60" t="s">
        <v>297</v>
      </c>
      <c r="B578" s="60" t="s">
        <v>68</v>
      </c>
      <c r="C578" s="60" t="s">
        <v>291</v>
      </c>
      <c r="D578" s="60" t="s">
        <v>124</v>
      </c>
      <c r="E578" s="60" t="s">
        <v>738</v>
      </c>
      <c r="F578" s="60" t="s">
        <v>739</v>
      </c>
      <c r="G578" s="60" t="s">
        <v>23</v>
      </c>
      <c r="H578" s="60" t="s">
        <v>693</v>
      </c>
      <c r="I578" s="60" t="s">
        <v>694</v>
      </c>
      <c r="J578" s="61"/>
      <c r="K578" s="61">
        <v>40.869999999999997</v>
      </c>
      <c r="L578" s="62"/>
      <c r="M578" s="64">
        <v>56.83</v>
      </c>
      <c r="N578" s="17" t="str">
        <f t="shared" si="31"/>
        <v>7839 ASSOCIATED PKG/GA DOUGLASVILLE</v>
      </c>
      <c r="O578" s="17" t="str">
        <f t="shared" si="32"/>
        <v>76267 THOMASTON MILLS</v>
      </c>
      <c r="P578" s="17" t="str">
        <f t="shared" si="26"/>
        <v>CP 105 NAT-18mm x 55m-48 rls/cs-S (206932)</v>
      </c>
    </row>
    <row r="579" spans="1:16" x14ac:dyDescent="0.25">
      <c r="A579" s="60" t="s">
        <v>297</v>
      </c>
      <c r="B579" s="60" t="s">
        <v>68</v>
      </c>
      <c r="C579" s="60" t="s">
        <v>291</v>
      </c>
      <c r="D579" s="60" t="s">
        <v>124</v>
      </c>
      <c r="E579" s="60" t="s">
        <v>738</v>
      </c>
      <c r="F579" s="60" t="s">
        <v>739</v>
      </c>
      <c r="G579" s="60" t="s">
        <v>19</v>
      </c>
      <c r="H579" s="60" t="s">
        <v>242</v>
      </c>
      <c r="I579" s="60" t="s">
        <v>102</v>
      </c>
      <c r="J579" s="61">
        <v>4086.72</v>
      </c>
      <c r="K579" s="61">
        <v>2580.33</v>
      </c>
      <c r="L579" s="62">
        <v>16532.8</v>
      </c>
      <c r="M579" s="64">
        <v>10333</v>
      </c>
      <c r="N579" s="17" t="str">
        <f t="shared" si="31"/>
        <v>7839 ASSOCIATED PKG/GA DOUGLASVILLE</v>
      </c>
      <c r="O579" s="17" t="str">
        <f t="shared" si="32"/>
        <v>76267 THOMASTON MILLS</v>
      </c>
      <c r="P579" s="17" t="str">
        <f t="shared" si="26"/>
        <v>HP 100 CLR-72mm x 100m-24 rls/cs-S (207194)</v>
      </c>
    </row>
    <row r="580" spans="1:16" x14ac:dyDescent="0.25">
      <c r="A580" s="60" t="s">
        <v>297</v>
      </c>
      <c r="B580" s="60" t="s">
        <v>68</v>
      </c>
      <c r="C580" s="60" t="s">
        <v>291</v>
      </c>
      <c r="D580" s="60" t="s">
        <v>124</v>
      </c>
      <c r="E580" s="60" t="s">
        <v>738</v>
      </c>
      <c r="F580" s="60" t="s">
        <v>739</v>
      </c>
      <c r="G580" s="60" t="s">
        <v>205</v>
      </c>
      <c r="H580" s="60" t="s">
        <v>231</v>
      </c>
      <c r="I580" s="60" t="s">
        <v>379</v>
      </c>
      <c r="J580" s="61">
        <v>79.83</v>
      </c>
      <c r="K580" s="61"/>
      <c r="L580" s="62">
        <v>0</v>
      </c>
      <c r="M580" s="63"/>
      <c r="N580" s="17" t="str">
        <f t="shared" si="31"/>
        <v>7839 ASSOCIATED PKG/GA DOUGLASVILLE</v>
      </c>
      <c r="O580" s="17" t="str">
        <f t="shared" si="32"/>
        <v>76267 THOMASTON MILLS</v>
      </c>
      <c r="P580" s="17" t="str">
        <f t="shared" ref="P580:P643" si="33">I580&amp;" ("&amp;H580&amp;")"</f>
        <v>SD 935  PISTOL GRIP DISPNSR-3 IN. ROLL-S (909535)</v>
      </c>
    </row>
    <row r="581" spans="1:16" x14ac:dyDescent="0.25">
      <c r="A581" s="60" t="s">
        <v>297</v>
      </c>
      <c r="B581" s="60" t="s">
        <v>68</v>
      </c>
      <c r="C581" s="60" t="s">
        <v>291</v>
      </c>
      <c r="D581" s="60" t="s">
        <v>124</v>
      </c>
      <c r="E581" s="60" t="s">
        <v>1127</v>
      </c>
      <c r="F581" s="60" t="s">
        <v>1128</v>
      </c>
      <c r="G581" s="60" t="s">
        <v>1129</v>
      </c>
      <c r="H581" s="60" t="s">
        <v>1130</v>
      </c>
      <c r="I581" s="60" t="s">
        <v>1131</v>
      </c>
      <c r="J581" s="61"/>
      <c r="K581" s="61">
        <v>501.81</v>
      </c>
      <c r="L581" s="62"/>
      <c r="M581" s="63">
        <v>550.16</v>
      </c>
      <c r="N581" s="17" t="str">
        <f t="shared" si="31"/>
        <v>7839 ASSOCIATED PKG/GA DOUGLASVILLE</v>
      </c>
      <c r="O581" s="17" t="str">
        <f t="shared" si="32"/>
        <v>76969 PACTIV CORPORATION</v>
      </c>
      <c r="P581" s="17" t="str">
        <f t="shared" si="33"/>
        <v>CT 109 NAT- 12MM X 66M- 144 RLS/CS-H (111951)</v>
      </c>
    </row>
    <row r="582" spans="1:16" x14ac:dyDescent="0.25">
      <c r="A582" s="60" t="s">
        <v>297</v>
      </c>
      <c r="B582" s="60" t="s">
        <v>68</v>
      </c>
      <c r="C582" s="60" t="s">
        <v>291</v>
      </c>
      <c r="D582" s="60" t="s">
        <v>124</v>
      </c>
      <c r="E582" s="60" t="s">
        <v>293</v>
      </c>
      <c r="F582" s="60" t="s">
        <v>125</v>
      </c>
      <c r="G582" s="60" t="s">
        <v>18</v>
      </c>
      <c r="H582" s="60" t="s">
        <v>215</v>
      </c>
      <c r="I582" s="60" t="s">
        <v>50</v>
      </c>
      <c r="J582" s="61">
        <v>6265.51</v>
      </c>
      <c r="K582" s="61"/>
      <c r="L582" s="62">
        <v>24799.200000000001</v>
      </c>
      <c r="M582" s="64"/>
      <c r="N582" s="17" t="str">
        <f t="shared" si="31"/>
        <v>7839 ASSOCIATED PKG/GA DOUGLASVILLE</v>
      </c>
      <c r="O582" s="17" t="str">
        <f t="shared" si="32"/>
        <v>79379 TENAX MFG AL LLC</v>
      </c>
      <c r="P582" s="17" t="str">
        <f t="shared" si="33"/>
        <v>HP 200 CLR-48mm x 100m-36 rls/cs-S (207149)</v>
      </c>
    </row>
    <row r="583" spans="1:16" x14ac:dyDescent="0.25">
      <c r="A583" s="60" t="s">
        <v>297</v>
      </c>
      <c r="B583" s="60" t="s">
        <v>68</v>
      </c>
      <c r="C583" s="60" t="s">
        <v>291</v>
      </c>
      <c r="D583" s="60" t="s">
        <v>124</v>
      </c>
      <c r="E583" s="60" t="s">
        <v>359</v>
      </c>
      <c r="F583" s="60" t="s">
        <v>360</v>
      </c>
      <c r="G583" s="60" t="s">
        <v>18</v>
      </c>
      <c r="H583" s="60" t="s">
        <v>215</v>
      </c>
      <c r="I583" s="60" t="s">
        <v>50</v>
      </c>
      <c r="J583" s="61">
        <v>337.87</v>
      </c>
      <c r="K583" s="61">
        <v>591.62</v>
      </c>
      <c r="L583" s="65">
        <v>1239.96</v>
      </c>
      <c r="M583" s="64">
        <v>2066.6</v>
      </c>
      <c r="N583" s="17" t="str">
        <f t="shared" si="31"/>
        <v>7839 ASSOCIATED PKG/GA DOUGLASVILLE</v>
      </c>
      <c r="O583" s="17" t="str">
        <f t="shared" si="32"/>
        <v>89656 INTERFACEFLOR LLC</v>
      </c>
      <c r="P583" s="17" t="str">
        <f t="shared" si="33"/>
        <v>HP 200 CLR-48mm x 100m-36 rls/cs-S (207149)</v>
      </c>
    </row>
    <row r="584" spans="1:16" x14ac:dyDescent="0.25">
      <c r="A584" s="60" t="s">
        <v>297</v>
      </c>
      <c r="B584" s="60" t="s">
        <v>68</v>
      </c>
      <c r="C584" s="60" t="s">
        <v>291</v>
      </c>
      <c r="D584" s="60" t="s">
        <v>124</v>
      </c>
      <c r="E584" s="60" t="s">
        <v>1469</v>
      </c>
      <c r="F584" s="60" t="s">
        <v>360</v>
      </c>
      <c r="G584" s="60" t="s">
        <v>18</v>
      </c>
      <c r="H584" s="60" t="s">
        <v>215</v>
      </c>
      <c r="I584" s="60" t="s">
        <v>50</v>
      </c>
      <c r="J584" s="61">
        <v>3207.6</v>
      </c>
      <c r="K584" s="61"/>
      <c r="L584" s="62">
        <v>12399.6</v>
      </c>
      <c r="M584" s="63"/>
      <c r="N584" s="17" t="str">
        <f t="shared" si="31"/>
        <v>7839 ASSOCIATED PKG/GA DOUGLASVILLE</v>
      </c>
      <c r="O584" s="17" t="str">
        <f t="shared" si="32"/>
        <v>92229 INTERFACEFLOR LLC</v>
      </c>
      <c r="P584" s="17" t="str">
        <f t="shared" si="33"/>
        <v>HP 200 CLR-48mm x 100m-36 rls/cs-S (207149)</v>
      </c>
    </row>
    <row r="585" spans="1:16" x14ac:dyDescent="0.25">
      <c r="A585" s="60" t="s">
        <v>297</v>
      </c>
      <c r="B585" s="60" t="s">
        <v>68</v>
      </c>
      <c r="C585" s="60" t="s">
        <v>291</v>
      </c>
      <c r="D585" s="60" t="s">
        <v>124</v>
      </c>
      <c r="E585" s="60" t="s">
        <v>1132</v>
      </c>
      <c r="F585" s="60" t="s">
        <v>1133</v>
      </c>
      <c r="G585" s="60" t="s">
        <v>65</v>
      </c>
      <c r="H585" s="60" t="s">
        <v>252</v>
      </c>
      <c r="I585" s="60" t="s">
        <v>152</v>
      </c>
      <c r="J585" s="61">
        <v>151.75</v>
      </c>
      <c r="K585" s="61"/>
      <c r="L585" s="65">
        <v>151.56</v>
      </c>
      <c r="M585" s="64"/>
      <c r="N585" s="17" t="str">
        <f t="shared" si="31"/>
        <v>7839 ASSOCIATED PKG/GA DOUGLASVILLE</v>
      </c>
      <c r="O585" s="17" t="str">
        <f t="shared" si="32"/>
        <v>703436 INTERNATIONAL PAPER</v>
      </c>
      <c r="P585" s="17" t="str">
        <f t="shared" si="33"/>
        <v>FP 097 KFT-72mm x 55m-16 rls/cs-H/A (101073)</v>
      </c>
    </row>
    <row r="586" spans="1:16" x14ac:dyDescent="0.25">
      <c r="A586" s="60" t="s">
        <v>297</v>
      </c>
      <c r="B586" s="60" t="s">
        <v>68</v>
      </c>
      <c r="C586" s="60" t="s">
        <v>291</v>
      </c>
      <c r="D586" s="60" t="s">
        <v>124</v>
      </c>
      <c r="E586" s="60" t="s">
        <v>294</v>
      </c>
      <c r="F586" s="60" t="s">
        <v>169</v>
      </c>
      <c r="G586" s="60" t="s">
        <v>19</v>
      </c>
      <c r="H586" s="60" t="s">
        <v>243</v>
      </c>
      <c r="I586" s="60" t="s">
        <v>87</v>
      </c>
      <c r="J586" s="61">
        <v>8947.07</v>
      </c>
      <c r="K586" s="61">
        <v>6363.88</v>
      </c>
      <c r="L586" s="62">
        <v>45334.080000000002</v>
      </c>
      <c r="M586" s="63">
        <v>30222.720000000001</v>
      </c>
      <c r="N586" s="17" t="str">
        <f t="shared" si="31"/>
        <v>7839 ASSOCIATED PKG/GA DOUGLASVILLE</v>
      </c>
      <c r="O586" s="17" t="str">
        <f t="shared" si="32"/>
        <v>708579 HUHTAMAKI ANDALUSIA PLANT A7</v>
      </c>
      <c r="P586" s="17" t="str">
        <f t="shared" si="33"/>
        <v>HP 100 CLR-48mm x 914m-6 rls/cs-S (208453)</v>
      </c>
    </row>
    <row r="587" spans="1:16" x14ac:dyDescent="0.25">
      <c r="A587" s="60" t="s">
        <v>297</v>
      </c>
      <c r="B587" s="60" t="s">
        <v>68</v>
      </c>
      <c r="C587" s="60" t="s">
        <v>291</v>
      </c>
      <c r="D587" s="60" t="s">
        <v>124</v>
      </c>
      <c r="E587" s="60" t="s">
        <v>573</v>
      </c>
      <c r="F587" s="60" t="s">
        <v>574</v>
      </c>
      <c r="G587" s="60" t="s">
        <v>59</v>
      </c>
      <c r="H587" s="60" t="s">
        <v>496</v>
      </c>
      <c r="I587" s="60" t="s">
        <v>602</v>
      </c>
      <c r="J587" s="61">
        <v>727.06</v>
      </c>
      <c r="K587" s="61"/>
      <c r="L587" s="62">
        <v>568.29999999999995</v>
      </c>
      <c r="M587" s="64"/>
      <c r="N587" s="17" t="str">
        <f t="shared" si="31"/>
        <v>7839 ASSOCIATED PKG/GA DOUGLASVILLE</v>
      </c>
      <c r="O587" s="17" t="str">
        <f t="shared" si="32"/>
        <v>712280 VYTRON CORPORATION</v>
      </c>
      <c r="P587" s="17" t="str">
        <f t="shared" si="33"/>
        <v>GS 490 CLR-12mm x 55m-72 rls/cs-H/A (101228)</v>
      </c>
    </row>
    <row r="588" spans="1:16" x14ac:dyDescent="0.25">
      <c r="A588" s="60" t="s">
        <v>297</v>
      </c>
      <c r="B588" s="60" t="s">
        <v>68</v>
      </c>
      <c r="C588" s="60" t="s">
        <v>291</v>
      </c>
      <c r="D588" s="60" t="s">
        <v>124</v>
      </c>
      <c r="E588" s="60" t="s">
        <v>295</v>
      </c>
      <c r="F588" s="60" t="s">
        <v>170</v>
      </c>
      <c r="G588" s="60" t="s">
        <v>70</v>
      </c>
      <c r="H588" s="60" t="s">
        <v>292</v>
      </c>
      <c r="I588" s="60" t="s">
        <v>150</v>
      </c>
      <c r="J588" s="61">
        <v>176950.85</v>
      </c>
      <c r="K588" s="61">
        <v>32118.77</v>
      </c>
      <c r="L588" s="65">
        <v>602578.24</v>
      </c>
      <c r="M588" s="64">
        <v>102003.84</v>
      </c>
      <c r="N588" s="17" t="str">
        <f t="shared" si="31"/>
        <v>7839 ASSOCIATED PKG/GA DOUGLASVILLE</v>
      </c>
      <c r="O588" s="17" t="str">
        <f t="shared" si="32"/>
        <v>713244 ASSOCIATED PKG FOR GOLDEN STATE</v>
      </c>
      <c r="P588" s="17" t="str">
        <f t="shared" si="33"/>
        <v>HP 235 CLR-72mm x 1371m-4 rls/cs-H (104338)</v>
      </c>
    </row>
    <row r="589" spans="1:16" x14ac:dyDescent="0.25">
      <c r="A589" s="60" t="s">
        <v>297</v>
      </c>
      <c r="B589" s="60" t="s">
        <v>68</v>
      </c>
      <c r="C589" s="60" t="s">
        <v>291</v>
      </c>
      <c r="D589" s="60" t="s">
        <v>124</v>
      </c>
      <c r="E589" s="60" t="s">
        <v>1470</v>
      </c>
      <c r="F589" s="60" t="s">
        <v>1471</v>
      </c>
      <c r="G589" s="60" t="s">
        <v>76</v>
      </c>
      <c r="H589" s="60" t="s">
        <v>1003</v>
      </c>
      <c r="I589" s="60" t="s">
        <v>1004</v>
      </c>
      <c r="J589" s="61">
        <v>12950.15</v>
      </c>
      <c r="K589" s="61"/>
      <c r="L589" s="62">
        <v>45334.080000000002</v>
      </c>
      <c r="M589" s="64"/>
      <c r="N589" s="17" t="str">
        <f t="shared" si="31"/>
        <v>7839 ASSOCIATED PKG/GA DOUGLASVILLE</v>
      </c>
      <c r="O589" s="17" t="str">
        <f t="shared" si="32"/>
        <v>717868 ALMA PAK INC</v>
      </c>
      <c r="P589" s="17" t="str">
        <f t="shared" si="33"/>
        <v>HP 132 CLR-48mm x 914m-6 rls/cs-S (176748)</v>
      </c>
    </row>
    <row r="590" spans="1:16" x14ac:dyDescent="0.25">
      <c r="A590" s="60" t="s">
        <v>297</v>
      </c>
      <c r="B590" s="60" t="s">
        <v>68</v>
      </c>
      <c r="C590" s="60" t="s">
        <v>291</v>
      </c>
      <c r="D590" s="60" t="s">
        <v>124</v>
      </c>
      <c r="E590" s="60" t="s">
        <v>296</v>
      </c>
      <c r="F590" s="60" t="s">
        <v>126</v>
      </c>
      <c r="G590" s="60" t="s">
        <v>59</v>
      </c>
      <c r="H590" s="60" t="s">
        <v>1083</v>
      </c>
      <c r="I590" s="60" t="s">
        <v>1084</v>
      </c>
      <c r="J590" s="61">
        <v>2010.09</v>
      </c>
      <c r="K590" s="61"/>
      <c r="L590" s="62">
        <v>1704.9</v>
      </c>
      <c r="M590" s="64"/>
      <c r="N590" s="17" t="str">
        <f t="shared" si="31"/>
        <v>7839 ASSOCIATED PKG/GA DOUGLASVILLE</v>
      </c>
      <c r="O590" s="17" t="str">
        <f t="shared" si="32"/>
        <v>723353 EMMAUS FOODS</v>
      </c>
      <c r="P590" s="17" t="str">
        <f t="shared" si="33"/>
        <v>GS 490 CLR-18mm x 55m-48 rls/cs-H/A (101229)</v>
      </c>
    </row>
    <row r="591" spans="1:16" x14ac:dyDescent="0.25">
      <c r="A591" s="60" t="s">
        <v>297</v>
      </c>
      <c r="B591" s="60" t="s">
        <v>68</v>
      </c>
      <c r="C591" s="60" t="s">
        <v>291</v>
      </c>
      <c r="D591" s="60" t="s">
        <v>124</v>
      </c>
      <c r="E591" s="60" t="s">
        <v>296</v>
      </c>
      <c r="F591" s="60" t="s">
        <v>126</v>
      </c>
      <c r="G591" s="60" t="s">
        <v>19</v>
      </c>
      <c r="H591" s="60" t="s">
        <v>222</v>
      </c>
      <c r="I591" s="60" t="s">
        <v>104</v>
      </c>
      <c r="J591" s="61">
        <v>14350.8</v>
      </c>
      <c r="K591" s="61">
        <v>15069.3</v>
      </c>
      <c r="L591" s="62">
        <v>61612.487999999998</v>
      </c>
      <c r="M591" s="63">
        <v>61612.487999999998</v>
      </c>
      <c r="N591" s="17" t="str">
        <f t="shared" si="31"/>
        <v>7839 ASSOCIATED PKG/GA DOUGLASVILLE</v>
      </c>
      <c r="O591" s="17" t="str">
        <f t="shared" si="32"/>
        <v>723353 EMMAUS FOODS</v>
      </c>
      <c r="P591" s="17" t="str">
        <f t="shared" si="33"/>
        <v>HP 100 CLR-53mm x 1500m-6 rls/cs-S (195553)</v>
      </c>
    </row>
    <row r="592" spans="1:16" x14ac:dyDescent="0.25">
      <c r="A592" s="60" t="s">
        <v>297</v>
      </c>
      <c r="B592" s="60" t="s">
        <v>68</v>
      </c>
      <c r="C592" s="60" t="s">
        <v>291</v>
      </c>
      <c r="D592" s="60" t="s">
        <v>124</v>
      </c>
      <c r="E592" s="60" t="s">
        <v>503</v>
      </c>
      <c r="F592" s="60" t="s">
        <v>504</v>
      </c>
      <c r="G592" s="60" t="s">
        <v>18</v>
      </c>
      <c r="H592" s="60" t="s">
        <v>212</v>
      </c>
      <c r="I592" s="60" t="s">
        <v>86</v>
      </c>
      <c r="J592" s="61">
        <v>4043</v>
      </c>
      <c r="K592" s="61">
        <v>4456.43</v>
      </c>
      <c r="L592" s="62">
        <v>15111.36</v>
      </c>
      <c r="M592" s="63">
        <v>15111.36</v>
      </c>
      <c r="N592" s="17" t="str">
        <f t="shared" si="31"/>
        <v>7839 ASSOCIATED PKG/GA DOUGLASVILLE</v>
      </c>
      <c r="O592" s="17" t="str">
        <f t="shared" si="32"/>
        <v>730395 MAGNUM PRODUCTS</v>
      </c>
      <c r="P592" s="17" t="str">
        <f t="shared" si="33"/>
        <v>HP 200 CLR-48mm x 914m-6 rls/cs-S (208492)</v>
      </c>
    </row>
    <row r="593" spans="1:16" x14ac:dyDescent="0.25">
      <c r="A593" s="60" t="s">
        <v>297</v>
      </c>
      <c r="B593" s="60" t="s">
        <v>68</v>
      </c>
      <c r="C593" s="60" t="s">
        <v>291</v>
      </c>
      <c r="D593" s="60" t="s">
        <v>124</v>
      </c>
      <c r="E593" s="60" t="s">
        <v>712</v>
      </c>
      <c r="F593" s="60" t="s">
        <v>713</v>
      </c>
      <c r="G593" s="60" t="s">
        <v>1151</v>
      </c>
      <c r="H593" s="60" t="s">
        <v>1709</v>
      </c>
      <c r="I593" s="60" t="s">
        <v>1710</v>
      </c>
      <c r="J593" s="61"/>
      <c r="K593" s="61">
        <v>148.5</v>
      </c>
      <c r="L593" s="62"/>
      <c r="M593" s="63">
        <v>0</v>
      </c>
      <c r="N593" s="17" t="str">
        <f t="shared" si="31"/>
        <v>7839 ASSOCIATED PKG/GA DOUGLASVILLE</v>
      </c>
      <c r="O593" s="17" t="str">
        <f t="shared" si="32"/>
        <v>733431 GENERIC ONE TIME SHIP-TO B2B DIST P</v>
      </c>
      <c r="P593" s="17" t="str">
        <f t="shared" si="33"/>
        <v>50663 KNIFE GUARD ASSY RH (901623)</v>
      </c>
    </row>
    <row r="594" spans="1:16" x14ac:dyDescent="0.25">
      <c r="A594" s="60" t="s">
        <v>297</v>
      </c>
      <c r="B594" s="60" t="s">
        <v>68</v>
      </c>
      <c r="C594" s="60" t="s">
        <v>291</v>
      </c>
      <c r="D594" s="60" t="s">
        <v>124</v>
      </c>
      <c r="E594" s="60" t="s">
        <v>712</v>
      </c>
      <c r="F594" s="60" t="s">
        <v>713</v>
      </c>
      <c r="G594" s="60" t="s">
        <v>1151</v>
      </c>
      <c r="H594" s="60" t="s">
        <v>1711</v>
      </c>
      <c r="I594" s="60" t="s">
        <v>1712</v>
      </c>
      <c r="J594" s="61"/>
      <c r="K594" s="61">
        <v>29.7</v>
      </c>
      <c r="L594" s="65"/>
      <c r="M594" s="64">
        <v>0</v>
      </c>
      <c r="N594" s="17" t="str">
        <f t="shared" si="31"/>
        <v>7839 ASSOCIATED PKG/GA DOUGLASVILLE</v>
      </c>
      <c r="O594" s="17" t="str">
        <f t="shared" si="32"/>
        <v>733431 GENERIC ONE TIME SHIP-TO B2B DIST P</v>
      </c>
      <c r="P594" s="17" t="str">
        <f t="shared" si="33"/>
        <v>50664 KNIFE GUARD ASSY LH (901624)</v>
      </c>
    </row>
    <row r="595" spans="1:16" x14ac:dyDescent="0.25">
      <c r="A595" s="60" t="s">
        <v>297</v>
      </c>
      <c r="B595" s="60" t="s">
        <v>68</v>
      </c>
      <c r="C595" s="60" t="s">
        <v>291</v>
      </c>
      <c r="D595" s="60" t="s">
        <v>124</v>
      </c>
      <c r="E595" s="60" t="s">
        <v>712</v>
      </c>
      <c r="F595" s="60" t="s">
        <v>713</v>
      </c>
      <c r="G595" s="60" t="s">
        <v>1151</v>
      </c>
      <c r="H595" s="60" t="s">
        <v>1654</v>
      </c>
      <c r="I595" s="60" t="s">
        <v>1655</v>
      </c>
      <c r="J595" s="61"/>
      <c r="K595" s="61">
        <v>84.15</v>
      </c>
      <c r="L595" s="62"/>
      <c r="M595" s="64">
        <v>0</v>
      </c>
      <c r="N595" s="17" t="str">
        <f t="shared" si="31"/>
        <v>7839 ASSOCIATED PKG/GA DOUGLASVILLE</v>
      </c>
      <c r="O595" s="17" t="str">
        <f t="shared" si="32"/>
        <v>733431 GENERIC ONE TIME SHIP-TO B2B DIST P</v>
      </c>
      <c r="P595" s="17" t="str">
        <f t="shared" si="33"/>
        <v>50385 2" RH/LH Hub (901801)</v>
      </c>
    </row>
    <row r="596" spans="1:16" x14ac:dyDescent="0.25">
      <c r="A596" s="60" t="s">
        <v>297</v>
      </c>
      <c r="B596" s="60" t="s">
        <v>68</v>
      </c>
      <c r="C596" s="60" t="s">
        <v>291</v>
      </c>
      <c r="D596" s="60" t="s">
        <v>124</v>
      </c>
      <c r="E596" s="60" t="s">
        <v>712</v>
      </c>
      <c r="F596" s="60" t="s">
        <v>713</v>
      </c>
      <c r="G596" s="60" t="s">
        <v>1151</v>
      </c>
      <c r="H596" s="60" t="s">
        <v>1713</v>
      </c>
      <c r="I596" s="60" t="s">
        <v>1714</v>
      </c>
      <c r="J596" s="61"/>
      <c r="K596" s="61">
        <v>259.87</v>
      </c>
      <c r="L596" s="62"/>
      <c r="M596" s="64">
        <v>0</v>
      </c>
      <c r="N596" s="17" t="str">
        <f t="shared" si="31"/>
        <v>7839 ASSOCIATED PKG/GA DOUGLASVILLE</v>
      </c>
      <c r="O596" s="17" t="str">
        <f t="shared" si="32"/>
        <v>733431 GENERIC ONE TIME SHIP-TO B2B DIST P</v>
      </c>
      <c r="P596" s="17" t="str">
        <f t="shared" si="33"/>
        <v>50560 3" RH CLUTCH ROLLER (901884)</v>
      </c>
    </row>
    <row r="597" spans="1:16" x14ac:dyDescent="0.25">
      <c r="A597" s="60" t="s">
        <v>297</v>
      </c>
      <c r="B597" s="60" t="s">
        <v>68</v>
      </c>
      <c r="C597" s="60" t="s">
        <v>291</v>
      </c>
      <c r="D597" s="60" t="s">
        <v>124</v>
      </c>
      <c r="E597" s="60" t="s">
        <v>712</v>
      </c>
      <c r="F597" s="60" t="s">
        <v>713</v>
      </c>
      <c r="G597" s="60" t="s">
        <v>1151</v>
      </c>
      <c r="H597" s="60" t="s">
        <v>1715</v>
      </c>
      <c r="I597" s="60" t="s">
        <v>1716</v>
      </c>
      <c r="J597" s="61"/>
      <c r="K597" s="61">
        <v>623.70000000000005</v>
      </c>
      <c r="L597" s="65"/>
      <c r="M597" s="64">
        <v>0</v>
      </c>
      <c r="N597" s="17" t="str">
        <f t="shared" si="31"/>
        <v>7839 ASSOCIATED PKG/GA DOUGLASVILLE</v>
      </c>
      <c r="O597" s="17" t="str">
        <f t="shared" si="32"/>
        <v>733431 GENERIC ONE TIME SHIP-TO B2B DIST P</v>
      </c>
      <c r="P597" s="17" t="str">
        <f t="shared" si="33"/>
        <v>50386 3" RH/LH HUB (901890)</v>
      </c>
    </row>
    <row r="598" spans="1:16" x14ac:dyDescent="0.25">
      <c r="A598" s="60" t="s">
        <v>297</v>
      </c>
      <c r="B598" s="60" t="s">
        <v>68</v>
      </c>
      <c r="C598" s="60" t="s">
        <v>291</v>
      </c>
      <c r="D598" s="60" t="s">
        <v>124</v>
      </c>
      <c r="E598" s="60" t="s">
        <v>712</v>
      </c>
      <c r="F598" s="60" t="s">
        <v>713</v>
      </c>
      <c r="G598" s="60" t="s">
        <v>1151</v>
      </c>
      <c r="H598" s="60" t="s">
        <v>1717</v>
      </c>
      <c r="I598" s="60" t="s">
        <v>1718</v>
      </c>
      <c r="J598" s="61"/>
      <c r="K598" s="61">
        <v>801.91</v>
      </c>
      <c r="L598" s="62"/>
      <c r="M598" s="64">
        <v>0</v>
      </c>
      <c r="N598" s="17" t="str">
        <f t="shared" si="31"/>
        <v>7839 ASSOCIATED PKG/GA DOUGLASVILLE</v>
      </c>
      <c r="O598" s="17" t="str">
        <f t="shared" si="32"/>
        <v>733431 GENERIC ONE TIME SHIP-TO B2B DIST P</v>
      </c>
      <c r="P598" s="17" t="str">
        <f t="shared" si="33"/>
        <v>51194 51005 CUTTING CAM ASSY. 2" RH (901948)</v>
      </c>
    </row>
    <row r="599" spans="1:16" x14ac:dyDescent="0.25">
      <c r="A599" s="60" t="s">
        <v>297</v>
      </c>
      <c r="B599" s="60" t="s">
        <v>68</v>
      </c>
      <c r="C599" s="60" t="s">
        <v>291</v>
      </c>
      <c r="D599" s="60" t="s">
        <v>124</v>
      </c>
      <c r="E599" s="60" t="s">
        <v>712</v>
      </c>
      <c r="F599" s="60" t="s">
        <v>713</v>
      </c>
      <c r="G599" s="60" t="s">
        <v>1151</v>
      </c>
      <c r="H599" s="60" t="s">
        <v>1719</v>
      </c>
      <c r="I599" s="60" t="s">
        <v>1720</v>
      </c>
      <c r="J599" s="61"/>
      <c r="K599" s="61">
        <v>45.89</v>
      </c>
      <c r="L599" s="62"/>
      <c r="M599" s="64">
        <v>0</v>
      </c>
      <c r="N599" s="17" t="str">
        <f t="shared" si="31"/>
        <v>7839 ASSOCIATED PKG/GA DOUGLASVILLE</v>
      </c>
      <c r="O599" s="17" t="str">
        <f t="shared" si="32"/>
        <v>733431 GENERIC ONE TIME SHIP-TO B2B DIST P</v>
      </c>
      <c r="P599" s="17" t="str">
        <f t="shared" si="33"/>
        <v>50410 2" HUB SHAFT (902377)</v>
      </c>
    </row>
    <row r="600" spans="1:16" x14ac:dyDescent="0.25">
      <c r="A600" s="60" t="s">
        <v>297</v>
      </c>
      <c r="B600" s="60" t="s">
        <v>68</v>
      </c>
      <c r="C600" s="60" t="s">
        <v>291</v>
      </c>
      <c r="D600" s="60" t="s">
        <v>124</v>
      </c>
      <c r="E600" s="60" t="s">
        <v>712</v>
      </c>
      <c r="F600" s="60" t="s">
        <v>713</v>
      </c>
      <c r="G600" s="60" t="s">
        <v>1151</v>
      </c>
      <c r="H600" s="60" t="s">
        <v>1721</v>
      </c>
      <c r="I600" s="60" t="s">
        <v>1722</v>
      </c>
      <c r="J600" s="61"/>
      <c r="K600" s="61">
        <v>401.54</v>
      </c>
      <c r="L600" s="65"/>
      <c r="M600" s="64">
        <v>0</v>
      </c>
      <c r="N600" s="17" t="str">
        <f t="shared" si="31"/>
        <v>7839 ASSOCIATED PKG/GA DOUGLASVILLE</v>
      </c>
      <c r="O600" s="17" t="str">
        <f t="shared" si="32"/>
        <v>733431 GENERIC ONE TIME SHIP-TO B2B DIST P</v>
      </c>
      <c r="P600" s="17" t="str">
        <f t="shared" si="33"/>
        <v>50411 3" HUB SHAFT (902378)</v>
      </c>
    </row>
    <row r="601" spans="1:16" x14ac:dyDescent="0.25">
      <c r="A601" s="60" t="s">
        <v>297</v>
      </c>
      <c r="B601" s="60" t="s">
        <v>68</v>
      </c>
      <c r="C601" s="60" t="s">
        <v>291</v>
      </c>
      <c r="D601" s="60" t="s">
        <v>124</v>
      </c>
      <c r="E601" s="60" t="s">
        <v>328</v>
      </c>
      <c r="F601" s="60" t="s">
        <v>329</v>
      </c>
      <c r="G601" s="60" t="s">
        <v>19</v>
      </c>
      <c r="H601" s="60" t="s">
        <v>222</v>
      </c>
      <c r="I601" s="60" t="s">
        <v>104</v>
      </c>
      <c r="J601" s="61">
        <v>18531.25</v>
      </c>
      <c r="K601" s="61">
        <v>19733.16</v>
      </c>
      <c r="L601" s="65">
        <v>81009.012000000002</v>
      </c>
      <c r="M601" s="64">
        <v>82149.983999999997</v>
      </c>
      <c r="N601" s="17" t="str">
        <f t="shared" si="31"/>
        <v>7839 ASSOCIATED PKG/GA DOUGLASVILLE</v>
      </c>
      <c r="O601" s="17" t="str">
        <f t="shared" si="32"/>
        <v>734068 PHARMAVITE</v>
      </c>
      <c r="P601" s="17" t="str">
        <f t="shared" si="33"/>
        <v>HP 100 CLR-53mm x 1500m-6 rls/cs-S (195553)</v>
      </c>
    </row>
    <row r="602" spans="1:16" x14ac:dyDescent="0.25">
      <c r="A602" s="60" t="s">
        <v>297</v>
      </c>
      <c r="B602" s="60" t="s">
        <v>68</v>
      </c>
      <c r="C602" s="60" t="s">
        <v>291</v>
      </c>
      <c r="D602" s="60" t="s">
        <v>124</v>
      </c>
      <c r="E602" s="60" t="s">
        <v>1472</v>
      </c>
      <c r="F602" s="60" t="s">
        <v>1473</v>
      </c>
      <c r="G602" s="60" t="s">
        <v>22</v>
      </c>
      <c r="H602" s="60" t="s">
        <v>691</v>
      </c>
      <c r="I602" s="60" t="s">
        <v>692</v>
      </c>
      <c r="J602" s="61">
        <v>738.94</v>
      </c>
      <c r="K602" s="61"/>
      <c r="L602" s="62">
        <v>473.6</v>
      </c>
      <c r="M602" s="64"/>
      <c r="N602" s="17" t="str">
        <f t="shared" si="31"/>
        <v>7839 ASSOCIATED PKG/GA DOUGLASVILLE</v>
      </c>
      <c r="O602" s="17" t="str">
        <f t="shared" si="32"/>
        <v>736069 SUWANEE SPORTS ACADEMY</v>
      </c>
      <c r="P602" s="17" t="str">
        <f t="shared" si="33"/>
        <v>VP 410 BLK- 50MM X 33M- 24 RLS/CS-H/T (202810)</v>
      </c>
    </row>
    <row r="603" spans="1:16" x14ac:dyDescent="0.25">
      <c r="A603" s="60" t="s">
        <v>297</v>
      </c>
      <c r="B603" s="60" t="s">
        <v>68</v>
      </c>
      <c r="C603" s="60" t="s">
        <v>291</v>
      </c>
      <c r="D603" s="60" t="s">
        <v>124</v>
      </c>
      <c r="E603" s="60" t="s">
        <v>1134</v>
      </c>
      <c r="F603" s="60" t="s">
        <v>1135</v>
      </c>
      <c r="G603" s="60" t="s">
        <v>70</v>
      </c>
      <c r="H603" s="60" t="s">
        <v>1136</v>
      </c>
      <c r="I603" s="60" t="s">
        <v>1137</v>
      </c>
      <c r="J603" s="61">
        <v>1763</v>
      </c>
      <c r="K603" s="61">
        <v>926.64</v>
      </c>
      <c r="L603" s="65">
        <v>4128</v>
      </c>
      <c r="M603" s="64">
        <v>2064</v>
      </c>
      <c r="N603" s="17" t="str">
        <f t="shared" si="31"/>
        <v>7839 ASSOCIATED PKG/GA DOUGLASVILLE</v>
      </c>
      <c r="O603" s="17" t="str">
        <f t="shared" si="32"/>
        <v>736673 CHEMSTAR CORP</v>
      </c>
      <c r="P603" s="17" t="str">
        <f t="shared" si="33"/>
        <v>HP 235 CLR-72mm x 100m-24 rls/cs-H (101162)</v>
      </c>
    </row>
    <row r="604" spans="1:16" x14ac:dyDescent="0.25">
      <c r="A604" s="60" t="s">
        <v>297</v>
      </c>
      <c r="B604" s="60" t="s">
        <v>68</v>
      </c>
      <c r="C604" s="60" t="s">
        <v>291</v>
      </c>
      <c r="D604" s="60" t="s">
        <v>124</v>
      </c>
      <c r="E604" s="60" t="s">
        <v>396</v>
      </c>
      <c r="F604" s="60" t="s">
        <v>397</v>
      </c>
      <c r="G604" s="60" t="s">
        <v>18</v>
      </c>
      <c r="H604" s="60" t="s">
        <v>548</v>
      </c>
      <c r="I604" s="60" t="s">
        <v>549</v>
      </c>
      <c r="J604" s="61">
        <v>4233.08</v>
      </c>
      <c r="K604" s="61"/>
      <c r="L604" s="62">
        <v>15111.36</v>
      </c>
      <c r="M604" s="63"/>
      <c r="N604" s="17" t="str">
        <f t="shared" si="31"/>
        <v>7839 ASSOCIATED PKG/GA DOUGLASVILLE</v>
      </c>
      <c r="O604" s="17" t="str">
        <f t="shared" si="32"/>
        <v>737086 WALMART PHARMACY DISTRIBUTION</v>
      </c>
      <c r="P604" s="17" t="str">
        <f t="shared" si="33"/>
        <v>HP 200 TAN-72mm x 914m-4 rls/cs-H (208498)</v>
      </c>
    </row>
    <row r="605" spans="1:16" x14ac:dyDescent="0.25">
      <c r="A605" s="60" t="s">
        <v>297</v>
      </c>
      <c r="B605" s="60" t="s">
        <v>68</v>
      </c>
      <c r="C605" s="60" t="s">
        <v>291</v>
      </c>
      <c r="D605" s="60" t="s">
        <v>124</v>
      </c>
      <c r="E605" s="60" t="s">
        <v>1474</v>
      </c>
      <c r="F605" s="60" t="s">
        <v>1475</v>
      </c>
      <c r="G605" s="60" t="s">
        <v>19</v>
      </c>
      <c r="H605" s="60" t="s">
        <v>222</v>
      </c>
      <c r="I605" s="60" t="s">
        <v>104</v>
      </c>
      <c r="J605" s="61">
        <v>4839.2</v>
      </c>
      <c r="K605" s="61">
        <v>5080.84</v>
      </c>
      <c r="L605" s="62">
        <v>20537.495999999999</v>
      </c>
      <c r="M605" s="63">
        <v>20537.495999999999</v>
      </c>
      <c r="N605" s="17" t="str">
        <f t="shared" si="31"/>
        <v>7839 ASSOCIATED PKG/GA DOUGLASVILLE</v>
      </c>
      <c r="O605" s="17" t="str">
        <f t="shared" si="32"/>
        <v>740305 TOP FLIGHT</v>
      </c>
      <c r="P605" s="17" t="str">
        <f t="shared" si="33"/>
        <v>HP 100 CLR-53mm x 1500m-6 rls/cs-S (195553)</v>
      </c>
    </row>
    <row r="606" spans="1:16" x14ac:dyDescent="0.25">
      <c r="A606" s="60" t="s">
        <v>297</v>
      </c>
      <c r="B606" s="60" t="s">
        <v>68</v>
      </c>
      <c r="C606" s="60" t="s">
        <v>291</v>
      </c>
      <c r="D606" s="60" t="s">
        <v>124</v>
      </c>
      <c r="E606" s="60" t="s">
        <v>1138</v>
      </c>
      <c r="F606" s="60" t="s">
        <v>1139</v>
      </c>
      <c r="G606" s="60" t="s">
        <v>19</v>
      </c>
      <c r="H606" s="60" t="s">
        <v>233</v>
      </c>
      <c r="I606" s="60" t="s">
        <v>49</v>
      </c>
      <c r="J606" s="61"/>
      <c r="K606" s="61">
        <v>320.76</v>
      </c>
      <c r="L606" s="65"/>
      <c r="M606" s="64">
        <v>1239.96</v>
      </c>
      <c r="N606" s="17" t="str">
        <f t="shared" si="31"/>
        <v>7839 ASSOCIATED PKG/GA DOUGLASVILLE</v>
      </c>
      <c r="O606" s="17" t="str">
        <f t="shared" si="32"/>
        <v>740889 FEEDING THE VALLEY FOOD BANK</v>
      </c>
      <c r="P606" s="17" t="str">
        <f t="shared" si="33"/>
        <v>HP 100 CLR-48mm x 100m-36 rls/cs-S (207142)</v>
      </c>
    </row>
    <row r="607" spans="1:16" x14ac:dyDescent="0.25">
      <c r="A607" s="60" t="s">
        <v>297</v>
      </c>
      <c r="B607" s="60" t="s">
        <v>68</v>
      </c>
      <c r="C607" s="60" t="s">
        <v>291</v>
      </c>
      <c r="D607" s="60" t="s">
        <v>124</v>
      </c>
      <c r="E607" s="60" t="s">
        <v>1723</v>
      </c>
      <c r="F607" s="60" t="s">
        <v>1724</v>
      </c>
      <c r="G607" s="60" t="s">
        <v>18</v>
      </c>
      <c r="H607" s="60" t="s">
        <v>215</v>
      </c>
      <c r="I607" s="60" t="s">
        <v>50</v>
      </c>
      <c r="J607" s="61"/>
      <c r="K607" s="61">
        <v>563.11</v>
      </c>
      <c r="L607" s="65"/>
      <c r="M607" s="64">
        <v>2066.6</v>
      </c>
      <c r="N607" s="17" t="str">
        <f t="shared" si="31"/>
        <v>7839 ASSOCIATED PKG/GA DOUGLASVILLE</v>
      </c>
      <c r="O607" s="17" t="str">
        <f t="shared" si="32"/>
        <v>741086 RAINBOW GOLD PRODUCTS</v>
      </c>
      <c r="P607" s="17" t="str">
        <f t="shared" si="33"/>
        <v>HP 200 CLR-48mm x 100m-36 rls/cs-S (207149)</v>
      </c>
    </row>
    <row r="608" spans="1:16" x14ac:dyDescent="0.25">
      <c r="A608" s="60" t="s">
        <v>297</v>
      </c>
      <c r="B608" s="60" t="s">
        <v>68</v>
      </c>
      <c r="C608" s="60" t="s">
        <v>291</v>
      </c>
      <c r="D608" s="60" t="s">
        <v>124</v>
      </c>
      <c r="E608" s="60" t="s">
        <v>1723</v>
      </c>
      <c r="F608" s="60" t="s">
        <v>1724</v>
      </c>
      <c r="G608" s="60" t="s">
        <v>18</v>
      </c>
      <c r="H608" s="60" t="s">
        <v>212</v>
      </c>
      <c r="I608" s="60" t="s">
        <v>86</v>
      </c>
      <c r="J608" s="61"/>
      <c r="K608" s="61">
        <v>869.02</v>
      </c>
      <c r="L608" s="62"/>
      <c r="M608" s="63">
        <v>3148.2</v>
      </c>
      <c r="N608" s="17" t="str">
        <f t="shared" si="31"/>
        <v>7839 ASSOCIATED PKG/GA DOUGLASVILLE</v>
      </c>
      <c r="O608" s="17" t="str">
        <f t="shared" si="32"/>
        <v>741086 RAINBOW GOLD PRODUCTS</v>
      </c>
      <c r="P608" s="17" t="str">
        <f t="shared" si="33"/>
        <v>HP 200 CLR-48mm x 914m-6 rls/cs-S (208492)</v>
      </c>
    </row>
    <row r="609" spans="1:16" x14ac:dyDescent="0.25">
      <c r="A609" s="60" t="s">
        <v>297</v>
      </c>
      <c r="B609" s="60" t="s">
        <v>68</v>
      </c>
      <c r="C609" s="60" t="s">
        <v>291</v>
      </c>
      <c r="D609" s="60" t="s">
        <v>124</v>
      </c>
      <c r="E609" s="60" t="s">
        <v>1140</v>
      </c>
      <c r="F609" s="60" t="s">
        <v>1141</v>
      </c>
      <c r="G609" s="60" t="s">
        <v>67</v>
      </c>
      <c r="H609" s="60" t="s">
        <v>253</v>
      </c>
      <c r="I609" s="60" t="s">
        <v>69</v>
      </c>
      <c r="J609" s="61">
        <v>841.58</v>
      </c>
      <c r="K609" s="61"/>
      <c r="L609" s="65">
        <v>606.14400000000001</v>
      </c>
      <c r="M609" s="64"/>
      <c r="N609" s="17" t="str">
        <f t="shared" si="31"/>
        <v>7839 ASSOCIATED PKG/GA DOUGLASVILLE</v>
      </c>
      <c r="O609" s="17" t="str">
        <f t="shared" si="32"/>
        <v>742571 CARLEX GLASS COMPANY</v>
      </c>
      <c r="P609" s="17" t="str">
        <f t="shared" si="33"/>
        <v>FP 115 BRN-48mm x 55m-24 rls/cs-H (104675)</v>
      </c>
    </row>
    <row r="610" spans="1:16" x14ac:dyDescent="0.25">
      <c r="A610" s="60" t="s">
        <v>297</v>
      </c>
      <c r="B610" s="60" t="s">
        <v>68</v>
      </c>
      <c r="C610" s="60" t="s">
        <v>291</v>
      </c>
      <c r="D610" s="60" t="s">
        <v>124</v>
      </c>
      <c r="E610" s="60" t="s">
        <v>505</v>
      </c>
      <c r="F610" s="60" t="s">
        <v>506</v>
      </c>
      <c r="G610" s="60" t="s">
        <v>18</v>
      </c>
      <c r="H610" s="60" t="s">
        <v>212</v>
      </c>
      <c r="I610" s="60" t="s">
        <v>86</v>
      </c>
      <c r="J610" s="61">
        <v>1020.73</v>
      </c>
      <c r="K610" s="61"/>
      <c r="L610" s="62">
        <v>3777.84</v>
      </c>
      <c r="M610" s="64"/>
      <c r="N610" s="17" t="str">
        <f t="shared" si="31"/>
        <v>7839 ASSOCIATED PKG/GA DOUGLASVILLE</v>
      </c>
      <c r="O610" s="17" t="str">
        <f t="shared" si="32"/>
        <v>743554 DHM RIVER STREET WHSE 1</v>
      </c>
      <c r="P610" s="17" t="str">
        <f t="shared" si="33"/>
        <v>HP 200 CLR-48mm x 914m-6 rls/cs-S (208492)</v>
      </c>
    </row>
    <row r="611" spans="1:16" x14ac:dyDescent="0.25">
      <c r="A611" s="60" t="s">
        <v>297</v>
      </c>
      <c r="B611" s="60" t="s">
        <v>68</v>
      </c>
      <c r="C611" s="60" t="s">
        <v>291</v>
      </c>
      <c r="D611" s="60" t="s">
        <v>124</v>
      </c>
      <c r="E611" s="60" t="s">
        <v>665</v>
      </c>
      <c r="F611" s="60" t="s">
        <v>666</v>
      </c>
      <c r="G611" s="60" t="s">
        <v>56</v>
      </c>
      <c r="H611" s="60" t="s">
        <v>482</v>
      </c>
      <c r="I611" s="60" t="s">
        <v>483</v>
      </c>
      <c r="J611" s="61">
        <v>4561.92</v>
      </c>
      <c r="K611" s="61"/>
      <c r="L611" s="62">
        <v>24800.256000000001</v>
      </c>
      <c r="M611" s="64"/>
      <c r="N611" s="17" t="str">
        <f t="shared" si="31"/>
        <v>7839 ASSOCIATED PKG/GA DOUGLASVILLE</v>
      </c>
      <c r="O611" s="17" t="str">
        <f t="shared" si="32"/>
        <v>746862 FILTERBUY</v>
      </c>
      <c r="P611" s="17" t="str">
        <f t="shared" si="33"/>
        <v>AP 101 CLR-72mm x 100m-24 rls/cs-H/A (230959)</v>
      </c>
    </row>
    <row r="612" spans="1:16" x14ac:dyDescent="0.25">
      <c r="A612" s="60" t="s">
        <v>297</v>
      </c>
      <c r="B612" s="60" t="s">
        <v>68</v>
      </c>
      <c r="C612" s="60" t="s">
        <v>291</v>
      </c>
      <c r="D612" s="60" t="s">
        <v>124</v>
      </c>
      <c r="E612" s="60" t="s">
        <v>667</v>
      </c>
      <c r="F612" s="60" t="s">
        <v>668</v>
      </c>
      <c r="G612" s="60" t="s">
        <v>56</v>
      </c>
      <c r="H612" s="60" t="s">
        <v>482</v>
      </c>
      <c r="I612" s="60" t="s">
        <v>483</v>
      </c>
      <c r="J612" s="61">
        <v>9123.84</v>
      </c>
      <c r="K612" s="61"/>
      <c r="L612" s="62">
        <v>49600.512000000002</v>
      </c>
      <c r="M612" s="63"/>
      <c r="N612" s="17" t="str">
        <f t="shared" si="31"/>
        <v>7839 ASSOCIATED PKG/GA DOUGLASVILLE</v>
      </c>
      <c r="O612" s="17" t="str">
        <f t="shared" si="32"/>
        <v>746903 ASSOCIATED PKG FOR FILTER BUY</v>
      </c>
      <c r="P612" s="17" t="str">
        <f t="shared" si="33"/>
        <v>AP 101 CLR-72mm x 100m-24 rls/cs-H/A (230959)</v>
      </c>
    </row>
    <row r="613" spans="1:16" x14ac:dyDescent="0.25">
      <c r="A613" s="60" t="s">
        <v>297</v>
      </c>
      <c r="B613" s="60" t="s">
        <v>68</v>
      </c>
      <c r="C613" s="60" t="s">
        <v>291</v>
      </c>
      <c r="D613" s="60" t="s">
        <v>124</v>
      </c>
      <c r="E613" s="60" t="s">
        <v>772</v>
      </c>
      <c r="F613" s="60" t="s">
        <v>773</v>
      </c>
      <c r="G613" s="60" t="s">
        <v>70</v>
      </c>
      <c r="H613" s="60" t="s">
        <v>819</v>
      </c>
      <c r="I613" s="60" t="s">
        <v>820</v>
      </c>
      <c r="J613" s="61"/>
      <c r="K613" s="61">
        <v>24890.98</v>
      </c>
      <c r="L613" s="62"/>
      <c r="M613" s="64">
        <v>68005.440000000002</v>
      </c>
      <c r="N613" s="17" t="str">
        <f t="shared" si="31"/>
        <v>7839 ASSOCIATED PKG/GA DOUGLASVILLE</v>
      </c>
      <c r="O613" s="17" t="str">
        <f t="shared" si="32"/>
        <v>747444 PFLUG PACKAGING</v>
      </c>
      <c r="P613" s="17" t="str">
        <f t="shared" si="33"/>
        <v>HP 235 CLR-48mm x 1371m-6 rls/cs-S (164654)</v>
      </c>
    </row>
    <row r="614" spans="1:16" x14ac:dyDescent="0.25">
      <c r="A614" s="60" t="s">
        <v>297</v>
      </c>
      <c r="B614" s="60" t="s">
        <v>68</v>
      </c>
      <c r="C614" s="60" t="s">
        <v>291</v>
      </c>
      <c r="D614" s="60" t="s">
        <v>124</v>
      </c>
      <c r="E614" s="60" t="s">
        <v>1725</v>
      </c>
      <c r="F614" s="60" t="s">
        <v>1726</v>
      </c>
      <c r="G614" s="60" t="s">
        <v>56</v>
      </c>
      <c r="H614" s="60" t="s">
        <v>482</v>
      </c>
      <c r="I614" s="60" t="s">
        <v>483</v>
      </c>
      <c r="J614" s="61">
        <v>4419.3599999999997</v>
      </c>
      <c r="K614" s="61"/>
      <c r="L614" s="65">
        <v>24800.256000000001</v>
      </c>
      <c r="M614" s="64"/>
      <c r="N614" s="17" t="str">
        <f t="shared" si="31"/>
        <v>7839 ASSOCIATED PKG/GA DOUGLASVILLE</v>
      </c>
      <c r="O614" s="17" t="str">
        <f t="shared" si="32"/>
        <v>747621 FILTERBUY ORLANDO</v>
      </c>
      <c r="P614" s="17" t="str">
        <f t="shared" si="33"/>
        <v>AP 101 CLR-72mm x 100m-24 rls/cs-H/A (230959)</v>
      </c>
    </row>
    <row r="615" spans="1:16" x14ac:dyDescent="0.25">
      <c r="A615" s="60" t="s">
        <v>297</v>
      </c>
      <c r="B615" s="60" t="s">
        <v>68</v>
      </c>
      <c r="C615" s="60" t="s">
        <v>291</v>
      </c>
      <c r="D615" s="60" t="s">
        <v>124</v>
      </c>
      <c r="E615" s="60" t="s">
        <v>1142</v>
      </c>
      <c r="F615" s="60" t="s">
        <v>358</v>
      </c>
      <c r="G615" s="60" t="s">
        <v>19</v>
      </c>
      <c r="H615" s="60" t="s">
        <v>248</v>
      </c>
      <c r="I615" s="60" t="s">
        <v>103</v>
      </c>
      <c r="J615" s="61"/>
      <c r="K615" s="61">
        <v>7629.82</v>
      </c>
      <c r="L615" s="62"/>
      <c r="M615" s="64">
        <v>34000.559999999998</v>
      </c>
      <c r="N615" s="17" t="str">
        <f t="shared" si="31"/>
        <v>7839 ASSOCIATED PKG/GA DOUGLASVILLE</v>
      </c>
      <c r="O615" s="17" t="str">
        <f t="shared" si="32"/>
        <v>748147 LIFOAM</v>
      </c>
      <c r="P615" s="17" t="str">
        <f t="shared" si="33"/>
        <v>HP 100 CLR-72mm x 1371m-4 rls/cs-H/T (208761)</v>
      </c>
    </row>
    <row r="616" spans="1:16" x14ac:dyDescent="0.25">
      <c r="A616" s="60" t="s">
        <v>297</v>
      </c>
      <c r="B616" s="60" t="s">
        <v>68</v>
      </c>
      <c r="C616" s="60" t="s">
        <v>291</v>
      </c>
      <c r="D616" s="60" t="s">
        <v>124</v>
      </c>
      <c r="E616" s="60" t="s">
        <v>897</v>
      </c>
      <c r="F616" s="60" t="s">
        <v>898</v>
      </c>
      <c r="G616" s="60" t="s">
        <v>56</v>
      </c>
      <c r="H616" s="60" t="s">
        <v>482</v>
      </c>
      <c r="I616" s="60" t="s">
        <v>483</v>
      </c>
      <c r="J616" s="61"/>
      <c r="K616" s="61">
        <v>7698.24</v>
      </c>
      <c r="L616" s="65"/>
      <c r="M616" s="64">
        <v>49600.512000000002</v>
      </c>
      <c r="N616" s="17" t="str">
        <f t="shared" si="31"/>
        <v>7839 ASSOCIATED PKG/GA DOUGLASVILLE</v>
      </c>
      <c r="O616" s="17" t="str">
        <f t="shared" si="32"/>
        <v>750684 FILTERBUY PITTSBURG</v>
      </c>
      <c r="P616" s="17" t="str">
        <f t="shared" si="33"/>
        <v>AP 101 CLR-72mm x 100m-24 rls/cs-H/A (230959)</v>
      </c>
    </row>
    <row r="617" spans="1:16" x14ac:dyDescent="0.25">
      <c r="A617" s="60" t="s">
        <v>303</v>
      </c>
      <c r="B617" s="60" t="s">
        <v>850</v>
      </c>
      <c r="C617" s="60" t="s">
        <v>304</v>
      </c>
      <c r="D617" s="60" t="s">
        <v>131</v>
      </c>
      <c r="E617" s="60" t="s">
        <v>305</v>
      </c>
      <c r="F617" s="60" t="s">
        <v>156</v>
      </c>
      <c r="G617" s="60" t="s">
        <v>61</v>
      </c>
      <c r="H617" s="60" t="s">
        <v>289</v>
      </c>
      <c r="I617" s="60" t="s">
        <v>154</v>
      </c>
      <c r="J617" s="61">
        <v>15991.44</v>
      </c>
      <c r="K617" s="61">
        <v>5616.86</v>
      </c>
      <c r="L617" s="62">
        <v>36980.864999999998</v>
      </c>
      <c r="M617" s="64">
        <v>12395.821</v>
      </c>
      <c r="N617" s="17" t="str">
        <f t="shared" si="31"/>
        <v>16650 ASSOCIATED PKG/TX MESQUITE</v>
      </c>
      <c r="O617" s="17" t="str">
        <f t="shared" si="32"/>
        <v>14140 ALLSTATES WAREHOUSE AND DIST (WFC)</v>
      </c>
      <c r="P617" s="17" t="str">
        <f t="shared" si="33"/>
        <v>HP 500 CLR-72mm x 50m-24 rls/cs-H/A (207775)</v>
      </c>
    </row>
    <row r="618" spans="1:16" x14ac:dyDescent="0.25">
      <c r="A618" s="60" t="s">
        <v>303</v>
      </c>
      <c r="B618" s="60" t="s">
        <v>850</v>
      </c>
      <c r="C618" s="60" t="s">
        <v>304</v>
      </c>
      <c r="D618" s="60" t="s">
        <v>131</v>
      </c>
      <c r="E618" s="60" t="s">
        <v>305</v>
      </c>
      <c r="F618" s="60" t="s">
        <v>156</v>
      </c>
      <c r="G618" s="60" t="s">
        <v>61</v>
      </c>
      <c r="H618" s="60" t="s">
        <v>306</v>
      </c>
      <c r="I618" s="60" t="s">
        <v>160</v>
      </c>
      <c r="J618" s="61">
        <v>140746.64000000001</v>
      </c>
      <c r="K618" s="61">
        <v>261241.2</v>
      </c>
      <c r="L618" s="65">
        <v>317341.66200000001</v>
      </c>
      <c r="M618" s="64">
        <v>566681.54</v>
      </c>
      <c r="N618" s="17" t="str">
        <f t="shared" si="31"/>
        <v>16650 ASSOCIATED PKG/TX MESQUITE</v>
      </c>
      <c r="O618" s="17" t="str">
        <f t="shared" si="32"/>
        <v>14140 ALLSTATES WAREHOUSE AND DIST (WFC)</v>
      </c>
      <c r="P618" s="17" t="str">
        <f t="shared" si="33"/>
        <v>HP 500 CLR-72mm x 914m-4 rls/cs-S (208571)</v>
      </c>
    </row>
    <row r="619" spans="1:16" x14ac:dyDescent="0.25">
      <c r="A619" s="60" t="s">
        <v>303</v>
      </c>
      <c r="B619" s="60" t="s">
        <v>850</v>
      </c>
      <c r="C619" s="60" t="s">
        <v>304</v>
      </c>
      <c r="D619" s="60" t="s">
        <v>131</v>
      </c>
      <c r="E619" s="60" t="s">
        <v>304</v>
      </c>
      <c r="F619" s="60" t="s">
        <v>131</v>
      </c>
      <c r="G619" s="60" t="s">
        <v>63</v>
      </c>
      <c r="H619" s="60" t="s">
        <v>740</v>
      </c>
      <c r="I619" s="60" t="s">
        <v>741</v>
      </c>
      <c r="J619" s="61">
        <v>13381.87</v>
      </c>
      <c r="K619" s="61">
        <v>5479.05</v>
      </c>
      <c r="L619" s="65">
        <v>44862.42</v>
      </c>
      <c r="M619" s="64">
        <v>18889.439999999999</v>
      </c>
      <c r="N619" s="17" t="str">
        <f t="shared" ref="N619:N682" si="34">C619&amp;" "&amp;D619</f>
        <v>16650 ASSOCIATED PKG/TX MESQUITE</v>
      </c>
      <c r="O619" s="17" t="str">
        <f t="shared" ref="O619:O682" si="35">E619&amp;" "&amp;F619</f>
        <v>16650 ASSOCIATED PKG/TX MESQUITE</v>
      </c>
      <c r="P619" s="17" t="str">
        <f t="shared" si="33"/>
        <v>AP 180 CLR-48mm x 1371m-6 rls/cs-H (231047)</v>
      </c>
    </row>
    <row r="620" spans="1:16" x14ac:dyDescent="0.25">
      <c r="A620" s="60" t="s">
        <v>303</v>
      </c>
      <c r="B620" s="60" t="s">
        <v>850</v>
      </c>
      <c r="C620" s="60" t="s">
        <v>304</v>
      </c>
      <c r="D620" s="60" t="s">
        <v>131</v>
      </c>
      <c r="E620" s="60" t="s">
        <v>304</v>
      </c>
      <c r="F620" s="60" t="s">
        <v>131</v>
      </c>
      <c r="G620" s="60" t="s">
        <v>19</v>
      </c>
      <c r="H620" s="60" t="s">
        <v>222</v>
      </c>
      <c r="I620" s="60" t="s">
        <v>104</v>
      </c>
      <c r="J620" s="61">
        <v>16067.35</v>
      </c>
      <c r="K620" s="61"/>
      <c r="L620" s="65">
        <v>79297.554000000004</v>
      </c>
      <c r="M620" s="64"/>
      <c r="N620" s="17" t="str">
        <f t="shared" si="34"/>
        <v>16650 ASSOCIATED PKG/TX MESQUITE</v>
      </c>
      <c r="O620" s="17" t="str">
        <f t="shared" si="35"/>
        <v>16650 ASSOCIATED PKG/TX MESQUITE</v>
      </c>
      <c r="P620" s="17" t="str">
        <f t="shared" si="33"/>
        <v>HP 100 CLR-53mm x 1500m-6 rls/cs-S (195553)</v>
      </c>
    </row>
    <row r="621" spans="1:16" x14ac:dyDescent="0.25">
      <c r="A621" s="60" t="s">
        <v>303</v>
      </c>
      <c r="B621" s="60" t="s">
        <v>850</v>
      </c>
      <c r="C621" s="60" t="s">
        <v>304</v>
      </c>
      <c r="D621" s="60" t="s">
        <v>131</v>
      </c>
      <c r="E621" s="60" t="s">
        <v>304</v>
      </c>
      <c r="F621" s="60" t="s">
        <v>131</v>
      </c>
      <c r="G621" s="60" t="s">
        <v>19</v>
      </c>
      <c r="H621" s="60" t="s">
        <v>233</v>
      </c>
      <c r="I621" s="60" t="s">
        <v>49</v>
      </c>
      <c r="J621" s="61">
        <v>8703.2800000000007</v>
      </c>
      <c r="K621" s="61">
        <v>2951</v>
      </c>
      <c r="L621" s="65">
        <v>37198.800000000003</v>
      </c>
      <c r="M621" s="64">
        <v>12399.6</v>
      </c>
      <c r="N621" s="17" t="str">
        <f t="shared" si="34"/>
        <v>16650 ASSOCIATED PKG/TX MESQUITE</v>
      </c>
      <c r="O621" s="17" t="str">
        <f t="shared" si="35"/>
        <v>16650 ASSOCIATED PKG/TX MESQUITE</v>
      </c>
      <c r="P621" s="17" t="str">
        <f t="shared" si="33"/>
        <v>HP 100 CLR-48mm x 100m-36 rls/cs-S (207142)</v>
      </c>
    </row>
    <row r="622" spans="1:16" x14ac:dyDescent="0.25">
      <c r="A622" s="60" t="s">
        <v>303</v>
      </c>
      <c r="B622" s="60" t="s">
        <v>850</v>
      </c>
      <c r="C622" s="60" t="s">
        <v>304</v>
      </c>
      <c r="D622" s="60" t="s">
        <v>131</v>
      </c>
      <c r="E622" s="60" t="s">
        <v>304</v>
      </c>
      <c r="F622" s="60" t="s">
        <v>131</v>
      </c>
      <c r="G622" s="60" t="s">
        <v>19</v>
      </c>
      <c r="H622" s="60" t="s">
        <v>243</v>
      </c>
      <c r="I622" s="60" t="s">
        <v>87</v>
      </c>
      <c r="J622" s="61">
        <v>4201.96</v>
      </c>
      <c r="K622" s="61"/>
      <c r="L622" s="65">
        <v>17000.28</v>
      </c>
      <c r="M622" s="64"/>
      <c r="N622" s="17" t="str">
        <f t="shared" si="34"/>
        <v>16650 ASSOCIATED PKG/TX MESQUITE</v>
      </c>
      <c r="O622" s="17" t="str">
        <f t="shared" si="35"/>
        <v>16650 ASSOCIATED PKG/TX MESQUITE</v>
      </c>
      <c r="P622" s="17" t="str">
        <f t="shared" si="33"/>
        <v>HP 100 CLR-48mm x 914m-6 rls/cs-S (208453)</v>
      </c>
    </row>
    <row r="623" spans="1:16" x14ac:dyDescent="0.25">
      <c r="A623" s="60" t="s">
        <v>303</v>
      </c>
      <c r="B623" s="60" t="s">
        <v>850</v>
      </c>
      <c r="C623" s="60" t="s">
        <v>304</v>
      </c>
      <c r="D623" s="60" t="s">
        <v>131</v>
      </c>
      <c r="E623" s="60" t="s">
        <v>304</v>
      </c>
      <c r="F623" s="60" t="s">
        <v>131</v>
      </c>
      <c r="G623" s="60" t="s">
        <v>18</v>
      </c>
      <c r="H623" s="60" t="s">
        <v>215</v>
      </c>
      <c r="I623" s="60" t="s">
        <v>50</v>
      </c>
      <c r="J623" s="61">
        <v>3639.56</v>
      </c>
      <c r="K623" s="61">
        <v>3076.44</v>
      </c>
      <c r="L623" s="65">
        <v>13639.56</v>
      </c>
      <c r="M623" s="64">
        <v>10746.32</v>
      </c>
      <c r="N623" s="17" t="str">
        <f t="shared" si="34"/>
        <v>16650 ASSOCIATED PKG/TX MESQUITE</v>
      </c>
      <c r="O623" s="17" t="str">
        <f t="shared" si="35"/>
        <v>16650 ASSOCIATED PKG/TX MESQUITE</v>
      </c>
      <c r="P623" s="17" t="str">
        <f t="shared" si="33"/>
        <v>HP 200 CLR-48mm x 100m-36 rls/cs-S (207149)</v>
      </c>
    </row>
    <row r="624" spans="1:16" x14ac:dyDescent="0.25">
      <c r="A624" s="60" t="s">
        <v>303</v>
      </c>
      <c r="B624" s="60" t="s">
        <v>850</v>
      </c>
      <c r="C624" s="60" t="s">
        <v>304</v>
      </c>
      <c r="D624" s="60" t="s">
        <v>131</v>
      </c>
      <c r="E624" s="60" t="s">
        <v>304</v>
      </c>
      <c r="F624" s="60" t="s">
        <v>131</v>
      </c>
      <c r="G624" s="60" t="s">
        <v>18</v>
      </c>
      <c r="H624" s="60" t="s">
        <v>212</v>
      </c>
      <c r="I624" s="60" t="s">
        <v>86</v>
      </c>
      <c r="J624" s="61">
        <v>20452.55</v>
      </c>
      <c r="K624" s="61"/>
      <c r="L624" s="65">
        <v>74612.34</v>
      </c>
      <c r="M624" s="64"/>
      <c r="N624" s="17" t="str">
        <f t="shared" si="34"/>
        <v>16650 ASSOCIATED PKG/TX MESQUITE</v>
      </c>
      <c r="O624" s="17" t="str">
        <f t="shared" si="35"/>
        <v>16650 ASSOCIATED PKG/TX MESQUITE</v>
      </c>
      <c r="P624" s="17" t="str">
        <f t="shared" si="33"/>
        <v>HP 200 CLR-48mm x 914m-6 rls/cs-S (208492)</v>
      </c>
    </row>
    <row r="625" spans="1:16" x14ac:dyDescent="0.25">
      <c r="A625" s="60" t="s">
        <v>303</v>
      </c>
      <c r="B625" s="60" t="s">
        <v>850</v>
      </c>
      <c r="C625" s="60" t="s">
        <v>304</v>
      </c>
      <c r="D625" s="60" t="s">
        <v>131</v>
      </c>
      <c r="E625" s="60" t="s">
        <v>304</v>
      </c>
      <c r="F625" s="60" t="s">
        <v>131</v>
      </c>
      <c r="G625" s="60" t="s">
        <v>18</v>
      </c>
      <c r="H625" s="60" t="s">
        <v>213</v>
      </c>
      <c r="I625" s="60" t="s">
        <v>157</v>
      </c>
      <c r="J625" s="61">
        <v>1568.16</v>
      </c>
      <c r="K625" s="61">
        <v>1564.6</v>
      </c>
      <c r="L625" s="65">
        <v>5666.76</v>
      </c>
      <c r="M625" s="64">
        <v>5666.76</v>
      </c>
      <c r="N625" s="17" t="str">
        <f t="shared" si="34"/>
        <v>16650 ASSOCIATED PKG/TX MESQUITE</v>
      </c>
      <c r="O625" s="17" t="str">
        <f t="shared" si="35"/>
        <v>16650 ASSOCIATED PKG/TX MESQUITE</v>
      </c>
      <c r="P625" s="17" t="str">
        <f t="shared" si="33"/>
        <v>HP 200 CLR-48mm x 1371m-6 rls/cs-S (208511)</v>
      </c>
    </row>
    <row r="626" spans="1:16" x14ac:dyDescent="0.25">
      <c r="A626" s="60" t="s">
        <v>303</v>
      </c>
      <c r="B626" s="60" t="s">
        <v>850</v>
      </c>
      <c r="C626" s="60" t="s">
        <v>304</v>
      </c>
      <c r="D626" s="60" t="s">
        <v>131</v>
      </c>
      <c r="E626" s="60" t="s">
        <v>304</v>
      </c>
      <c r="F626" s="60" t="s">
        <v>131</v>
      </c>
      <c r="G626" s="60" t="s">
        <v>18</v>
      </c>
      <c r="H626" s="60" t="s">
        <v>249</v>
      </c>
      <c r="I626" s="60" t="s">
        <v>588</v>
      </c>
      <c r="J626" s="61">
        <v>15927.51</v>
      </c>
      <c r="K626" s="61">
        <v>7437.36</v>
      </c>
      <c r="L626" s="62">
        <v>59500.98</v>
      </c>
      <c r="M626" s="63">
        <v>25500.42</v>
      </c>
      <c r="N626" s="17" t="str">
        <f t="shared" si="34"/>
        <v>16650 ASSOCIATED PKG/TX MESQUITE</v>
      </c>
      <c r="O626" s="17" t="str">
        <f t="shared" si="35"/>
        <v>16650 ASSOCIATED PKG/TX MESQUITE</v>
      </c>
      <c r="P626" s="17" t="str">
        <f t="shared" si="33"/>
        <v>HP 200 CLR-72mm x 1371m-4 rls/cs-S (208529)</v>
      </c>
    </row>
    <row r="627" spans="1:16" x14ac:dyDescent="0.25">
      <c r="A627" s="60" t="s">
        <v>303</v>
      </c>
      <c r="B627" s="60" t="s">
        <v>850</v>
      </c>
      <c r="C627" s="60" t="s">
        <v>304</v>
      </c>
      <c r="D627" s="60" t="s">
        <v>131</v>
      </c>
      <c r="E627" s="60" t="s">
        <v>304</v>
      </c>
      <c r="F627" s="60" t="s">
        <v>131</v>
      </c>
      <c r="G627" s="60" t="s">
        <v>79</v>
      </c>
      <c r="H627" s="60" t="s">
        <v>220</v>
      </c>
      <c r="I627" s="60" t="s">
        <v>90</v>
      </c>
      <c r="J627" s="61">
        <v>26907.72</v>
      </c>
      <c r="K627" s="61">
        <v>10944.82</v>
      </c>
      <c r="L627" s="62">
        <v>76186.44</v>
      </c>
      <c r="M627" s="63">
        <v>30222.720000000001</v>
      </c>
      <c r="N627" s="17" t="str">
        <f t="shared" si="34"/>
        <v>16650 ASSOCIATED PKG/TX MESQUITE</v>
      </c>
      <c r="O627" s="17" t="str">
        <f t="shared" si="35"/>
        <v>16650 ASSOCIATED PKG/TX MESQUITE</v>
      </c>
      <c r="P627" s="17" t="str">
        <f t="shared" si="33"/>
        <v>HP 232 CLR-72mm x 914m-4 rls/cs-H/A (100053)</v>
      </c>
    </row>
    <row r="628" spans="1:16" x14ac:dyDescent="0.25">
      <c r="A628" s="60" t="s">
        <v>303</v>
      </c>
      <c r="B628" s="60" t="s">
        <v>850</v>
      </c>
      <c r="C628" s="60" t="s">
        <v>304</v>
      </c>
      <c r="D628" s="60" t="s">
        <v>131</v>
      </c>
      <c r="E628" s="60" t="s">
        <v>304</v>
      </c>
      <c r="F628" s="60" t="s">
        <v>131</v>
      </c>
      <c r="G628" s="60" t="s">
        <v>79</v>
      </c>
      <c r="H628" s="60" t="s">
        <v>247</v>
      </c>
      <c r="I628" s="60" t="s">
        <v>80</v>
      </c>
      <c r="J628" s="61">
        <v>1575.05</v>
      </c>
      <c r="K628" s="61">
        <v>1137.5</v>
      </c>
      <c r="L628" s="62">
        <v>4407.4799999999996</v>
      </c>
      <c r="M628" s="63">
        <v>3148.2</v>
      </c>
      <c r="N628" s="17" t="str">
        <f t="shared" si="34"/>
        <v>16650 ASSOCIATED PKG/TX MESQUITE</v>
      </c>
      <c r="O628" s="17" t="str">
        <f t="shared" si="35"/>
        <v>16650 ASSOCIATED PKG/TX MESQUITE</v>
      </c>
      <c r="P628" s="17" t="str">
        <f t="shared" si="33"/>
        <v>HP 232 CLR-48mm x 914m-6 rls/cs-H/A (100962)</v>
      </c>
    </row>
    <row r="629" spans="1:16" x14ac:dyDescent="0.25">
      <c r="A629" s="60" t="s">
        <v>303</v>
      </c>
      <c r="B629" s="60" t="s">
        <v>850</v>
      </c>
      <c r="C629" s="60" t="s">
        <v>304</v>
      </c>
      <c r="D629" s="60" t="s">
        <v>131</v>
      </c>
      <c r="E629" s="60" t="s">
        <v>304</v>
      </c>
      <c r="F629" s="60" t="s">
        <v>131</v>
      </c>
      <c r="G629" s="60" t="s">
        <v>62</v>
      </c>
      <c r="H629" s="60" t="s">
        <v>246</v>
      </c>
      <c r="I629" s="60" t="s">
        <v>171</v>
      </c>
      <c r="J629" s="61">
        <v>2258.9899999999998</v>
      </c>
      <c r="K629" s="61">
        <v>1296.3399999999999</v>
      </c>
      <c r="L629" s="62">
        <v>4407.4799999999996</v>
      </c>
      <c r="M629" s="63">
        <v>2518.56</v>
      </c>
      <c r="N629" s="17" t="str">
        <f t="shared" si="34"/>
        <v>16650 ASSOCIATED PKG/TX MESQUITE</v>
      </c>
      <c r="O629" s="17" t="str">
        <f t="shared" si="35"/>
        <v>16650 ASSOCIATED PKG/TX MESQUITE</v>
      </c>
      <c r="P629" s="17" t="str">
        <f t="shared" si="33"/>
        <v>HP 300 CLR-48mm x 914m-6 rls/cs-H (208532)</v>
      </c>
    </row>
    <row r="630" spans="1:16" x14ac:dyDescent="0.25">
      <c r="A630" s="60" t="s">
        <v>303</v>
      </c>
      <c r="B630" s="60" t="s">
        <v>850</v>
      </c>
      <c r="C630" s="60" t="s">
        <v>304</v>
      </c>
      <c r="D630" s="60" t="s">
        <v>131</v>
      </c>
      <c r="E630" s="60" t="s">
        <v>304</v>
      </c>
      <c r="F630" s="60" t="s">
        <v>131</v>
      </c>
      <c r="G630" s="60" t="s">
        <v>205</v>
      </c>
      <c r="H630" s="60" t="s">
        <v>231</v>
      </c>
      <c r="I630" s="60" t="s">
        <v>379</v>
      </c>
      <c r="J630" s="61">
        <v>93.14</v>
      </c>
      <c r="K630" s="61"/>
      <c r="L630" s="65">
        <v>0</v>
      </c>
      <c r="M630" s="64"/>
      <c r="N630" s="17" t="str">
        <f t="shared" si="34"/>
        <v>16650 ASSOCIATED PKG/TX MESQUITE</v>
      </c>
      <c r="O630" s="17" t="str">
        <f t="shared" si="35"/>
        <v>16650 ASSOCIATED PKG/TX MESQUITE</v>
      </c>
      <c r="P630" s="17" t="str">
        <f t="shared" si="33"/>
        <v>SD 935  PISTOL GRIP DISPNSR-3 IN. ROLL-S (909535)</v>
      </c>
    </row>
    <row r="631" spans="1:16" x14ac:dyDescent="0.25">
      <c r="A631" s="60" t="s">
        <v>303</v>
      </c>
      <c r="B631" s="60" t="s">
        <v>850</v>
      </c>
      <c r="C631" s="60" t="s">
        <v>304</v>
      </c>
      <c r="D631" s="60" t="s">
        <v>131</v>
      </c>
      <c r="E631" s="60" t="s">
        <v>304</v>
      </c>
      <c r="F631" s="60" t="s">
        <v>131</v>
      </c>
      <c r="G631" s="60" t="s">
        <v>109</v>
      </c>
      <c r="H631" s="60" t="s">
        <v>276</v>
      </c>
      <c r="I631" s="60" t="s">
        <v>112</v>
      </c>
      <c r="J631" s="61">
        <v>668.25</v>
      </c>
      <c r="K631" s="61">
        <v>718.74</v>
      </c>
      <c r="L631" s="62">
        <v>1188.3</v>
      </c>
      <c r="M631" s="63">
        <v>1188.3</v>
      </c>
      <c r="N631" s="17" t="str">
        <f t="shared" si="34"/>
        <v>16650 ASSOCIATED PKG/TX MESQUITE</v>
      </c>
      <c r="O631" s="17" t="str">
        <f t="shared" si="35"/>
        <v>16650 ASSOCIATED PKG/TX MESQUITE</v>
      </c>
      <c r="P631" s="17" t="str">
        <f t="shared" si="33"/>
        <v>WP 100 NAT-72mmx138m(450ft)-10rls/cs-H/A (101686)</v>
      </c>
    </row>
    <row r="632" spans="1:16" x14ac:dyDescent="0.25">
      <c r="A632" s="60" t="s">
        <v>303</v>
      </c>
      <c r="B632" s="60" t="s">
        <v>850</v>
      </c>
      <c r="C632" s="60" t="s">
        <v>304</v>
      </c>
      <c r="D632" s="60" t="s">
        <v>131</v>
      </c>
      <c r="E632" s="60" t="s">
        <v>575</v>
      </c>
      <c r="F632" s="60" t="s">
        <v>576</v>
      </c>
      <c r="G632" s="60" t="s">
        <v>18</v>
      </c>
      <c r="H632" s="60" t="s">
        <v>213</v>
      </c>
      <c r="I632" s="60" t="s">
        <v>157</v>
      </c>
      <c r="J632" s="61">
        <v>2986.63</v>
      </c>
      <c r="K632" s="61"/>
      <c r="L632" s="62">
        <v>11333.52</v>
      </c>
      <c r="M632" s="63"/>
      <c r="N632" s="17" t="str">
        <f t="shared" si="34"/>
        <v>16650 ASSOCIATED PKG/TX MESQUITE</v>
      </c>
      <c r="O632" s="17" t="str">
        <f t="shared" si="35"/>
        <v>17302 ATKINSON CANDY</v>
      </c>
      <c r="P632" s="17" t="str">
        <f t="shared" si="33"/>
        <v>HP 200 CLR-48mm x 1371m-6 rls/cs-S (208511)</v>
      </c>
    </row>
    <row r="633" spans="1:16" x14ac:dyDescent="0.25">
      <c r="A633" s="60" t="s">
        <v>303</v>
      </c>
      <c r="B633" s="60" t="s">
        <v>850</v>
      </c>
      <c r="C633" s="60" t="s">
        <v>304</v>
      </c>
      <c r="D633" s="60" t="s">
        <v>131</v>
      </c>
      <c r="E633" s="60" t="s">
        <v>575</v>
      </c>
      <c r="F633" s="60" t="s">
        <v>576</v>
      </c>
      <c r="G633" s="60" t="s">
        <v>84</v>
      </c>
      <c r="H633" s="60" t="s">
        <v>307</v>
      </c>
      <c r="I633" s="60" t="s">
        <v>132</v>
      </c>
      <c r="J633" s="61">
        <v>550.28</v>
      </c>
      <c r="K633" s="61"/>
      <c r="L633" s="62">
        <v>826.68</v>
      </c>
      <c r="M633" s="64"/>
      <c r="N633" s="17" t="str">
        <f t="shared" si="34"/>
        <v>16650 ASSOCIATED PKG/TX MESQUITE</v>
      </c>
      <c r="O633" s="17" t="str">
        <f t="shared" si="35"/>
        <v>17302 ATKINSON CANDY</v>
      </c>
      <c r="P633" s="17" t="str">
        <f t="shared" si="33"/>
        <v>HP 240 WR STOP-48mm x 100m-36 rls/cs-H (124152)</v>
      </c>
    </row>
    <row r="634" spans="1:16" x14ac:dyDescent="0.25">
      <c r="A634" s="60" t="s">
        <v>303</v>
      </c>
      <c r="B634" s="60" t="s">
        <v>850</v>
      </c>
      <c r="C634" s="60" t="s">
        <v>304</v>
      </c>
      <c r="D634" s="60" t="s">
        <v>131</v>
      </c>
      <c r="E634" s="60" t="s">
        <v>1727</v>
      </c>
      <c r="F634" s="60" t="s">
        <v>1728</v>
      </c>
      <c r="G634" s="60" t="s">
        <v>18</v>
      </c>
      <c r="H634" s="60" t="s">
        <v>215</v>
      </c>
      <c r="I634" s="60" t="s">
        <v>50</v>
      </c>
      <c r="J634" s="61">
        <v>2252.4499999999998</v>
      </c>
      <c r="K634" s="61">
        <v>2252.4499999999998</v>
      </c>
      <c r="L634" s="62">
        <v>8266.4</v>
      </c>
      <c r="M634" s="63">
        <v>8266.4</v>
      </c>
      <c r="N634" s="17" t="str">
        <f t="shared" si="34"/>
        <v>16650 ASSOCIATED PKG/TX MESQUITE</v>
      </c>
      <c r="O634" s="17" t="str">
        <f t="shared" si="35"/>
        <v>33511 EBAA IRON</v>
      </c>
      <c r="P634" s="17" t="str">
        <f t="shared" si="33"/>
        <v>HP 200 CLR-48mm x 100m-36 rls/cs-S (207149)</v>
      </c>
    </row>
    <row r="635" spans="1:16" x14ac:dyDescent="0.25">
      <c r="A635" s="60" t="s">
        <v>303</v>
      </c>
      <c r="B635" s="60" t="s">
        <v>850</v>
      </c>
      <c r="C635" s="60" t="s">
        <v>304</v>
      </c>
      <c r="D635" s="60" t="s">
        <v>131</v>
      </c>
      <c r="E635" s="60" t="s">
        <v>1729</v>
      </c>
      <c r="F635" s="60" t="s">
        <v>1730</v>
      </c>
      <c r="G635" s="60" t="s">
        <v>1151</v>
      </c>
      <c r="H635" s="60" t="s">
        <v>1731</v>
      </c>
      <c r="I635" s="60" t="s">
        <v>1732</v>
      </c>
      <c r="J635" s="61">
        <v>115.51</v>
      </c>
      <c r="K635" s="61"/>
      <c r="L635" s="62">
        <v>0</v>
      </c>
      <c r="M635" s="64"/>
      <c r="N635" s="17" t="str">
        <f t="shared" si="34"/>
        <v>16650 ASSOCIATED PKG/TX MESQUITE</v>
      </c>
      <c r="O635" s="17" t="str">
        <f t="shared" si="35"/>
        <v>34135 CTI FOODS-BEAN PLANT</v>
      </c>
      <c r="P635" s="17" t="str">
        <f t="shared" si="33"/>
        <v>10469 KNIFE-T (901788)</v>
      </c>
    </row>
    <row r="636" spans="1:16" x14ac:dyDescent="0.25">
      <c r="A636" s="60" t="s">
        <v>303</v>
      </c>
      <c r="B636" s="60" t="s">
        <v>850</v>
      </c>
      <c r="C636" s="60" t="s">
        <v>304</v>
      </c>
      <c r="D636" s="60" t="s">
        <v>131</v>
      </c>
      <c r="E636" s="60" t="s">
        <v>1476</v>
      </c>
      <c r="F636" s="60" t="s">
        <v>1477</v>
      </c>
      <c r="G636" s="60" t="s">
        <v>18</v>
      </c>
      <c r="H636" s="60" t="s">
        <v>218</v>
      </c>
      <c r="I636" s="60" t="s">
        <v>82</v>
      </c>
      <c r="J636" s="61">
        <v>7601.3</v>
      </c>
      <c r="K636" s="61"/>
      <c r="L636" s="62">
        <v>15111.36</v>
      </c>
      <c r="M636" s="63"/>
      <c r="N636" s="17" t="str">
        <f t="shared" si="34"/>
        <v>16650 ASSOCIATED PKG/TX MESQUITE</v>
      </c>
      <c r="O636" s="17" t="str">
        <f t="shared" si="35"/>
        <v>78143 CTI FOODS/ SOUP</v>
      </c>
      <c r="P636" s="17" t="str">
        <f t="shared" si="33"/>
        <v>HP 200 ORG-48mm x 914m-6 rls/cs-H (136221)</v>
      </c>
    </row>
    <row r="637" spans="1:16" x14ac:dyDescent="0.25">
      <c r="A637" s="60" t="s">
        <v>303</v>
      </c>
      <c r="B637" s="60" t="s">
        <v>850</v>
      </c>
      <c r="C637" s="60" t="s">
        <v>304</v>
      </c>
      <c r="D637" s="60" t="s">
        <v>131</v>
      </c>
      <c r="E637" s="60" t="s">
        <v>1476</v>
      </c>
      <c r="F637" s="60" t="s">
        <v>1477</v>
      </c>
      <c r="G637" s="60" t="s">
        <v>84</v>
      </c>
      <c r="H637" s="60" t="s">
        <v>1403</v>
      </c>
      <c r="I637" s="60" t="s">
        <v>1404</v>
      </c>
      <c r="J637" s="61"/>
      <c r="K637" s="61">
        <v>5110.78</v>
      </c>
      <c r="L637" s="62"/>
      <c r="M637" s="63">
        <v>7555.68</v>
      </c>
      <c r="N637" s="17" t="str">
        <f t="shared" si="34"/>
        <v>16650 ASSOCIATED PKG/TX MESQUITE</v>
      </c>
      <c r="O637" s="17" t="str">
        <f t="shared" si="35"/>
        <v>78143 CTI FOODS/ SOUP</v>
      </c>
      <c r="P637" s="17" t="str">
        <f t="shared" si="33"/>
        <v>HP 240 WR STOP-48mm x 914m-6 rls/cs-H (183220)</v>
      </c>
    </row>
    <row r="638" spans="1:16" x14ac:dyDescent="0.25">
      <c r="A638" s="60" t="s">
        <v>303</v>
      </c>
      <c r="B638" s="60" t="s">
        <v>850</v>
      </c>
      <c r="C638" s="60" t="s">
        <v>304</v>
      </c>
      <c r="D638" s="60" t="s">
        <v>131</v>
      </c>
      <c r="E638" s="60" t="s">
        <v>308</v>
      </c>
      <c r="F638" s="60" t="s">
        <v>165</v>
      </c>
      <c r="G638" s="60" t="s">
        <v>18</v>
      </c>
      <c r="H638" s="60" t="s">
        <v>214</v>
      </c>
      <c r="I638" s="60" t="s">
        <v>158</v>
      </c>
      <c r="J638" s="61">
        <v>15903.98</v>
      </c>
      <c r="K638" s="61">
        <v>16901.919999999998</v>
      </c>
      <c r="L638" s="62">
        <v>60445.440000000002</v>
      </c>
      <c r="M638" s="63">
        <v>60445.440000000002</v>
      </c>
      <c r="N638" s="17" t="str">
        <f t="shared" si="34"/>
        <v>16650 ASSOCIATED PKG/TX MESQUITE</v>
      </c>
      <c r="O638" s="17" t="str">
        <f t="shared" si="35"/>
        <v>704147 BERRY GLOBAL FILMS</v>
      </c>
      <c r="P638" s="17" t="str">
        <f t="shared" si="33"/>
        <v>HP 200 CLR-72mm x 914m-4 rls/cs-S (208496)</v>
      </c>
    </row>
    <row r="639" spans="1:16" x14ac:dyDescent="0.25">
      <c r="A639" s="60" t="s">
        <v>303</v>
      </c>
      <c r="B639" s="60" t="s">
        <v>850</v>
      </c>
      <c r="C639" s="60" t="s">
        <v>304</v>
      </c>
      <c r="D639" s="60" t="s">
        <v>131</v>
      </c>
      <c r="E639" s="60" t="s">
        <v>1478</v>
      </c>
      <c r="F639" s="60" t="s">
        <v>1479</v>
      </c>
      <c r="G639" s="60" t="s">
        <v>18</v>
      </c>
      <c r="H639" s="60" t="s">
        <v>214</v>
      </c>
      <c r="I639" s="60" t="s">
        <v>158</v>
      </c>
      <c r="J639" s="61">
        <v>4181.76</v>
      </c>
      <c r="K639" s="61"/>
      <c r="L639" s="65">
        <v>15111.36</v>
      </c>
      <c r="M639" s="64"/>
      <c r="N639" s="17" t="str">
        <f t="shared" si="34"/>
        <v>16650 ASSOCIATED PKG/TX MESQUITE</v>
      </c>
      <c r="O639" s="17" t="str">
        <f t="shared" si="35"/>
        <v>706088 CARLISLE COATINGS</v>
      </c>
      <c r="P639" s="17" t="str">
        <f t="shared" si="33"/>
        <v>HP 200 CLR-72mm x 914m-4 rls/cs-S (208496)</v>
      </c>
    </row>
    <row r="640" spans="1:16" x14ac:dyDescent="0.25">
      <c r="A640" s="60" t="s">
        <v>303</v>
      </c>
      <c r="B640" s="60" t="s">
        <v>850</v>
      </c>
      <c r="C640" s="60" t="s">
        <v>304</v>
      </c>
      <c r="D640" s="60" t="s">
        <v>131</v>
      </c>
      <c r="E640" s="60" t="s">
        <v>309</v>
      </c>
      <c r="F640" s="60" t="s">
        <v>812</v>
      </c>
      <c r="G640" s="60" t="s">
        <v>509</v>
      </c>
      <c r="H640" s="60" t="s">
        <v>510</v>
      </c>
      <c r="I640" s="60" t="s">
        <v>511</v>
      </c>
      <c r="J640" s="61">
        <v>422.69</v>
      </c>
      <c r="K640" s="61">
        <v>460.46</v>
      </c>
      <c r="L640" s="65">
        <v>1091.232</v>
      </c>
      <c r="M640" s="64">
        <v>1091.232</v>
      </c>
      <c r="N640" s="17" t="str">
        <f t="shared" si="34"/>
        <v>16650 ASSOCIATED PKG/TX MESQUITE</v>
      </c>
      <c r="O640" s="17" t="str">
        <f t="shared" si="35"/>
        <v>707406 ASSOCIATED PACKAGING - OK OKC</v>
      </c>
      <c r="P640" s="17" t="str">
        <f t="shared" si="33"/>
        <v>AP 015 CLR-96mm x 66m-18 rls/cs-H (230970)</v>
      </c>
    </row>
    <row r="641" spans="1:16" x14ac:dyDescent="0.25">
      <c r="A641" s="60" t="s">
        <v>303</v>
      </c>
      <c r="B641" s="60" t="s">
        <v>850</v>
      </c>
      <c r="C641" s="60" t="s">
        <v>304</v>
      </c>
      <c r="D641" s="60" t="s">
        <v>131</v>
      </c>
      <c r="E641" s="60" t="s">
        <v>309</v>
      </c>
      <c r="F641" s="60" t="s">
        <v>812</v>
      </c>
      <c r="G641" s="60" t="s">
        <v>23</v>
      </c>
      <c r="H641" s="60" t="s">
        <v>696</v>
      </c>
      <c r="I641" s="60" t="s">
        <v>697</v>
      </c>
      <c r="J641" s="61"/>
      <c r="K641" s="61">
        <v>149.69</v>
      </c>
      <c r="L641" s="65"/>
      <c r="M641" s="64">
        <v>227.34</v>
      </c>
      <c r="N641" s="17" t="str">
        <f t="shared" si="34"/>
        <v>16650 ASSOCIATED PKG/TX MESQUITE</v>
      </c>
      <c r="O641" s="17" t="str">
        <f t="shared" si="35"/>
        <v>707406 ASSOCIATED PACKAGING - OK OKC</v>
      </c>
      <c r="P641" s="17" t="str">
        <f t="shared" si="33"/>
        <v>CP 105 NAT-72mm x 55m-16 rls/cs-H (113699)</v>
      </c>
    </row>
    <row r="642" spans="1:16" x14ac:dyDescent="0.25">
      <c r="A642" s="60" t="s">
        <v>303</v>
      </c>
      <c r="B642" s="60" t="s">
        <v>850</v>
      </c>
      <c r="C642" s="60" t="s">
        <v>304</v>
      </c>
      <c r="D642" s="60" t="s">
        <v>131</v>
      </c>
      <c r="E642" s="60" t="s">
        <v>309</v>
      </c>
      <c r="F642" s="60" t="s">
        <v>812</v>
      </c>
      <c r="G642" s="60" t="s">
        <v>23</v>
      </c>
      <c r="H642" s="60" t="s">
        <v>310</v>
      </c>
      <c r="I642" s="60" t="s">
        <v>134</v>
      </c>
      <c r="J642" s="61">
        <v>222.39</v>
      </c>
      <c r="K642" s="61">
        <v>387.76</v>
      </c>
      <c r="L642" s="65">
        <v>397.81</v>
      </c>
      <c r="M642" s="64">
        <v>454.64</v>
      </c>
      <c r="N642" s="17" t="str">
        <f t="shared" si="34"/>
        <v>16650 ASSOCIATED PKG/TX MESQUITE</v>
      </c>
      <c r="O642" s="17" t="str">
        <f t="shared" si="35"/>
        <v>707406 ASSOCIATED PACKAGING - OK OKC</v>
      </c>
      <c r="P642" s="17" t="str">
        <f t="shared" si="33"/>
        <v>CP 105 NAT-12mm x 55m-72 rls/cs-H (117481)</v>
      </c>
    </row>
    <row r="643" spans="1:16" x14ac:dyDescent="0.25">
      <c r="A643" s="60" t="s">
        <v>303</v>
      </c>
      <c r="B643" s="60" t="s">
        <v>850</v>
      </c>
      <c r="C643" s="60" t="s">
        <v>304</v>
      </c>
      <c r="D643" s="60" t="s">
        <v>131</v>
      </c>
      <c r="E643" s="60" t="s">
        <v>309</v>
      </c>
      <c r="F643" s="60" t="s">
        <v>812</v>
      </c>
      <c r="G643" s="60" t="s">
        <v>23</v>
      </c>
      <c r="H643" s="60" t="s">
        <v>477</v>
      </c>
      <c r="I643" s="60" t="s">
        <v>478</v>
      </c>
      <c r="J643" s="61">
        <v>249.48</v>
      </c>
      <c r="K643" s="61">
        <v>77.7</v>
      </c>
      <c r="L643" s="65">
        <v>511.47</v>
      </c>
      <c r="M643" s="64">
        <v>113.66</v>
      </c>
      <c r="N643" s="17" t="str">
        <f t="shared" si="34"/>
        <v>16650 ASSOCIATED PKG/TX MESQUITE</v>
      </c>
      <c r="O643" s="17" t="str">
        <f t="shared" si="35"/>
        <v>707406 ASSOCIATED PACKAGING - OK OKC</v>
      </c>
      <c r="P643" s="17" t="str">
        <f t="shared" si="33"/>
        <v>CP 105 NAT-24mm x 55m- 36 rls/cs-S (140431)</v>
      </c>
    </row>
    <row r="644" spans="1:16" x14ac:dyDescent="0.25">
      <c r="A644" s="60" t="s">
        <v>303</v>
      </c>
      <c r="B644" s="60" t="s">
        <v>850</v>
      </c>
      <c r="C644" s="60" t="s">
        <v>304</v>
      </c>
      <c r="D644" s="60" t="s">
        <v>131</v>
      </c>
      <c r="E644" s="60" t="s">
        <v>309</v>
      </c>
      <c r="F644" s="60" t="s">
        <v>812</v>
      </c>
      <c r="G644" s="60" t="s">
        <v>65</v>
      </c>
      <c r="H644" s="60" t="s">
        <v>1347</v>
      </c>
      <c r="I644" s="60" t="s">
        <v>1348</v>
      </c>
      <c r="J644" s="61"/>
      <c r="K644" s="61">
        <v>100.5</v>
      </c>
      <c r="L644" s="62"/>
      <c r="M644" s="63">
        <v>68.89</v>
      </c>
      <c r="N644" s="17" t="str">
        <f t="shared" si="34"/>
        <v>16650 ASSOCIATED PKG/TX MESQUITE</v>
      </c>
      <c r="O644" s="17" t="str">
        <f t="shared" si="35"/>
        <v>707406 ASSOCIATED PACKAGING - OK OKC</v>
      </c>
      <c r="P644" s="17" t="str">
        <f t="shared" ref="P644:P707" si="36">I644&amp;" ("&amp;H644&amp;")"</f>
        <v>FP 097 KFT-48mm x 50m-24 rls/cs-H (100055)</v>
      </c>
    </row>
    <row r="645" spans="1:16" x14ac:dyDescent="0.25">
      <c r="A645" s="60" t="s">
        <v>303</v>
      </c>
      <c r="B645" s="60" t="s">
        <v>850</v>
      </c>
      <c r="C645" s="60" t="s">
        <v>304</v>
      </c>
      <c r="D645" s="60" t="s">
        <v>131</v>
      </c>
      <c r="E645" s="60" t="s">
        <v>309</v>
      </c>
      <c r="F645" s="60" t="s">
        <v>812</v>
      </c>
      <c r="G645" s="60" t="s">
        <v>59</v>
      </c>
      <c r="H645" s="60" t="s">
        <v>337</v>
      </c>
      <c r="I645" s="60" t="s">
        <v>601</v>
      </c>
      <c r="J645" s="61">
        <v>255.18</v>
      </c>
      <c r="K645" s="61">
        <v>786.93</v>
      </c>
      <c r="L645" s="65">
        <v>227.32</v>
      </c>
      <c r="M645" s="64">
        <v>681.96</v>
      </c>
      <c r="N645" s="17" t="str">
        <f t="shared" si="34"/>
        <v>16650 ASSOCIATED PKG/TX MESQUITE</v>
      </c>
      <c r="O645" s="17" t="str">
        <f t="shared" si="35"/>
        <v>707406 ASSOCIATED PACKAGING - OK OKC</v>
      </c>
      <c r="P645" s="17" t="str">
        <f t="shared" si="36"/>
        <v>GS 490 CLR-24mm x 55m-36 rls/cs-H/A (101219)</v>
      </c>
    </row>
    <row r="646" spans="1:16" x14ac:dyDescent="0.25">
      <c r="A646" s="60" t="s">
        <v>303</v>
      </c>
      <c r="B646" s="60" t="s">
        <v>850</v>
      </c>
      <c r="C646" s="60" t="s">
        <v>304</v>
      </c>
      <c r="D646" s="60" t="s">
        <v>131</v>
      </c>
      <c r="E646" s="60" t="s">
        <v>309</v>
      </c>
      <c r="F646" s="60" t="s">
        <v>812</v>
      </c>
      <c r="G646" s="60" t="s">
        <v>59</v>
      </c>
      <c r="H646" s="60" t="s">
        <v>1083</v>
      </c>
      <c r="I646" s="60" t="s">
        <v>1084</v>
      </c>
      <c r="J646" s="61">
        <v>67</v>
      </c>
      <c r="K646" s="61"/>
      <c r="L646" s="65">
        <v>56.83</v>
      </c>
      <c r="M646" s="64"/>
      <c r="N646" s="17" t="str">
        <f t="shared" si="34"/>
        <v>16650 ASSOCIATED PKG/TX MESQUITE</v>
      </c>
      <c r="O646" s="17" t="str">
        <f t="shared" si="35"/>
        <v>707406 ASSOCIATED PACKAGING - OK OKC</v>
      </c>
      <c r="P646" s="17" t="str">
        <f t="shared" si="36"/>
        <v>GS 490 CLR-18mm x 55m-48 rls/cs-H/A (101229)</v>
      </c>
    </row>
    <row r="647" spans="1:16" x14ac:dyDescent="0.25">
      <c r="A647" s="60" t="s">
        <v>303</v>
      </c>
      <c r="B647" s="60" t="s">
        <v>850</v>
      </c>
      <c r="C647" s="60" t="s">
        <v>304</v>
      </c>
      <c r="D647" s="60" t="s">
        <v>131</v>
      </c>
      <c r="E647" s="60" t="s">
        <v>309</v>
      </c>
      <c r="F647" s="60" t="s">
        <v>812</v>
      </c>
      <c r="G647" s="60" t="s">
        <v>59</v>
      </c>
      <c r="H647" s="60" t="s">
        <v>223</v>
      </c>
      <c r="I647" s="60" t="s">
        <v>600</v>
      </c>
      <c r="J647" s="61">
        <v>3262.49</v>
      </c>
      <c r="K647" s="61">
        <v>1094.8599999999999</v>
      </c>
      <c r="L647" s="65">
        <v>2955.42</v>
      </c>
      <c r="M647" s="64">
        <v>909.36</v>
      </c>
      <c r="N647" s="17" t="str">
        <f t="shared" si="34"/>
        <v>16650 ASSOCIATED PKG/TX MESQUITE</v>
      </c>
      <c r="O647" s="17" t="str">
        <f t="shared" si="35"/>
        <v>707406 ASSOCIATED PACKAGING - OK OKC</v>
      </c>
      <c r="P647" s="17" t="str">
        <f t="shared" si="36"/>
        <v>GS 490 CLR-48mm x 55m-24 rls/cs-H/A (101230)</v>
      </c>
    </row>
    <row r="648" spans="1:16" x14ac:dyDescent="0.25">
      <c r="A648" s="60" t="s">
        <v>303</v>
      </c>
      <c r="B648" s="60" t="s">
        <v>850</v>
      </c>
      <c r="C648" s="60" t="s">
        <v>304</v>
      </c>
      <c r="D648" s="60" t="s">
        <v>131</v>
      </c>
      <c r="E648" s="60" t="s">
        <v>309</v>
      </c>
      <c r="F648" s="60" t="s">
        <v>812</v>
      </c>
      <c r="G648" s="60" t="s">
        <v>19</v>
      </c>
      <c r="H648" s="60" t="s">
        <v>233</v>
      </c>
      <c r="I648" s="60" t="s">
        <v>49</v>
      </c>
      <c r="J648" s="61">
        <v>3301.33</v>
      </c>
      <c r="K648" s="61">
        <v>3100.68</v>
      </c>
      <c r="L648" s="65">
        <v>13639.56</v>
      </c>
      <c r="M648" s="64">
        <v>12399.6</v>
      </c>
      <c r="N648" s="17" t="str">
        <f t="shared" si="34"/>
        <v>16650 ASSOCIATED PKG/TX MESQUITE</v>
      </c>
      <c r="O648" s="17" t="str">
        <f t="shared" si="35"/>
        <v>707406 ASSOCIATED PACKAGING - OK OKC</v>
      </c>
      <c r="P648" s="17" t="str">
        <f t="shared" si="36"/>
        <v>HP 100 CLR-48mm x 100m-36 rls/cs-S (207142)</v>
      </c>
    </row>
    <row r="649" spans="1:16" x14ac:dyDescent="0.25">
      <c r="A649" s="60" t="s">
        <v>303</v>
      </c>
      <c r="B649" s="60" t="s">
        <v>850</v>
      </c>
      <c r="C649" s="60" t="s">
        <v>304</v>
      </c>
      <c r="D649" s="60" t="s">
        <v>131</v>
      </c>
      <c r="E649" s="60" t="s">
        <v>309</v>
      </c>
      <c r="F649" s="60" t="s">
        <v>812</v>
      </c>
      <c r="G649" s="60" t="s">
        <v>19</v>
      </c>
      <c r="H649" s="60" t="s">
        <v>242</v>
      </c>
      <c r="I649" s="60" t="s">
        <v>102</v>
      </c>
      <c r="J649" s="61">
        <v>4137.8</v>
      </c>
      <c r="K649" s="61">
        <v>4394.41</v>
      </c>
      <c r="L649" s="65">
        <v>16739.46</v>
      </c>
      <c r="M649" s="64">
        <v>17566.099999999999</v>
      </c>
      <c r="N649" s="17" t="str">
        <f t="shared" si="34"/>
        <v>16650 ASSOCIATED PKG/TX MESQUITE</v>
      </c>
      <c r="O649" s="17" t="str">
        <f t="shared" si="35"/>
        <v>707406 ASSOCIATED PACKAGING - OK OKC</v>
      </c>
      <c r="P649" s="17" t="str">
        <f t="shared" si="36"/>
        <v>HP 100 CLR-72mm x 100m-24 rls/cs-S (207194)</v>
      </c>
    </row>
    <row r="650" spans="1:16" x14ac:dyDescent="0.25">
      <c r="A650" s="60" t="s">
        <v>303</v>
      </c>
      <c r="B650" s="60" t="s">
        <v>850</v>
      </c>
      <c r="C650" s="60" t="s">
        <v>304</v>
      </c>
      <c r="D650" s="60" t="s">
        <v>131</v>
      </c>
      <c r="E650" s="60" t="s">
        <v>309</v>
      </c>
      <c r="F650" s="60" t="s">
        <v>812</v>
      </c>
      <c r="G650" s="60" t="s">
        <v>18</v>
      </c>
      <c r="H650" s="60" t="s">
        <v>215</v>
      </c>
      <c r="I650" s="60" t="s">
        <v>50</v>
      </c>
      <c r="J650" s="61">
        <v>3772.85</v>
      </c>
      <c r="K650" s="61">
        <v>6701.03</v>
      </c>
      <c r="L650" s="65">
        <v>13846.22</v>
      </c>
      <c r="M650" s="64">
        <v>24592.54</v>
      </c>
      <c r="N650" s="17" t="str">
        <f t="shared" si="34"/>
        <v>16650 ASSOCIATED PKG/TX MESQUITE</v>
      </c>
      <c r="O650" s="17" t="str">
        <f t="shared" si="35"/>
        <v>707406 ASSOCIATED PACKAGING - OK OKC</v>
      </c>
      <c r="P650" s="17" t="str">
        <f t="shared" si="36"/>
        <v>HP 200 CLR-48mm x 100m-36 rls/cs-S (207149)</v>
      </c>
    </row>
    <row r="651" spans="1:16" x14ac:dyDescent="0.25">
      <c r="A651" s="60" t="s">
        <v>303</v>
      </c>
      <c r="B651" s="60" t="s">
        <v>850</v>
      </c>
      <c r="C651" s="60" t="s">
        <v>304</v>
      </c>
      <c r="D651" s="60" t="s">
        <v>131</v>
      </c>
      <c r="E651" s="60" t="s">
        <v>309</v>
      </c>
      <c r="F651" s="60" t="s">
        <v>812</v>
      </c>
      <c r="G651" s="60" t="s">
        <v>18</v>
      </c>
      <c r="H651" s="60" t="s">
        <v>219</v>
      </c>
      <c r="I651" s="60" t="s">
        <v>60</v>
      </c>
      <c r="J651" s="61">
        <v>17191.78</v>
      </c>
      <c r="K651" s="61">
        <v>6438.97</v>
      </c>
      <c r="L651" s="65">
        <v>67371.16</v>
      </c>
      <c r="M651" s="64">
        <v>24592.54</v>
      </c>
      <c r="N651" s="17" t="str">
        <f t="shared" si="34"/>
        <v>16650 ASSOCIATED PKG/TX MESQUITE</v>
      </c>
      <c r="O651" s="17" t="str">
        <f t="shared" si="35"/>
        <v>707406 ASSOCIATED PACKAGING - OK OKC</v>
      </c>
      <c r="P651" s="17" t="str">
        <f t="shared" si="36"/>
        <v>HP 200 CLR-72mm x 100m-24 rls/cs-S (207233)</v>
      </c>
    </row>
    <row r="652" spans="1:16" x14ac:dyDescent="0.25">
      <c r="A652" s="60" t="s">
        <v>303</v>
      </c>
      <c r="B652" s="60" t="s">
        <v>850</v>
      </c>
      <c r="C652" s="60" t="s">
        <v>304</v>
      </c>
      <c r="D652" s="60" t="s">
        <v>131</v>
      </c>
      <c r="E652" s="60" t="s">
        <v>309</v>
      </c>
      <c r="F652" s="60" t="s">
        <v>812</v>
      </c>
      <c r="G652" s="60" t="s">
        <v>18</v>
      </c>
      <c r="H652" s="60" t="s">
        <v>250</v>
      </c>
      <c r="I652" s="60" t="s">
        <v>146</v>
      </c>
      <c r="J652" s="61">
        <v>377.43</v>
      </c>
      <c r="K652" s="61">
        <v>1162.93</v>
      </c>
      <c r="L652" s="65">
        <v>1239.99</v>
      </c>
      <c r="M652" s="64">
        <v>3719.97</v>
      </c>
      <c r="N652" s="17" t="str">
        <f t="shared" si="34"/>
        <v>16650 ASSOCIATED PKG/TX MESQUITE</v>
      </c>
      <c r="O652" s="17" t="str">
        <f t="shared" si="35"/>
        <v>707406 ASSOCIATED PACKAGING - OK OKC</v>
      </c>
      <c r="P652" s="17" t="str">
        <f t="shared" si="36"/>
        <v>HP 200 CLR-48mm x 200m-36 rls/cs-H (208429)</v>
      </c>
    </row>
    <row r="653" spans="1:16" x14ac:dyDescent="0.25">
      <c r="A653" s="60" t="s">
        <v>303</v>
      </c>
      <c r="B653" s="60" t="s">
        <v>850</v>
      </c>
      <c r="C653" s="60" t="s">
        <v>304</v>
      </c>
      <c r="D653" s="60" t="s">
        <v>131</v>
      </c>
      <c r="E653" s="60" t="s">
        <v>309</v>
      </c>
      <c r="F653" s="60" t="s">
        <v>812</v>
      </c>
      <c r="G653" s="60" t="s">
        <v>18</v>
      </c>
      <c r="H653" s="60" t="s">
        <v>214</v>
      </c>
      <c r="I653" s="60" t="s">
        <v>158</v>
      </c>
      <c r="J653" s="61">
        <v>1045.44</v>
      </c>
      <c r="K653" s="61"/>
      <c r="L653" s="65">
        <v>3777.84</v>
      </c>
      <c r="M653" s="64"/>
      <c r="N653" s="17" t="str">
        <f t="shared" si="34"/>
        <v>16650 ASSOCIATED PKG/TX MESQUITE</v>
      </c>
      <c r="O653" s="17" t="str">
        <f t="shared" si="35"/>
        <v>707406 ASSOCIATED PACKAGING - OK OKC</v>
      </c>
      <c r="P653" s="17" t="str">
        <f t="shared" si="36"/>
        <v>HP 200 CLR-72mm x 914m-4 rls/cs-S (208496)</v>
      </c>
    </row>
    <row r="654" spans="1:16" x14ac:dyDescent="0.25">
      <c r="A654" s="60" t="s">
        <v>303</v>
      </c>
      <c r="B654" s="60" t="s">
        <v>850</v>
      </c>
      <c r="C654" s="60" t="s">
        <v>304</v>
      </c>
      <c r="D654" s="60" t="s">
        <v>131</v>
      </c>
      <c r="E654" s="60" t="s">
        <v>309</v>
      </c>
      <c r="F654" s="60" t="s">
        <v>812</v>
      </c>
      <c r="G654" s="60" t="s">
        <v>18</v>
      </c>
      <c r="H654" s="60" t="s">
        <v>213</v>
      </c>
      <c r="I654" s="60" t="s">
        <v>157</v>
      </c>
      <c r="J654" s="61">
        <v>6141.96</v>
      </c>
      <c r="K654" s="61">
        <v>4254.24</v>
      </c>
      <c r="L654" s="65">
        <v>22194.81</v>
      </c>
      <c r="M654" s="64">
        <v>15111.36</v>
      </c>
      <c r="N654" s="17" t="str">
        <f t="shared" si="34"/>
        <v>16650 ASSOCIATED PKG/TX MESQUITE</v>
      </c>
      <c r="O654" s="17" t="str">
        <f t="shared" si="35"/>
        <v>707406 ASSOCIATED PACKAGING - OK OKC</v>
      </c>
      <c r="P654" s="17" t="str">
        <f t="shared" si="36"/>
        <v>HP 200 CLR-48mm x 1371m-6 rls/cs-S (208511)</v>
      </c>
    </row>
    <row r="655" spans="1:16" x14ac:dyDescent="0.25">
      <c r="A655" s="60" t="s">
        <v>303</v>
      </c>
      <c r="B655" s="60" t="s">
        <v>850</v>
      </c>
      <c r="C655" s="60" t="s">
        <v>304</v>
      </c>
      <c r="D655" s="60" t="s">
        <v>131</v>
      </c>
      <c r="E655" s="60" t="s">
        <v>309</v>
      </c>
      <c r="F655" s="60" t="s">
        <v>812</v>
      </c>
      <c r="G655" s="60" t="s">
        <v>62</v>
      </c>
      <c r="H655" s="60" t="s">
        <v>246</v>
      </c>
      <c r="I655" s="60" t="s">
        <v>171</v>
      </c>
      <c r="J655" s="61">
        <v>3690.24</v>
      </c>
      <c r="K655" s="61">
        <v>2302.83</v>
      </c>
      <c r="L655" s="65">
        <v>7240.86</v>
      </c>
      <c r="M655" s="64">
        <v>4407.4799999999996</v>
      </c>
      <c r="N655" s="17" t="str">
        <f t="shared" si="34"/>
        <v>16650 ASSOCIATED PKG/TX MESQUITE</v>
      </c>
      <c r="O655" s="17" t="str">
        <f t="shared" si="35"/>
        <v>707406 ASSOCIATED PACKAGING - OK OKC</v>
      </c>
      <c r="P655" s="17" t="str">
        <f t="shared" si="36"/>
        <v>HP 300 CLR-48mm x 914m-6 rls/cs-H (208532)</v>
      </c>
    </row>
    <row r="656" spans="1:16" x14ac:dyDescent="0.25">
      <c r="A656" s="60" t="s">
        <v>303</v>
      </c>
      <c r="B656" s="60" t="s">
        <v>850</v>
      </c>
      <c r="C656" s="60" t="s">
        <v>304</v>
      </c>
      <c r="D656" s="60" t="s">
        <v>131</v>
      </c>
      <c r="E656" s="60" t="s">
        <v>309</v>
      </c>
      <c r="F656" s="60" t="s">
        <v>812</v>
      </c>
      <c r="G656" s="60" t="s">
        <v>61</v>
      </c>
      <c r="H656" s="60" t="s">
        <v>1733</v>
      </c>
      <c r="I656" s="60" t="s">
        <v>1734</v>
      </c>
      <c r="J656" s="61"/>
      <c r="K656" s="61">
        <v>2741.43</v>
      </c>
      <c r="L656" s="62"/>
      <c r="M656" s="64">
        <v>2480.04</v>
      </c>
      <c r="N656" s="17" t="str">
        <f t="shared" si="34"/>
        <v>16650 ASSOCIATED PKG/TX MESQUITE</v>
      </c>
      <c r="O656" s="17" t="str">
        <f t="shared" si="35"/>
        <v>707406 ASSOCIATED PACKAGING - OK OKC</v>
      </c>
      <c r="P656" s="17" t="str">
        <f t="shared" si="36"/>
        <v>HP 500 CLR-48mm x 100m-36 rls/cs-H (200667)</v>
      </c>
    </row>
    <row r="657" spans="1:16" x14ac:dyDescent="0.25">
      <c r="A657" s="60" t="s">
        <v>303</v>
      </c>
      <c r="B657" s="60" t="s">
        <v>850</v>
      </c>
      <c r="C657" s="60" t="s">
        <v>304</v>
      </c>
      <c r="D657" s="60" t="s">
        <v>131</v>
      </c>
      <c r="E657" s="60" t="s">
        <v>512</v>
      </c>
      <c r="F657" s="60" t="s">
        <v>813</v>
      </c>
      <c r="G657" s="60" t="s">
        <v>669</v>
      </c>
      <c r="H657" s="60" t="s">
        <v>670</v>
      </c>
      <c r="I657" s="60" t="s">
        <v>671</v>
      </c>
      <c r="J657" s="61">
        <v>210.04</v>
      </c>
      <c r="K657" s="61"/>
      <c r="L657" s="62">
        <v>170.5</v>
      </c>
      <c r="M657" s="63"/>
      <c r="N657" s="17" t="str">
        <f t="shared" si="34"/>
        <v>16650 ASSOCIATED PKG/TX MESQUITE</v>
      </c>
      <c r="O657" s="17" t="str">
        <f t="shared" si="35"/>
        <v>708669 ASSOCIATED PACKAGING - TX MESQUITE</v>
      </c>
      <c r="P657" s="17" t="str">
        <f t="shared" si="36"/>
        <v>PP 808 RED- 9MM X 165M- 96 RLS/CS-H/A (202420)</v>
      </c>
    </row>
    <row r="658" spans="1:16" x14ac:dyDescent="0.25">
      <c r="A658" s="60" t="s">
        <v>303</v>
      </c>
      <c r="B658" s="60" t="s">
        <v>850</v>
      </c>
      <c r="C658" s="60" t="s">
        <v>304</v>
      </c>
      <c r="D658" s="60" t="s">
        <v>131</v>
      </c>
      <c r="E658" s="60" t="s">
        <v>1143</v>
      </c>
      <c r="F658" s="60" t="s">
        <v>1144</v>
      </c>
      <c r="G658" s="60" t="s">
        <v>18</v>
      </c>
      <c r="H658" s="60" t="s">
        <v>215</v>
      </c>
      <c r="I658" s="60" t="s">
        <v>50</v>
      </c>
      <c r="J658" s="61">
        <v>3057.91</v>
      </c>
      <c r="K658" s="61">
        <v>3207.6</v>
      </c>
      <c r="L658" s="62">
        <v>12399.6</v>
      </c>
      <c r="M658" s="64">
        <v>12399.6</v>
      </c>
      <c r="N658" s="17" t="str">
        <f t="shared" si="34"/>
        <v>16650 ASSOCIATED PKG/TX MESQUITE</v>
      </c>
      <c r="O658" s="17" t="str">
        <f t="shared" si="35"/>
        <v>711257 REGIONAL FOOD BANK</v>
      </c>
      <c r="P658" s="17" t="str">
        <f t="shared" si="36"/>
        <v>HP 200 CLR-48mm x 100m-36 rls/cs-S (207149)</v>
      </c>
    </row>
    <row r="659" spans="1:16" x14ac:dyDescent="0.25">
      <c r="A659" s="60" t="s">
        <v>303</v>
      </c>
      <c r="B659" s="60" t="s">
        <v>850</v>
      </c>
      <c r="C659" s="60" t="s">
        <v>304</v>
      </c>
      <c r="D659" s="60" t="s">
        <v>131</v>
      </c>
      <c r="E659" s="60" t="s">
        <v>1735</v>
      </c>
      <c r="F659" s="60" t="s">
        <v>1736</v>
      </c>
      <c r="G659" s="60" t="s">
        <v>23</v>
      </c>
      <c r="H659" s="60" t="s">
        <v>696</v>
      </c>
      <c r="I659" s="60" t="s">
        <v>697</v>
      </c>
      <c r="J659" s="61">
        <v>139.71</v>
      </c>
      <c r="K659" s="61"/>
      <c r="L659" s="62">
        <v>227.34</v>
      </c>
      <c r="M659" s="63"/>
      <c r="N659" s="17" t="str">
        <f t="shared" si="34"/>
        <v>16650 ASSOCIATED PKG/TX MESQUITE</v>
      </c>
      <c r="O659" s="17" t="str">
        <f t="shared" si="35"/>
        <v>712872 CENTURY  FITNESS</v>
      </c>
      <c r="P659" s="17" t="str">
        <f t="shared" si="36"/>
        <v>CP 105 NAT-72mm x 55m-16 rls/cs-H (113699)</v>
      </c>
    </row>
    <row r="660" spans="1:16" x14ac:dyDescent="0.25">
      <c r="A660" s="60" t="s">
        <v>303</v>
      </c>
      <c r="B660" s="60" t="s">
        <v>850</v>
      </c>
      <c r="C660" s="60" t="s">
        <v>304</v>
      </c>
      <c r="D660" s="60" t="s">
        <v>131</v>
      </c>
      <c r="E660" s="60" t="s">
        <v>1737</v>
      </c>
      <c r="F660" s="60" t="s">
        <v>1738</v>
      </c>
      <c r="G660" s="60" t="s">
        <v>63</v>
      </c>
      <c r="H660" s="60" t="s">
        <v>740</v>
      </c>
      <c r="I660" s="60" t="s">
        <v>741</v>
      </c>
      <c r="J660" s="61">
        <v>5136.91</v>
      </c>
      <c r="K660" s="61"/>
      <c r="L660" s="65">
        <v>18889.439999999999</v>
      </c>
      <c r="M660" s="64"/>
      <c r="N660" s="17" t="str">
        <f t="shared" si="34"/>
        <v>16650 ASSOCIATED PKG/TX MESQUITE</v>
      </c>
      <c r="O660" s="17" t="str">
        <f t="shared" si="35"/>
        <v>714327 ASSOCIATED PKG FOR STANDARD MEAT</v>
      </c>
      <c r="P660" s="17" t="str">
        <f t="shared" si="36"/>
        <v>AP 180 CLR-48mm x 1371m-6 rls/cs-H (231047)</v>
      </c>
    </row>
    <row r="661" spans="1:16" x14ac:dyDescent="0.25">
      <c r="A661" s="60" t="s">
        <v>303</v>
      </c>
      <c r="B661" s="60" t="s">
        <v>850</v>
      </c>
      <c r="C661" s="60" t="s">
        <v>304</v>
      </c>
      <c r="D661" s="60" t="s">
        <v>131</v>
      </c>
      <c r="E661" s="60" t="s">
        <v>621</v>
      </c>
      <c r="F661" s="60" t="s">
        <v>622</v>
      </c>
      <c r="G661" s="60" t="s">
        <v>18</v>
      </c>
      <c r="H661" s="60" t="s">
        <v>214</v>
      </c>
      <c r="I661" s="60" t="s">
        <v>158</v>
      </c>
      <c r="J661" s="61">
        <v>5073.24</v>
      </c>
      <c r="K661" s="61"/>
      <c r="L661" s="62">
        <v>15111.36</v>
      </c>
      <c r="M661" s="63"/>
      <c r="N661" s="17" t="str">
        <f t="shared" si="34"/>
        <v>16650 ASSOCIATED PKG/TX MESQUITE</v>
      </c>
      <c r="O661" s="17" t="str">
        <f t="shared" si="35"/>
        <v>719128 DANCO</v>
      </c>
      <c r="P661" s="17" t="str">
        <f t="shared" si="36"/>
        <v>HP 200 CLR-72mm x 914m-4 rls/cs-S (208496)</v>
      </c>
    </row>
    <row r="662" spans="1:16" x14ac:dyDescent="0.25">
      <c r="A662" s="60" t="s">
        <v>303</v>
      </c>
      <c r="B662" s="60" t="s">
        <v>850</v>
      </c>
      <c r="C662" s="60" t="s">
        <v>304</v>
      </c>
      <c r="D662" s="60" t="s">
        <v>131</v>
      </c>
      <c r="E662" s="60" t="s">
        <v>1145</v>
      </c>
      <c r="F662" s="60" t="s">
        <v>1146</v>
      </c>
      <c r="G662" s="60" t="s">
        <v>63</v>
      </c>
      <c r="H662" s="60" t="s">
        <v>224</v>
      </c>
      <c r="I662" s="60" t="s">
        <v>64</v>
      </c>
      <c r="J662" s="61"/>
      <c r="K662" s="61">
        <v>5132.16</v>
      </c>
      <c r="L662" s="62"/>
      <c r="M662" s="63">
        <v>24796.799999999999</v>
      </c>
      <c r="N662" s="17" t="str">
        <f t="shared" si="34"/>
        <v>16650 ASSOCIATED PKG/TX MESQUITE</v>
      </c>
      <c r="O662" s="17" t="str">
        <f t="shared" si="35"/>
        <v>721955 MARCO INDUSTRIES</v>
      </c>
      <c r="P662" s="17" t="str">
        <f t="shared" si="36"/>
        <v>AP 180 CLR-48mm x 100m-36 rls/cs-H/A (231044)</v>
      </c>
    </row>
    <row r="663" spans="1:16" x14ac:dyDescent="0.25">
      <c r="A663" s="60" t="s">
        <v>303</v>
      </c>
      <c r="B663" s="60" t="s">
        <v>850</v>
      </c>
      <c r="C663" s="60" t="s">
        <v>304</v>
      </c>
      <c r="D663" s="60" t="s">
        <v>131</v>
      </c>
      <c r="E663" s="60" t="s">
        <v>1145</v>
      </c>
      <c r="F663" s="60" t="s">
        <v>1146</v>
      </c>
      <c r="G663" s="60" t="s">
        <v>63</v>
      </c>
      <c r="H663" s="60" t="s">
        <v>269</v>
      </c>
      <c r="I663" s="60" t="s">
        <v>74</v>
      </c>
      <c r="J663" s="61">
        <v>9451.73</v>
      </c>
      <c r="K663" s="61"/>
      <c r="L663" s="62">
        <v>37200.383999999998</v>
      </c>
      <c r="M663" s="64"/>
      <c r="N663" s="17" t="str">
        <f t="shared" si="34"/>
        <v>16650 ASSOCIATED PKG/TX MESQUITE</v>
      </c>
      <c r="O663" s="17" t="str">
        <f t="shared" si="35"/>
        <v>721955 MARCO INDUSTRIES</v>
      </c>
      <c r="P663" s="17" t="str">
        <f t="shared" si="36"/>
        <v>AP 180 CLR-72mm x 100m-24 rls/cs-H/A (231045)</v>
      </c>
    </row>
    <row r="664" spans="1:16" x14ac:dyDescent="0.25">
      <c r="A664" s="60" t="s">
        <v>303</v>
      </c>
      <c r="B664" s="60" t="s">
        <v>850</v>
      </c>
      <c r="C664" s="60" t="s">
        <v>304</v>
      </c>
      <c r="D664" s="60" t="s">
        <v>131</v>
      </c>
      <c r="E664" s="60" t="s">
        <v>443</v>
      </c>
      <c r="F664" s="60" t="s">
        <v>133</v>
      </c>
      <c r="G664" s="60" t="s">
        <v>19</v>
      </c>
      <c r="H664" s="60" t="s">
        <v>233</v>
      </c>
      <c r="I664" s="60" t="s">
        <v>49</v>
      </c>
      <c r="J664" s="61">
        <v>96.94</v>
      </c>
      <c r="K664" s="61"/>
      <c r="L664" s="65">
        <v>413.32</v>
      </c>
      <c r="M664" s="64"/>
      <c r="N664" s="17" t="str">
        <f t="shared" si="34"/>
        <v>16650 ASSOCIATED PKG/TX MESQUITE</v>
      </c>
      <c r="O664" s="17" t="str">
        <f t="shared" si="35"/>
        <v>724897 DAISY BRAND</v>
      </c>
      <c r="P664" s="17" t="str">
        <f t="shared" si="36"/>
        <v>HP 100 CLR-48mm x 100m-36 rls/cs-S (207142)</v>
      </c>
    </row>
    <row r="665" spans="1:16" x14ac:dyDescent="0.25">
      <c r="A665" s="60" t="s">
        <v>303</v>
      </c>
      <c r="B665" s="60" t="s">
        <v>850</v>
      </c>
      <c r="C665" s="60" t="s">
        <v>304</v>
      </c>
      <c r="D665" s="60" t="s">
        <v>131</v>
      </c>
      <c r="E665" s="60" t="s">
        <v>443</v>
      </c>
      <c r="F665" s="60" t="s">
        <v>133</v>
      </c>
      <c r="G665" s="60" t="s">
        <v>19</v>
      </c>
      <c r="H665" s="60" t="s">
        <v>243</v>
      </c>
      <c r="I665" s="60" t="s">
        <v>87</v>
      </c>
      <c r="J665" s="61">
        <v>3034.74</v>
      </c>
      <c r="K665" s="61"/>
      <c r="L665" s="62">
        <v>12277.98</v>
      </c>
      <c r="M665" s="64"/>
      <c r="N665" s="17" t="str">
        <f t="shared" si="34"/>
        <v>16650 ASSOCIATED PKG/TX MESQUITE</v>
      </c>
      <c r="O665" s="17" t="str">
        <f t="shared" si="35"/>
        <v>724897 DAISY BRAND</v>
      </c>
      <c r="P665" s="17" t="str">
        <f t="shared" si="36"/>
        <v>HP 100 CLR-48mm x 914m-6 rls/cs-S (208453)</v>
      </c>
    </row>
    <row r="666" spans="1:16" x14ac:dyDescent="0.25">
      <c r="A666" s="60" t="s">
        <v>303</v>
      </c>
      <c r="B666" s="60" t="s">
        <v>850</v>
      </c>
      <c r="C666" s="60" t="s">
        <v>304</v>
      </c>
      <c r="D666" s="60" t="s">
        <v>131</v>
      </c>
      <c r="E666" s="60" t="s">
        <v>1147</v>
      </c>
      <c r="F666" s="60" t="s">
        <v>1148</v>
      </c>
      <c r="G666" s="60" t="s">
        <v>18</v>
      </c>
      <c r="H666" s="60" t="s">
        <v>215</v>
      </c>
      <c r="I666" s="60" t="s">
        <v>50</v>
      </c>
      <c r="J666" s="61">
        <v>3271.75</v>
      </c>
      <c r="K666" s="61">
        <v>3186.22</v>
      </c>
      <c r="L666" s="62">
        <v>14052.88</v>
      </c>
      <c r="M666" s="63">
        <v>12399.6</v>
      </c>
      <c r="N666" s="17" t="str">
        <f t="shared" si="34"/>
        <v>16650 ASSOCIATED PKG/TX MESQUITE</v>
      </c>
      <c r="O666" s="17" t="str">
        <f t="shared" si="35"/>
        <v>728225 REDBARN PET PRODUCTS</v>
      </c>
      <c r="P666" s="17" t="str">
        <f t="shared" si="36"/>
        <v>HP 200 CLR-48mm x 100m-36 rls/cs-S (207149)</v>
      </c>
    </row>
    <row r="667" spans="1:16" x14ac:dyDescent="0.25">
      <c r="A667" s="60" t="s">
        <v>303</v>
      </c>
      <c r="B667" s="60" t="s">
        <v>850</v>
      </c>
      <c r="C667" s="60" t="s">
        <v>304</v>
      </c>
      <c r="D667" s="60" t="s">
        <v>131</v>
      </c>
      <c r="E667" s="60" t="s">
        <v>1147</v>
      </c>
      <c r="F667" s="60" t="s">
        <v>1148</v>
      </c>
      <c r="G667" s="60" t="s">
        <v>18</v>
      </c>
      <c r="H667" s="60" t="s">
        <v>219</v>
      </c>
      <c r="I667" s="60" t="s">
        <v>60</v>
      </c>
      <c r="J667" s="61">
        <v>3279.83</v>
      </c>
      <c r="K667" s="61">
        <v>3193.34</v>
      </c>
      <c r="L667" s="62">
        <v>14052.88</v>
      </c>
      <c r="M667" s="64">
        <v>12399.6</v>
      </c>
      <c r="N667" s="17" t="str">
        <f t="shared" si="34"/>
        <v>16650 ASSOCIATED PKG/TX MESQUITE</v>
      </c>
      <c r="O667" s="17" t="str">
        <f t="shared" si="35"/>
        <v>728225 REDBARN PET PRODUCTS</v>
      </c>
      <c r="P667" s="17" t="str">
        <f t="shared" si="36"/>
        <v>HP 200 CLR-72mm x 100m-24 rls/cs-S (207233)</v>
      </c>
    </row>
    <row r="668" spans="1:16" x14ac:dyDescent="0.25">
      <c r="A668" s="60" t="s">
        <v>303</v>
      </c>
      <c r="B668" s="60" t="s">
        <v>850</v>
      </c>
      <c r="C668" s="60" t="s">
        <v>304</v>
      </c>
      <c r="D668" s="60" t="s">
        <v>131</v>
      </c>
      <c r="E668" s="60" t="s">
        <v>1147</v>
      </c>
      <c r="F668" s="60" t="s">
        <v>1148</v>
      </c>
      <c r="G668" s="60" t="s">
        <v>18</v>
      </c>
      <c r="H668" s="60" t="s">
        <v>212</v>
      </c>
      <c r="I668" s="60" t="s">
        <v>86</v>
      </c>
      <c r="J668" s="61">
        <v>4470.2</v>
      </c>
      <c r="K668" s="61"/>
      <c r="L668" s="62">
        <v>17629.919999999998</v>
      </c>
      <c r="M668" s="64"/>
      <c r="N668" s="17" t="str">
        <f t="shared" si="34"/>
        <v>16650 ASSOCIATED PKG/TX MESQUITE</v>
      </c>
      <c r="O668" s="17" t="str">
        <f t="shared" si="35"/>
        <v>728225 REDBARN PET PRODUCTS</v>
      </c>
      <c r="P668" s="17" t="str">
        <f t="shared" si="36"/>
        <v>HP 200 CLR-48mm x 914m-6 rls/cs-S (208492)</v>
      </c>
    </row>
    <row r="669" spans="1:16" x14ac:dyDescent="0.25">
      <c r="A669" s="60" t="s">
        <v>303</v>
      </c>
      <c r="B669" s="60" t="s">
        <v>850</v>
      </c>
      <c r="C669" s="60" t="s">
        <v>304</v>
      </c>
      <c r="D669" s="60" t="s">
        <v>131</v>
      </c>
      <c r="E669" s="60" t="s">
        <v>1147</v>
      </c>
      <c r="F669" s="60" t="s">
        <v>1148</v>
      </c>
      <c r="G669" s="60" t="s">
        <v>18</v>
      </c>
      <c r="H669" s="60" t="s">
        <v>214</v>
      </c>
      <c r="I669" s="60" t="s">
        <v>158</v>
      </c>
      <c r="J669" s="61">
        <v>3624.83</v>
      </c>
      <c r="K669" s="61"/>
      <c r="L669" s="62">
        <v>15111.36</v>
      </c>
      <c r="M669" s="64"/>
      <c r="N669" s="17" t="str">
        <f t="shared" si="34"/>
        <v>16650 ASSOCIATED PKG/TX MESQUITE</v>
      </c>
      <c r="O669" s="17" t="str">
        <f t="shared" si="35"/>
        <v>728225 REDBARN PET PRODUCTS</v>
      </c>
      <c r="P669" s="17" t="str">
        <f t="shared" si="36"/>
        <v>HP 200 CLR-72mm x 914m-4 rls/cs-S (208496)</v>
      </c>
    </row>
    <row r="670" spans="1:16" x14ac:dyDescent="0.25">
      <c r="A670" s="60" t="s">
        <v>303</v>
      </c>
      <c r="B670" s="60" t="s">
        <v>850</v>
      </c>
      <c r="C670" s="60" t="s">
        <v>304</v>
      </c>
      <c r="D670" s="60" t="s">
        <v>131</v>
      </c>
      <c r="E670" s="60" t="s">
        <v>1480</v>
      </c>
      <c r="F670" s="60" t="s">
        <v>701</v>
      </c>
      <c r="G670" s="60" t="s">
        <v>79</v>
      </c>
      <c r="H670" s="60" t="s">
        <v>247</v>
      </c>
      <c r="I670" s="60" t="s">
        <v>80</v>
      </c>
      <c r="J670" s="61"/>
      <c r="K670" s="61">
        <v>4095.04</v>
      </c>
      <c r="L670" s="65"/>
      <c r="M670" s="64">
        <v>11333.52</v>
      </c>
      <c r="N670" s="17" t="str">
        <f t="shared" si="34"/>
        <v>16650 ASSOCIATED PKG/TX MESQUITE</v>
      </c>
      <c r="O670" s="17" t="str">
        <f t="shared" si="35"/>
        <v>729126 CARGILL MEAT</v>
      </c>
      <c r="P670" s="17" t="str">
        <f t="shared" si="36"/>
        <v>HP 232 CLR-48mm x 914m-6 rls/cs-H/A (100962)</v>
      </c>
    </row>
    <row r="671" spans="1:16" x14ac:dyDescent="0.25">
      <c r="A671" s="60" t="s">
        <v>303</v>
      </c>
      <c r="B671" s="60" t="s">
        <v>850</v>
      </c>
      <c r="C671" s="60" t="s">
        <v>304</v>
      </c>
      <c r="D671" s="60" t="s">
        <v>131</v>
      </c>
      <c r="E671" s="60" t="s">
        <v>1481</v>
      </c>
      <c r="F671" s="60" t="s">
        <v>1482</v>
      </c>
      <c r="G671" s="60" t="s">
        <v>19</v>
      </c>
      <c r="H671" s="60" t="s">
        <v>222</v>
      </c>
      <c r="I671" s="60" t="s">
        <v>104</v>
      </c>
      <c r="J671" s="61"/>
      <c r="K671" s="61">
        <v>18347.48</v>
      </c>
      <c r="L671" s="62"/>
      <c r="M671" s="64">
        <v>82149.983999999997</v>
      </c>
      <c r="N671" s="17" t="str">
        <f t="shared" si="34"/>
        <v>16650 ASSOCIATED PKG/TX MESQUITE</v>
      </c>
      <c r="O671" s="17" t="str">
        <f t="shared" si="35"/>
        <v>732217 ASSOCIATED PKG FOR CARGILL MEAT</v>
      </c>
      <c r="P671" s="17" t="str">
        <f t="shared" si="36"/>
        <v>HP 100 CLR-53mm x 1500m-6 rls/cs-S (195553)</v>
      </c>
    </row>
    <row r="672" spans="1:16" x14ac:dyDescent="0.25">
      <c r="A672" s="60" t="s">
        <v>303</v>
      </c>
      <c r="B672" s="60" t="s">
        <v>850</v>
      </c>
      <c r="C672" s="60" t="s">
        <v>304</v>
      </c>
      <c r="D672" s="60" t="s">
        <v>131</v>
      </c>
      <c r="E672" s="60" t="s">
        <v>1481</v>
      </c>
      <c r="F672" s="60" t="s">
        <v>1482</v>
      </c>
      <c r="G672" s="60" t="s">
        <v>19</v>
      </c>
      <c r="H672" s="60" t="s">
        <v>233</v>
      </c>
      <c r="I672" s="60" t="s">
        <v>49</v>
      </c>
      <c r="J672" s="61">
        <v>5901.97</v>
      </c>
      <c r="K672" s="61">
        <v>5901.98</v>
      </c>
      <c r="L672" s="65">
        <v>24799.200000000001</v>
      </c>
      <c r="M672" s="64">
        <v>24799.200000000001</v>
      </c>
      <c r="N672" s="17" t="str">
        <f t="shared" si="34"/>
        <v>16650 ASSOCIATED PKG/TX MESQUITE</v>
      </c>
      <c r="O672" s="17" t="str">
        <f t="shared" si="35"/>
        <v>732217 ASSOCIATED PKG FOR CARGILL MEAT</v>
      </c>
      <c r="P672" s="17" t="str">
        <f t="shared" si="36"/>
        <v>HP 100 CLR-48mm x 100m-36 rls/cs-S (207142)</v>
      </c>
    </row>
    <row r="673" spans="1:16" x14ac:dyDescent="0.25">
      <c r="A673" s="60" t="s">
        <v>303</v>
      </c>
      <c r="B673" s="60" t="s">
        <v>850</v>
      </c>
      <c r="C673" s="60" t="s">
        <v>304</v>
      </c>
      <c r="D673" s="60" t="s">
        <v>131</v>
      </c>
      <c r="E673" s="60" t="s">
        <v>1481</v>
      </c>
      <c r="F673" s="60" t="s">
        <v>1482</v>
      </c>
      <c r="G673" s="60" t="s">
        <v>18</v>
      </c>
      <c r="H673" s="60" t="s">
        <v>215</v>
      </c>
      <c r="I673" s="60" t="s">
        <v>50</v>
      </c>
      <c r="J673" s="61">
        <v>337.87</v>
      </c>
      <c r="K673" s="61"/>
      <c r="L673" s="62">
        <v>1239.96</v>
      </c>
      <c r="M673" s="64"/>
      <c r="N673" s="17" t="str">
        <f t="shared" si="34"/>
        <v>16650 ASSOCIATED PKG/TX MESQUITE</v>
      </c>
      <c r="O673" s="17" t="str">
        <f t="shared" si="35"/>
        <v>732217 ASSOCIATED PKG FOR CARGILL MEAT</v>
      </c>
      <c r="P673" s="17" t="str">
        <f t="shared" si="36"/>
        <v>HP 200 CLR-48mm x 100m-36 rls/cs-S (207149)</v>
      </c>
    </row>
    <row r="674" spans="1:16" x14ac:dyDescent="0.25">
      <c r="A674" s="60" t="s">
        <v>303</v>
      </c>
      <c r="B674" s="60" t="s">
        <v>850</v>
      </c>
      <c r="C674" s="60" t="s">
        <v>304</v>
      </c>
      <c r="D674" s="60" t="s">
        <v>131</v>
      </c>
      <c r="E674" s="60" t="s">
        <v>1481</v>
      </c>
      <c r="F674" s="60" t="s">
        <v>1482</v>
      </c>
      <c r="G674" s="60" t="s">
        <v>18</v>
      </c>
      <c r="H674" s="60" t="s">
        <v>212</v>
      </c>
      <c r="I674" s="60" t="s">
        <v>86</v>
      </c>
      <c r="J674" s="61">
        <v>2091.36</v>
      </c>
      <c r="K674" s="61"/>
      <c r="L674" s="65">
        <v>7555.68</v>
      </c>
      <c r="M674" s="64"/>
      <c r="N674" s="17" t="str">
        <f t="shared" si="34"/>
        <v>16650 ASSOCIATED PKG/TX MESQUITE</v>
      </c>
      <c r="O674" s="17" t="str">
        <f t="shared" si="35"/>
        <v>732217 ASSOCIATED PKG FOR CARGILL MEAT</v>
      </c>
      <c r="P674" s="17" t="str">
        <f t="shared" si="36"/>
        <v>HP 200 CLR-48mm x 914m-6 rls/cs-S (208492)</v>
      </c>
    </row>
    <row r="675" spans="1:16" x14ac:dyDescent="0.25">
      <c r="A675" s="60" t="s">
        <v>303</v>
      </c>
      <c r="B675" s="60" t="s">
        <v>850</v>
      </c>
      <c r="C675" s="60" t="s">
        <v>304</v>
      </c>
      <c r="D675" s="60" t="s">
        <v>131</v>
      </c>
      <c r="E675" s="60" t="s">
        <v>1481</v>
      </c>
      <c r="F675" s="60" t="s">
        <v>1482</v>
      </c>
      <c r="G675" s="60" t="s">
        <v>79</v>
      </c>
      <c r="H675" s="60" t="s">
        <v>220</v>
      </c>
      <c r="I675" s="60" t="s">
        <v>90</v>
      </c>
      <c r="J675" s="61"/>
      <c r="K675" s="61">
        <v>5472.4</v>
      </c>
      <c r="L675" s="65"/>
      <c r="M675" s="64">
        <v>15111.36</v>
      </c>
      <c r="N675" s="17" t="str">
        <f t="shared" si="34"/>
        <v>16650 ASSOCIATED PKG/TX MESQUITE</v>
      </c>
      <c r="O675" s="17" t="str">
        <f t="shared" si="35"/>
        <v>732217 ASSOCIATED PKG FOR CARGILL MEAT</v>
      </c>
      <c r="P675" s="17" t="str">
        <f t="shared" si="36"/>
        <v>HP 232 CLR-72mm x 914m-4 rls/cs-H/A (100053)</v>
      </c>
    </row>
    <row r="676" spans="1:16" x14ac:dyDescent="0.25">
      <c r="A676" s="60" t="s">
        <v>303</v>
      </c>
      <c r="B676" s="60" t="s">
        <v>850</v>
      </c>
      <c r="C676" s="60" t="s">
        <v>304</v>
      </c>
      <c r="D676" s="60" t="s">
        <v>131</v>
      </c>
      <c r="E676" s="60" t="s">
        <v>1481</v>
      </c>
      <c r="F676" s="60" t="s">
        <v>1482</v>
      </c>
      <c r="G676" s="60" t="s">
        <v>79</v>
      </c>
      <c r="H676" s="60" t="s">
        <v>247</v>
      </c>
      <c r="I676" s="60" t="s">
        <v>80</v>
      </c>
      <c r="J676" s="61">
        <v>114.05</v>
      </c>
      <c r="K676" s="61"/>
      <c r="L676" s="62">
        <v>314.82</v>
      </c>
      <c r="M676" s="64"/>
      <c r="N676" s="17" t="str">
        <f t="shared" si="34"/>
        <v>16650 ASSOCIATED PKG/TX MESQUITE</v>
      </c>
      <c r="O676" s="17" t="str">
        <f t="shared" si="35"/>
        <v>732217 ASSOCIATED PKG FOR CARGILL MEAT</v>
      </c>
      <c r="P676" s="17" t="str">
        <f t="shared" si="36"/>
        <v>HP 232 CLR-48mm x 914m-6 rls/cs-H/A (100962)</v>
      </c>
    </row>
    <row r="677" spans="1:16" x14ac:dyDescent="0.25">
      <c r="A677" s="60" t="s">
        <v>303</v>
      </c>
      <c r="B677" s="60" t="s">
        <v>850</v>
      </c>
      <c r="C677" s="60" t="s">
        <v>304</v>
      </c>
      <c r="D677" s="60" t="s">
        <v>131</v>
      </c>
      <c r="E677" s="60" t="s">
        <v>712</v>
      </c>
      <c r="F677" s="60" t="s">
        <v>713</v>
      </c>
      <c r="G677" s="60" t="s">
        <v>334</v>
      </c>
      <c r="H677" s="60" t="s">
        <v>335</v>
      </c>
      <c r="I677" s="60" t="s">
        <v>336</v>
      </c>
      <c r="J677" s="61"/>
      <c r="K677" s="61">
        <v>-700.44</v>
      </c>
      <c r="L677" s="62"/>
      <c r="M677" s="63">
        <v>-454.68</v>
      </c>
      <c r="N677" s="17" t="str">
        <f t="shared" si="34"/>
        <v>16650 ASSOCIATED PKG/TX MESQUITE</v>
      </c>
      <c r="O677" s="17" t="str">
        <f t="shared" si="35"/>
        <v>733431 GENERIC ONE TIME SHIP-TO B2B DIST P</v>
      </c>
      <c r="P677" s="17" t="str">
        <f t="shared" si="36"/>
        <v>FP 096 KFT-72mm x 55m-16 rls/cs-H (201793)</v>
      </c>
    </row>
    <row r="678" spans="1:16" x14ac:dyDescent="0.25">
      <c r="A678" s="60" t="s">
        <v>303</v>
      </c>
      <c r="B678" s="60" t="s">
        <v>850</v>
      </c>
      <c r="C678" s="60" t="s">
        <v>304</v>
      </c>
      <c r="D678" s="60" t="s">
        <v>131</v>
      </c>
      <c r="E678" s="60" t="s">
        <v>712</v>
      </c>
      <c r="F678" s="60" t="s">
        <v>713</v>
      </c>
      <c r="G678" s="60" t="s">
        <v>59</v>
      </c>
      <c r="H678" s="60" t="s">
        <v>1083</v>
      </c>
      <c r="I678" s="60" t="s">
        <v>1084</v>
      </c>
      <c r="J678" s="61">
        <v>67</v>
      </c>
      <c r="K678" s="61"/>
      <c r="L678" s="62">
        <v>56.83</v>
      </c>
      <c r="M678" s="63"/>
      <c r="N678" s="17" t="str">
        <f t="shared" si="34"/>
        <v>16650 ASSOCIATED PKG/TX MESQUITE</v>
      </c>
      <c r="O678" s="17" t="str">
        <f t="shared" si="35"/>
        <v>733431 GENERIC ONE TIME SHIP-TO B2B DIST P</v>
      </c>
      <c r="P678" s="17" t="str">
        <f t="shared" si="36"/>
        <v>GS 490 CLR-18mm x 55m-48 rls/cs-H/A (101229)</v>
      </c>
    </row>
    <row r="679" spans="1:16" x14ac:dyDescent="0.25">
      <c r="A679" s="60" t="s">
        <v>303</v>
      </c>
      <c r="B679" s="60" t="s">
        <v>850</v>
      </c>
      <c r="C679" s="60" t="s">
        <v>304</v>
      </c>
      <c r="D679" s="60" t="s">
        <v>131</v>
      </c>
      <c r="E679" s="60" t="s">
        <v>712</v>
      </c>
      <c r="F679" s="60" t="s">
        <v>713</v>
      </c>
      <c r="G679" s="60" t="s">
        <v>1151</v>
      </c>
      <c r="H679" s="60" t="s">
        <v>1739</v>
      </c>
      <c r="I679" s="60" t="s">
        <v>1740</v>
      </c>
      <c r="J679" s="61"/>
      <c r="K679" s="61">
        <v>86.62</v>
      </c>
      <c r="L679" s="62"/>
      <c r="M679" s="63">
        <v>0</v>
      </c>
      <c r="N679" s="17" t="str">
        <f t="shared" si="34"/>
        <v>16650 ASSOCIATED PKG/TX MESQUITE</v>
      </c>
      <c r="O679" s="17" t="str">
        <f t="shared" si="35"/>
        <v>733431 GENERIC ONE TIME SHIP-TO B2B DIST P</v>
      </c>
      <c r="P679" s="17" t="str">
        <f t="shared" si="36"/>
        <v>50558 2" RH CLUTCH ROLLER (901764)</v>
      </c>
    </row>
    <row r="680" spans="1:16" x14ac:dyDescent="0.25">
      <c r="A680" s="60" t="s">
        <v>303</v>
      </c>
      <c r="B680" s="60" t="s">
        <v>850</v>
      </c>
      <c r="C680" s="60" t="s">
        <v>304</v>
      </c>
      <c r="D680" s="60" t="s">
        <v>131</v>
      </c>
      <c r="E680" s="60" t="s">
        <v>712</v>
      </c>
      <c r="F680" s="60" t="s">
        <v>713</v>
      </c>
      <c r="G680" s="60" t="s">
        <v>1151</v>
      </c>
      <c r="H680" s="60" t="s">
        <v>1741</v>
      </c>
      <c r="I680" s="60" t="s">
        <v>1742</v>
      </c>
      <c r="J680" s="61"/>
      <c r="K680" s="61">
        <v>168.94</v>
      </c>
      <c r="L680" s="62"/>
      <c r="M680" s="63">
        <v>0</v>
      </c>
      <c r="N680" s="17" t="str">
        <f t="shared" si="34"/>
        <v>16650 ASSOCIATED PKG/TX MESQUITE</v>
      </c>
      <c r="O680" s="17" t="str">
        <f t="shared" si="35"/>
        <v>733431 GENERIC ONE TIME SHIP-TO B2B DIST P</v>
      </c>
      <c r="P680" s="17" t="str">
        <f t="shared" si="36"/>
        <v>50371 50208 ROLLER ASSY. 77MM (901879)</v>
      </c>
    </row>
    <row r="681" spans="1:16" x14ac:dyDescent="0.25">
      <c r="A681" s="60" t="s">
        <v>303</v>
      </c>
      <c r="B681" s="60" t="s">
        <v>850</v>
      </c>
      <c r="C681" s="60" t="s">
        <v>304</v>
      </c>
      <c r="D681" s="60" t="s">
        <v>131</v>
      </c>
      <c r="E681" s="60" t="s">
        <v>712</v>
      </c>
      <c r="F681" s="60" t="s">
        <v>713</v>
      </c>
      <c r="G681" s="60" t="s">
        <v>1151</v>
      </c>
      <c r="H681" s="60" t="s">
        <v>1743</v>
      </c>
      <c r="I681" s="60" t="s">
        <v>1744</v>
      </c>
      <c r="J681" s="61"/>
      <c r="K681" s="61">
        <v>103.95</v>
      </c>
      <c r="L681" s="62"/>
      <c r="M681" s="63">
        <v>0</v>
      </c>
      <c r="N681" s="17" t="str">
        <f t="shared" si="34"/>
        <v>16650 ASSOCIATED PKG/TX MESQUITE</v>
      </c>
      <c r="O681" s="17" t="str">
        <f t="shared" si="35"/>
        <v>733431 GENERIC ONE TIME SHIP-TO B2B DIST P</v>
      </c>
      <c r="P681" s="17" t="str">
        <f t="shared" si="36"/>
        <v>50412 2" CLUTCH ROLLER SHAFT (901930)</v>
      </c>
    </row>
    <row r="682" spans="1:16" x14ac:dyDescent="0.25">
      <c r="A682" s="60" t="s">
        <v>303</v>
      </c>
      <c r="B682" s="60" t="s">
        <v>850</v>
      </c>
      <c r="C682" s="60" t="s">
        <v>304</v>
      </c>
      <c r="D682" s="60" t="s">
        <v>131</v>
      </c>
      <c r="E682" s="60" t="s">
        <v>712</v>
      </c>
      <c r="F682" s="60" t="s">
        <v>713</v>
      </c>
      <c r="G682" s="60" t="s">
        <v>1151</v>
      </c>
      <c r="H682" s="60" t="s">
        <v>1745</v>
      </c>
      <c r="I682" s="60" t="s">
        <v>1746</v>
      </c>
      <c r="J682" s="61"/>
      <c r="K682" s="61">
        <v>94.05</v>
      </c>
      <c r="L682" s="65"/>
      <c r="M682" s="64">
        <v>0</v>
      </c>
      <c r="N682" s="17" t="str">
        <f t="shared" si="34"/>
        <v>16650 ASSOCIATED PKG/TX MESQUITE</v>
      </c>
      <c r="O682" s="17" t="str">
        <f t="shared" si="35"/>
        <v>733431 GENERIC ONE TIME SHIP-TO B2B DIST P</v>
      </c>
      <c r="P682" s="17" t="str">
        <f t="shared" si="36"/>
        <v>50694 KNIFE GAURD ASSY FULL BLADE 2' LH (902264)</v>
      </c>
    </row>
    <row r="683" spans="1:16" x14ac:dyDescent="0.25">
      <c r="A683" s="60" t="s">
        <v>303</v>
      </c>
      <c r="B683" s="60" t="s">
        <v>850</v>
      </c>
      <c r="C683" s="60" t="s">
        <v>304</v>
      </c>
      <c r="D683" s="60" t="s">
        <v>131</v>
      </c>
      <c r="E683" s="60" t="s">
        <v>712</v>
      </c>
      <c r="F683" s="60" t="s">
        <v>713</v>
      </c>
      <c r="G683" s="60" t="s">
        <v>1151</v>
      </c>
      <c r="H683" s="60" t="s">
        <v>1747</v>
      </c>
      <c r="I683" s="60" t="s">
        <v>1748</v>
      </c>
      <c r="J683" s="61"/>
      <c r="K683" s="61">
        <v>544.94000000000005</v>
      </c>
      <c r="L683" s="65"/>
      <c r="M683" s="64">
        <v>0</v>
      </c>
      <c r="N683" s="17" t="str">
        <f t="shared" ref="N683:N730" si="37">C683&amp;" "&amp;D683</f>
        <v>16650 ASSOCIATED PKG/TX MESQUITE</v>
      </c>
      <c r="O683" s="17" t="str">
        <f t="shared" ref="O683:O730" si="38">E683&amp;" "&amp;F683</f>
        <v>733431 GENERIC ONE TIME SHIP-TO B2B DIST P</v>
      </c>
      <c r="P683" s="17" t="str">
        <f t="shared" si="36"/>
        <v>51081 UA CYLINDER ASSY. RH LH (902333)</v>
      </c>
    </row>
    <row r="684" spans="1:16" x14ac:dyDescent="0.25">
      <c r="A684" s="60" t="s">
        <v>303</v>
      </c>
      <c r="B684" s="60" t="s">
        <v>850</v>
      </c>
      <c r="C684" s="60" t="s">
        <v>304</v>
      </c>
      <c r="D684" s="60" t="s">
        <v>131</v>
      </c>
      <c r="E684" s="60" t="s">
        <v>1149</v>
      </c>
      <c r="F684" s="60" t="s">
        <v>1150</v>
      </c>
      <c r="G684" s="60" t="s">
        <v>55</v>
      </c>
      <c r="H684" s="60" t="s">
        <v>642</v>
      </c>
      <c r="I684" s="60" t="s">
        <v>643</v>
      </c>
      <c r="J684" s="61">
        <v>667.66</v>
      </c>
      <c r="K684" s="61"/>
      <c r="L684" s="65">
        <v>2066.6880000000001</v>
      </c>
      <c r="M684" s="64"/>
      <c r="N684" s="17" t="str">
        <f t="shared" si="37"/>
        <v>16650 ASSOCIATED PKG/TX MESQUITE</v>
      </c>
      <c r="O684" s="17" t="str">
        <f t="shared" si="38"/>
        <v>733904 CHEWY.COM (DFW)</v>
      </c>
      <c r="P684" s="17" t="str">
        <f t="shared" si="36"/>
        <v>AP 201 RED 72mm x 100m-24 rls/cs-H/A (105303)</v>
      </c>
    </row>
    <row r="685" spans="1:16" x14ac:dyDescent="0.25">
      <c r="A685" s="60" t="s">
        <v>303</v>
      </c>
      <c r="B685" s="60" t="s">
        <v>850</v>
      </c>
      <c r="C685" s="60" t="s">
        <v>304</v>
      </c>
      <c r="D685" s="60" t="s">
        <v>131</v>
      </c>
      <c r="E685" s="60" t="s">
        <v>1483</v>
      </c>
      <c r="F685" s="60" t="s">
        <v>1484</v>
      </c>
      <c r="G685" s="60" t="s">
        <v>205</v>
      </c>
      <c r="H685" s="60" t="s">
        <v>231</v>
      </c>
      <c r="I685" s="60" t="s">
        <v>379</v>
      </c>
      <c r="J685" s="61">
        <v>0</v>
      </c>
      <c r="K685" s="61">
        <v>665.28</v>
      </c>
      <c r="L685" s="62">
        <v>1E-3</v>
      </c>
      <c r="M685" s="64">
        <v>1E-3</v>
      </c>
      <c r="N685" s="17" t="str">
        <f t="shared" si="37"/>
        <v>16650 ASSOCIATED PKG/TX MESQUITE</v>
      </c>
      <c r="O685" s="17" t="str">
        <f t="shared" si="38"/>
        <v>733910 CHEWY.COM (MCO)</v>
      </c>
      <c r="P685" s="17" t="str">
        <f t="shared" si="36"/>
        <v>SD 935  PISTOL GRIP DISPNSR-3 IN. ROLL-S (909535)</v>
      </c>
    </row>
    <row r="686" spans="1:16" x14ac:dyDescent="0.25">
      <c r="A686" s="60" t="s">
        <v>303</v>
      </c>
      <c r="B686" s="60" t="s">
        <v>850</v>
      </c>
      <c r="C686" s="60" t="s">
        <v>304</v>
      </c>
      <c r="D686" s="60" t="s">
        <v>131</v>
      </c>
      <c r="E686" s="60" t="s">
        <v>311</v>
      </c>
      <c r="F686" s="60" t="s">
        <v>155</v>
      </c>
      <c r="G686" s="60" t="s">
        <v>61</v>
      </c>
      <c r="H686" s="60" t="s">
        <v>289</v>
      </c>
      <c r="I686" s="60" t="s">
        <v>154</v>
      </c>
      <c r="J686" s="61">
        <v>16080.76</v>
      </c>
      <c r="K686" s="61">
        <v>11233.72</v>
      </c>
      <c r="L686" s="62">
        <v>37187.462</v>
      </c>
      <c r="M686" s="64">
        <v>24791.642</v>
      </c>
      <c r="N686" s="17" t="str">
        <f t="shared" si="37"/>
        <v>16650 ASSOCIATED PKG/TX MESQUITE</v>
      </c>
      <c r="O686" s="17" t="str">
        <f t="shared" si="38"/>
        <v>733912 CHEWY.COM (PHX)</v>
      </c>
      <c r="P686" s="17" t="str">
        <f t="shared" si="36"/>
        <v>HP 500 CLR-72mm x 50m-24 rls/cs-H/A (207775)</v>
      </c>
    </row>
    <row r="687" spans="1:16" x14ac:dyDescent="0.25">
      <c r="A687" s="60" t="s">
        <v>303</v>
      </c>
      <c r="B687" s="60" t="s">
        <v>850</v>
      </c>
      <c r="C687" s="60" t="s">
        <v>304</v>
      </c>
      <c r="D687" s="60" t="s">
        <v>131</v>
      </c>
      <c r="E687" s="60" t="s">
        <v>311</v>
      </c>
      <c r="F687" s="60" t="s">
        <v>155</v>
      </c>
      <c r="G687" s="60" t="s">
        <v>61</v>
      </c>
      <c r="H687" s="60" t="s">
        <v>306</v>
      </c>
      <c r="I687" s="60" t="s">
        <v>160</v>
      </c>
      <c r="J687" s="61">
        <v>241279.93</v>
      </c>
      <c r="K687" s="61">
        <v>203768.11</v>
      </c>
      <c r="L687" s="65">
        <v>544014.27599999995</v>
      </c>
      <c r="M687" s="64">
        <v>442011.59600000002</v>
      </c>
      <c r="N687" s="17" t="str">
        <f t="shared" si="37"/>
        <v>16650 ASSOCIATED PKG/TX MESQUITE</v>
      </c>
      <c r="O687" s="17" t="str">
        <f t="shared" si="38"/>
        <v>733912 CHEWY.COM (PHX)</v>
      </c>
      <c r="P687" s="17" t="str">
        <f t="shared" si="36"/>
        <v>HP 500 CLR-72mm x 914m-4 rls/cs-S (208571)</v>
      </c>
    </row>
    <row r="688" spans="1:16" x14ac:dyDescent="0.25">
      <c r="A688" s="60" t="s">
        <v>303</v>
      </c>
      <c r="B688" s="60" t="s">
        <v>850</v>
      </c>
      <c r="C688" s="60" t="s">
        <v>304</v>
      </c>
      <c r="D688" s="60" t="s">
        <v>131</v>
      </c>
      <c r="E688" s="60" t="s">
        <v>311</v>
      </c>
      <c r="F688" s="60" t="s">
        <v>155</v>
      </c>
      <c r="G688" s="60" t="s">
        <v>400</v>
      </c>
      <c r="H688" s="60" t="s">
        <v>1749</v>
      </c>
      <c r="I688" s="60" t="s">
        <v>1750</v>
      </c>
      <c r="J688" s="61">
        <v>6454.8</v>
      </c>
      <c r="K688" s="61"/>
      <c r="L688" s="65">
        <v>9242.4</v>
      </c>
      <c r="M688" s="64"/>
      <c r="N688" s="17" t="str">
        <f t="shared" si="37"/>
        <v>16650 ASSOCIATED PKG/TX MESQUITE</v>
      </c>
      <c r="O688" s="17" t="str">
        <f t="shared" si="38"/>
        <v>733912 CHEWY.COM (PHX)</v>
      </c>
      <c r="P688" s="17" t="str">
        <f t="shared" si="36"/>
        <v>WP 150 WB NXG 70mmx138m(450FT)-10rl/cs (105100)</v>
      </c>
    </row>
    <row r="689" spans="1:16" x14ac:dyDescent="0.25">
      <c r="A689" s="60" t="s">
        <v>303</v>
      </c>
      <c r="B689" s="60" t="s">
        <v>850</v>
      </c>
      <c r="C689" s="60" t="s">
        <v>304</v>
      </c>
      <c r="D689" s="60" t="s">
        <v>131</v>
      </c>
      <c r="E689" s="60" t="s">
        <v>311</v>
      </c>
      <c r="F689" s="60" t="s">
        <v>155</v>
      </c>
      <c r="G689" s="60" t="s">
        <v>400</v>
      </c>
      <c r="H689" s="60" t="s">
        <v>1485</v>
      </c>
      <c r="I689" s="60" t="s">
        <v>1486</v>
      </c>
      <c r="J689" s="61">
        <v>3872.88</v>
      </c>
      <c r="K689" s="61"/>
      <c r="L689" s="62">
        <v>5545.44</v>
      </c>
      <c r="M689" s="63"/>
      <c r="N689" s="17" t="str">
        <f t="shared" si="37"/>
        <v>16650 ASSOCIATED PKG/TX MESQUITE</v>
      </c>
      <c r="O689" s="17" t="str">
        <f t="shared" si="38"/>
        <v>733912 CHEWY.COM (PHX)</v>
      </c>
      <c r="P689" s="17" t="str">
        <f t="shared" si="36"/>
        <v>WP 150 WB TR 70mmx138m(450FT)-10rl/cs-NS (105173)</v>
      </c>
    </row>
    <row r="690" spans="1:16" x14ac:dyDescent="0.25">
      <c r="A690" s="60" t="s">
        <v>303</v>
      </c>
      <c r="B690" s="60" t="s">
        <v>850</v>
      </c>
      <c r="C690" s="60" t="s">
        <v>304</v>
      </c>
      <c r="D690" s="60" t="s">
        <v>131</v>
      </c>
      <c r="E690" s="60" t="s">
        <v>311</v>
      </c>
      <c r="F690" s="60" t="s">
        <v>155</v>
      </c>
      <c r="G690" s="60" t="s">
        <v>400</v>
      </c>
      <c r="H690" s="60" t="s">
        <v>1751</v>
      </c>
      <c r="I690" s="60" t="s">
        <v>1752</v>
      </c>
      <c r="J690" s="61">
        <v>6454.8</v>
      </c>
      <c r="K690" s="61"/>
      <c r="L690" s="65">
        <v>9506.4</v>
      </c>
      <c r="M690" s="64"/>
      <c r="N690" s="17" t="str">
        <f t="shared" si="37"/>
        <v>16650 ASSOCIATED PKG/TX MESQUITE</v>
      </c>
      <c r="O690" s="17" t="str">
        <f t="shared" si="38"/>
        <v>733912 CHEWY.COM (PHX)</v>
      </c>
      <c r="P690" s="17" t="str">
        <f t="shared" si="36"/>
        <v>WP 150 RED SIMP-72mmx138m(450FT)-10rl/cs (105389)</v>
      </c>
    </row>
    <row r="691" spans="1:16" x14ac:dyDescent="0.25">
      <c r="A691" s="60" t="s">
        <v>303</v>
      </c>
      <c r="B691" s="60" t="s">
        <v>850</v>
      </c>
      <c r="C691" s="60" t="s">
        <v>304</v>
      </c>
      <c r="D691" s="60" t="s">
        <v>131</v>
      </c>
      <c r="E691" s="60" t="s">
        <v>311</v>
      </c>
      <c r="F691" s="60" t="s">
        <v>155</v>
      </c>
      <c r="G691" s="60" t="s">
        <v>400</v>
      </c>
      <c r="H691" s="60" t="s">
        <v>1487</v>
      </c>
      <c r="I691" s="60" t="s">
        <v>1488</v>
      </c>
      <c r="J691" s="61">
        <v>7584.39</v>
      </c>
      <c r="K691" s="61"/>
      <c r="L691" s="62">
        <v>11170.02</v>
      </c>
      <c r="M691" s="63"/>
      <c r="N691" s="17" t="str">
        <f t="shared" si="37"/>
        <v>16650 ASSOCIATED PKG/TX MESQUITE</v>
      </c>
      <c r="O691" s="17" t="str">
        <f t="shared" si="38"/>
        <v>733912 CHEWY.COM (PHX)</v>
      </c>
      <c r="P691" s="17" t="str">
        <f t="shared" si="36"/>
        <v>WP 150 BLU NEXHART 72mm x 138M - NS (105424)</v>
      </c>
    </row>
    <row r="692" spans="1:16" x14ac:dyDescent="0.25">
      <c r="A692" s="60" t="s">
        <v>303</v>
      </c>
      <c r="B692" s="60" t="s">
        <v>850</v>
      </c>
      <c r="C692" s="60" t="s">
        <v>304</v>
      </c>
      <c r="D692" s="60" t="s">
        <v>131</v>
      </c>
      <c r="E692" s="60" t="s">
        <v>785</v>
      </c>
      <c r="F692" s="60" t="s">
        <v>786</v>
      </c>
      <c r="G692" s="60" t="s">
        <v>205</v>
      </c>
      <c r="H692" s="60" t="s">
        <v>231</v>
      </c>
      <c r="I692" s="60" t="s">
        <v>379</v>
      </c>
      <c r="J692" s="61">
        <v>0</v>
      </c>
      <c r="K692" s="61">
        <v>665.28</v>
      </c>
      <c r="L692" s="62">
        <v>1E-3</v>
      </c>
      <c r="M692" s="64">
        <v>2E-3</v>
      </c>
      <c r="N692" s="17" t="str">
        <f t="shared" si="37"/>
        <v>16650 ASSOCIATED PKG/TX MESQUITE</v>
      </c>
      <c r="O692" s="17" t="str">
        <f t="shared" si="38"/>
        <v>733913 CHEWY.COM (CFC)</v>
      </c>
      <c r="P692" s="17" t="str">
        <f t="shared" si="36"/>
        <v>SD 935  PISTOL GRIP DISPNSR-3 IN. ROLL-S (909535)</v>
      </c>
    </row>
    <row r="693" spans="1:16" x14ac:dyDescent="0.25">
      <c r="A693" s="60" t="s">
        <v>303</v>
      </c>
      <c r="B693" s="60" t="s">
        <v>850</v>
      </c>
      <c r="C693" s="60" t="s">
        <v>304</v>
      </c>
      <c r="D693" s="60" t="s">
        <v>131</v>
      </c>
      <c r="E693" s="60" t="s">
        <v>785</v>
      </c>
      <c r="F693" s="60" t="s">
        <v>786</v>
      </c>
      <c r="G693" s="60" t="s">
        <v>1151</v>
      </c>
      <c r="H693" s="60" t="s">
        <v>1152</v>
      </c>
      <c r="I693" s="60" t="s">
        <v>1153</v>
      </c>
      <c r="J693" s="61"/>
      <c r="K693" s="61">
        <v>429.2</v>
      </c>
      <c r="L693" s="62"/>
      <c r="M693" s="63">
        <v>0</v>
      </c>
      <c r="N693" s="17" t="str">
        <f t="shared" si="37"/>
        <v>16650 ASSOCIATED PKG/TX MESQUITE</v>
      </c>
      <c r="O693" s="17" t="str">
        <f t="shared" si="38"/>
        <v>733913 CHEWY.COM (CFC)</v>
      </c>
      <c r="P693" s="17" t="str">
        <f t="shared" si="36"/>
        <v>5651 PA-1C TAPE MONIT RECE C/W TOW LIGHT (901598)</v>
      </c>
    </row>
    <row r="694" spans="1:16" x14ac:dyDescent="0.25">
      <c r="A694" s="60" t="s">
        <v>303</v>
      </c>
      <c r="B694" s="60" t="s">
        <v>850</v>
      </c>
      <c r="C694" s="60" t="s">
        <v>304</v>
      </c>
      <c r="D694" s="60" t="s">
        <v>131</v>
      </c>
      <c r="E694" s="60" t="s">
        <v>1154</v>
      </c>
      <c r="F694" s="60" t="s">
        <v>1155</v>
      </c>
      <c r="G694" s="60" t="s">
        <v>205</v>
      </c>
      <c r="H694" s="60" t="s">
        <v>231</v>
      </c>
      <c r="I694" s="60" t="s">
        <v>379</v>
      </c>
      <c r="J694" s="61">
        <v>0</v>
      </c>
      <c r="K694" s="61"/>
      <c r="L694" s="65">
        <v>1E-3</v>
      </c>
      <c r="M694" s="64"/>
      <c r="N694" s="17" t="str">
        <f t="shared" si="37"/>
        <v>16650 ASSOCIATED PKG/TX MESQUITE</v>
      </c>
      <c r="O694" s="17" t="str">
        <f t="shared" si="38"/>
        <v>733914 CHEWY.COM (AVP)</v>
      </c>
      <c r="P694" s="17" t="str">
        <f t="shared" si="36"/>
        <v>SD 935  PISTOL GRIP DISPNSR-3 IN. ROLL-S (909535)</v>
      </c>
    </row>
    <row r="695" spans="1:16" x14ac:dyDescent="0.25">
      <c r="A695" s="60" t="s">
        <v>303</v>
      </c>
      <c r="B695" s="60" t="s">
        <v>850</v>
      </c>
      <c r="C695" s="60" t="s">
        <v>304</v>
      </c>
      <c r="D695" s="60" t="s">
        <v>131</v>
      </c>
      <c r="E695" s="60" t="s">
        <v>1154</v>
      </c>
      <c r="F695" s="60" t="s">
        <v>1155</v>
      </c>
      <c r="G695" s="60" t="s">
        <v>1151</v>
      </c>
      <c r="H695" s="60" t="s">
        <v>1152</v>
      </c>
      <c r="I695" s="60" t="s">
        <v>1153</v>
      </c>
      <c r="J695" s="61"/>
      <c r="K695" s="61">
        <v>2956.63</v>
      </c>
      <c r="L695" s="65"/>
      <c r="M695" s="64">
        <v>0</v>
      </c>
      <c r="N695" s="17" t="str">
        <f t="shared" si="37"/>
        <v>16650 ASSOCIATED PKG/TX MESQUITE</v>
      </c>
      <c r="O695" s="17" t="str">
        <f t="shared" si="38"/>
        <v>733914 CHEWY.COM (AVP)</v>
      </c>
      <c r="P695" s="17" t="str">
        <f t="shared" si="36"/>
        <v>5651 PA-1C TAPE MONIT RECE C/W TOW LIGHT (901598)</v>
      </c>
    </row>
    <row r="696" spans="1:16" x14ac:dyDescent="0.25">
      <c r="A696" s="60" t="s">
        <v>303</v>
      </c>
      <c r="B696" s="60" t="s">
        <v>850</v>
      </c>
      <c r="C696" s="60" t="s">
        <v>304</v>
      </c>
      <c r="D696" s="60" t="s">
        <v>131</v>
      </c>
      <c r="E696" s="60" t="s">
        <v>312</v>
      </c>
      <c r="F696" s="60" t="s">
        <v>161</v>
      </c>
      <c r="G696" s="60" t="s">
        <v>61</v>
      </c>
      <c r="H696" s="60" t="s">
        <v>289</v>
      </c>
      <c r="I696" s="60" t="s">
        <v>154</v>
      </c>
      <c r="J696" s="61">
        <v>31938.2</v>
      </c>
      <c r="K696" s="61"/>
      <c r="L696" s="65">
        <v>73858.433999999994</v>
      </c>
      <c r="M696" s="64"/>
      <c r="N696" s="17" t="str">
        <f t="shared" si="37"/>
        <v>16650 ASSOCIATED PKG/TX MESQUITE</v>
      </c>
      <c r="O696" s="17" t="str">
        <f t="shared" si="38"/>
        <v>734029 ASSOCIATED PKG FOR CHEWY.COM (DFW)</v>
      </c>
      <c r="P696" s="17" t="str">
        <f t="shared" si="36"/>
        <v>HP 500 CLR-72mm x 50m-24 rls/cs-H/A (207775)</v>
      </c>
    </row>
    <row r="697" spans="1:16" x14ac:dyDescent="0.25">
      <c r="A697" s="60" t="s">
        <v>303</v>
      </c>
      <c r="B697" s="60" t="s">
        <v>850</v>
      </c>
      <c r="C697" s="60" t="s">
        <v>304</v>
      </c>
      <c r="D697" s="60" t="s">
        <v>131</v>
      </c>
      <c r="E697" s="60" t="s">
        <v>312</v>
      </c>
      <c r="F697" s="60" t="s">
        <v>161</v>
      </c>
      <c r="G697" s="60" t="s">
        <v>61</v>
      </c>
      <c r="H697" s="60" t="s">
        <v>306</v>
      </c>
      <c r="I697" s="60" t="s">
        <v>160</v>
      </c>
      <c r="J697" s="61">
        <v>241279.94</v>
      </c>
      <c r="K697" s="61">
        <v>224667.43</v>
      </c>
      <c r="L697" s="65">
        <v>544014.277</v>
      </c>
      <c r="M697" s="64">
        <v>487346.12400000001</v>
      </c>
      <c r="N697" s="17" t="str">
        <f t="shared" si="37"/>
        <v>16650 ASSOCIATED PKG/TX MESQUITE</v>
      </c>
      <c r="O697" s="17" t="str">
        <f t="shared" si="38"/>
        <v>734029 ASSOCIATED PKG FOR CHEWY.COM (DFW)</v>
      </c>
      <c r="P697" s="17" t="str">
        <f t="shared" si="36"/>
        <v>HP 500 CLR-72mm x 914m-4 rls/cs-S (208571)</v>
      </c>
    </row>
    <row r="698" spans="1:16" x14ac:dyDescent="0.25">
      <c r="A698" s="60" t="s">
        <v>303</v>
      </c>
      <c r="B698" s="60" t="s">
        <v>850</v>
      </c>
      <c r="C698" s="60" t="s">
        <v>304</v>
      </c>
      <c r="D698" s="60" t="s">
        <v>131</v>
      </c>
      <c r="E698" s="60" t="s">
        <v>313</v>
      </c>
      <c r="F698" s="60" t="s">
        <v>162</v>
      </c>
      <c r="G698" s="60" t="s">
        <v>19</v>
      </c>
      <c r="H698" s="60" t="s">
        <v>243</v>
      </c>
      <c r="I698" s="60" t="s">
        <v>87</v>
      </c>
      <c r="J698" s="61"/>
      <c r="K698" s="61">
        <v>3726.52</v>
      </c>
      <c r="L698" s="65"/>
      <c r="M698" s="64">
        <v>15111.36</v>
      </c>
      <c r="N698" s="17" t="str">
        <f t="shared" si="37"/>
        <v>16650 ASSOCIATED PKG/TX MESQUITE</v>
      </c>
      <c r="O698" s="17" t="str">
        <f t="shared" si="38"/>
        <v>734030 ASSOCIATED PKG FOR CHEWY.COM (CFC)</v>
      </c>
      <c r="P698" s="17" t="str">
        <f t="shared" si="36"/>
        <v>HP 100 CLR-48mm x 914m-6 rls/cs-S (208453)</v>
      </c>
    </row>
    <row r="699" spans="1:16" x14ac:dyDescent="0.25">
      <c r="A699" s="60" t="s">
        <v>303</v>
      </c>
      <c r="B699" s="60" t="s">
        <v>850</v>
      </c>
      <c r="C699" s="60" t="s">
        <v>304</v>
      </c>
      <c r="D699" s="60" t="s">
        <v>131</v>
      </c>
      <c r="E699" s="60" t="s">
        <v>313</v>
      </c>
      <c r="F699" s="60" t="s">
        <v>162</v>
      </c>
      <c r="G699" s="60" t="s">
        <v>61</v>
      </c>
      <c r="H699" s="60" t="s">
        <v>289</v>
      </c>
      <c r="I699" s="60" t="s">
        <v>154</v>
      </c>
      <c r="J699" s="61">
        <v>83083.960000000006</v>
      </c>
      <c r="K699" s="61">
        <v>44934.92</v>
      </c>
      <c r="L699" s="65">
        <v>192135.22399999999</v>
      </c>
      <c r="M699" s="64">
        <v>99166.566999999995</v>
      </c>
      <c r="N699" s="17" t="str">
        <f t="shared" si="37"/>
        <v>16650 ASSOCIATED PKG/TX MESQUITE</v>
      </c>
      <c r="O699" s="17" t="str">
        <f t="shared" si="38"/>
        <v>734030 ASSOCIATED PKG FOR CHEWY.COM (CFC)</v>
      </c>
      <c r="P699" s="17" t="str">
        <f t="shared" si="36"/>
        <v>HP 500 CLR-72mm x 50m-24 rls/cs-H/A (207775)</v>
      </c>
    </row>
    <row r="700" spans="1:16" x14ac:dyDescent="0.25">
      <c r="A700" s="60" t="s">
        <v>303</v>
      </c>
      <c r="B700" s="60" t="s">
        <v>850</v>
      </c>
      <c r="C700" s="60" t="s">
        <v>304</v>
      </c>
      <c r="D700" s="60" t="s">
        <v>131</v>
      </c>
      <c r="E700" s="60" t="s">
        <v>313</v>
      </c>
      <c r="F700" s="60" t="s">
        <v>162</v>
      </c>
      <c r="G700" s="60" t="s">
        <v>61</v>
      </c>
      <c r="H700" s="60" t="s">
        <v>306</v>
      </c>
      <c r="I700" s="60" t="s">
        <v>160</v>
      </c>
      <c r="J700" s="61">
        <v>447373.24</v>
      </c>
      <c r="K700" s="61">
        <v>397086.62</v>
      </c>
      <c r="L700" s="62">
        <v>1008693.139</v>
      </c>
      <c r="M700" s="64">
        <v>861355.94099999999</v>
      </c>
      <c r="N700" s="17" t="str">
        <f t="shared" si="37"/>
        <v>16650 ASSOCIATED PKG/TX MESQUITE</v>
      </c>
      <c r="O700" s="17" t="str">
        <f t="shared" si="38"/>
        <v>734030 ASSOCIATED PKG FOR CHEWY.COM (CFC)</v>
      </c>
      <c r="P700" s="17" t="str">
        <f t="shared" si="36"/>
        <v>HP 500 CLR-72mm x 914m-4 rls/cs-S (208571)</v>
      </c>
    </row>
    <row r="701" spans="1:16" x14ac:dyDescent="0.25">
      <c r="A701" s="60" t="s">
        <v>303</v>
      </c>
      <c r="B701" s="60" t="s">
        <v>850</v>
      </c>
      <c r="C701" s="60" t="s">
        <v>304</v>
      </c>
      <c r="D701" s="60" t="s">
        <v>131</v>
      </c>
      <c r="E701" s="60" t="s">
        <v>313</v>
      </c>
      <c r="F701" s="60" t="s">
        <v>162</v>
      </c>
      <c r="G701" s="60" t="s">
        <v>400</v>
      </c>
      <c r="H701" s="60" t="s">
        <v>1749</v>
      </c>
      <c r="I701" s="60" t="s">
        <v>1750</v>
      </c>
      <c r="J701" s="61">
        <v>11537.95</v>
      </c>
      <c r="K701" s="61"/>
      <c r="L701" s="62">
        <v>16520.79</v>
      </c>
      <c r="M701" s="63"/>
      <c r="N701" s="17" t="str">
        <f t="shared" si="37"/>
        <v>16650 ASSOCIATED PKG/TX MESQUITE</v>
      </c>
      <c r="O701" s="17" t="str">
        <f t="shared" si="38"/>
        <v>734030 ASSOCIATED PKG FOR CHEWY.COM (CFC)</v>
      </c>
      <c r="P701" s="17" t="str">
        <f t="shared" si="36"/>
        <v>WP 150 WB NXG 70mmx138m(450FT)-10rl/cs (105100)</v>
      </c>
    </row>
    <row r="702" spans="1:16" x14ac:dyDescent="0.25">
      <c r="A702" s="60" t="s">
        <v>303</v>
      </c>
      <c r="B702" s="60" t="s">
        <v>850</v>
      </c>
      <c r="C702" s="60" t="s">
        <v>304</v>
      </c>
      <c r="D702" s="60" t="s">
        <v>131</v>
      </c>
      <c r="E702" s="60" t="s">
        <v>313</v>
      </c>
      <c r="F702" s="60" t="s">
        <v>162</v>
      </c>
      <c r="G702" s="60" t="s">
        <v>400</v>
      </c>
      <c r="H702" s="60" t="s">
        <v>1485</v>
      </c>
      <c r="I702" s="60" t="s">
        <v>1486</v>
      </c>
      <c r="J702" s="61">
        <v>12425.49</v>
      </c>
      <c r="K702" s="61"/>
      <c r="L702" s="62">
        <v>17791.62</v>
      </c>
      <c r="M702" s="63"/>
      <c r="N702" s="17" t="str">
        <f t="shared" si="37"/>
        <v>16650 ASSOCIATED PKG/TX MESQUITE</v>
      </c>
      <c r="O702" s="17" t="str">
        <f t="shared" si="38"/>
        <v>734030 ASSOCIATED PKG FOR CHEWY.COM (CFC)</v>
      </c>
      <c r="P702" s="17" t="str">
        <f t="shared" si="36"/>
        <v>WP 150 WB TR 70mmx138m(450FT)-10rl/cs-NS (105173)</v>
      </c>
    </row>
    <row r="703" spans="1:16" x14ac:dyDescent="0.25">
      <c r="A703" s="60" t="s">
        <v>303</v>
      </c>
      <c r="B703" s="60" t="s">
        <v>850</v>
      </c>
      <c r="C703" s="60" t="s">
        <v>304</v>
      </c>
      <c r="D703" s="60" t="s">
        <v>131</v>
      </c>
      <c r="E703" s="60" t="s">
        <v>313</v>
      </c>
      <c r="F703" s="60" t="s">
        <v>162</v>
      </c>
      <c r="G703" s="60" t="s">
        <v>400</v>
      </c>
      <c r="H703" s="60" t="s">
        <v>1751</v>
      </c>
      <c r="I703" s="60" t="s">
        <v>1752</v>
      </c>
      <c r="J703" s="61">
        <v>19364.400000000001</v>
      </c>
      <c r="K703" s="61"/>
      <c r="L703" s="62">
        <v>28519.200000000001</v>
      </c>
      <c r="M703" s="63"/>
      <c r="N703" s="17" t="str">
        <f t="shared" si="37"/>
        <v>16650 ASSOCIATED PKG/TX MESQUITE</v>
      </c>
      <c r="O703" s="17" t="str">
        <f t="shared" si="38"/>
        <v>734030 ASSOCIATED PKG FOR CHEWY.COM (CFC)</v>
      </c>
      <c r="P703" s="17" t="str">
        <f t="shared" si="36"/>
        <v>WP 150 RED SIMP-72mmx138m(450FT)-10rl/cs (105389)</v>
      </c>
    </row>
    <row r="704" spans="1:16" x14ac:dyDescent="0.25">
      <c r="A704" s="60" t="s">
        <v>303</v>
      </c>
      <c r="B704" s="60" t="s">
        <v>850</v>
      </c>
      <c r="C704" s="60" t="s">
        <v>304</v>
      </c>
      <c r="D704" s="60" t="s">
        <v>131</v>
      </c>
      <c r="E704" s="60" t="s">
        <v>313</v>
      </c>
      <c r="F704" s="60" t="s">
        <v>162</v>
      </c>
      <c r="G704" s="60" t="s">
        <v>400</v>
      </c>
      <c r="H704" s="60" t="s">
        <v>1487</v>
      </c>
      <c r="I704" s="60" t="s">
        <v>1488</v>
      </c>
      <c r="J704" s="61">
        <v>18486.47</v>
      </c>
      <c r="K704" s="61"/>
      <c r="L704" s="65">
        <v>29945.16</v>
      </c>
      <c r="M704" s="64"/>
      <c r="N704" s="17" t="str">
        <f t="shared" si="37"/>
        <v>16650 ASSOCIATED PKG/TX MESQUITE</v>
      </c>
      <c r="O704" s="17" t="str">
        <f t="shared" si="38"/>
        <v>734030 ASSOCIATED PKG FOR CHEWY.COM (CFC)</v>
      </c>
      <c r="P704" s="17" t="str">
        <f t="shared" si="36"/>
        <v>WP 150 BLU NEXHART 72mm x 138M - NS (105424)</v>
      </c>
    </row>
    <row r="705" spans="1:16" x14ac:dyDescent="0.25">
      <c r="A705" s="60" t="s">
        <v>303</v>
      </c>
      <c r="B705" s="60" t="s">
        <v>850</v>
      </c>
      <c r="C705" s="60" t="s">
        <v>304</v>
      </c>
      <c r="D705" s="60" t="s">
        <v>131</v>
      </c>
      <c r="E705" s="60" t="s">
        <v>313</v>
      </c>
      <c r="F705" s="60" t="s">
        <v>162</v>
      </c>
      <c r="G705" s="60" t="s">
        <v>400</v>
      </c>
      <c r="H705" s="60" t="s">
        <v>637</v>
      </c>
      <c r="I705" s="60" t="s">
        <v>638</v>
      </c>
      <c r="J705" s="61">
        <v>4068.9</v>
      </c>
      <c r="K705" s="61"/>
      <c r="L705" s="62">
        <v>7129.8</v>
      </c>
      <c r="M705" s="64"/>
      <c r="N705" s="17" t="str">
        <f t="shared" si="37"/>
        <v>16650 ASSOCIATED PKG/TX MESQUITE</v>
      </c>
      <c r="O705" s="17" t="str">
        <f t="shared" si="38"/>
        <v>734030 ASSOCIATED PKG FOR CHEWY.COM (CFC)</v>
      </c>
      <c r="P705" s="17" t="str">
        <f t="shared" si="36"/>
        <v>WP 150 BLU WISDOM 72mm x 138M - NS (105437)</v>
      </c>
    </row>
    <row r="706" spans="1:16" x14ac:dyDescent="0.25">
      <c r="A706" s="60" t="s">
        <v>303</v>
      </c>
      <c r="B706" s="60" t="s">
        <v>850</v>
      </c>
      <c r="C706" s="60" t="s">
        <v>304</v>
      </c>
      <c r="D706" s="60" t="s">
        <v>131</v>
      </c>
      <c r="E706" s="60" t="s">
        <v>313</v>
      </c>
      <c r="F706" s="60" t="s">
        <v>162</v>
      </c>
      <c r="G706" s="60" t="s">
        <v>400</v>
      </c>
      <c r="H706" s="60" t="s">
        <v>1156</v>
      </c>
      <c r="I706" s="60" t="s">
        <v>1157</v>
      </c>
      <c r="J706" s="61"/>
      <c r="K706" s="61">
        <v>21854.45</v>
      </c>
      <c r="L706" s="62"/>
      <c r="M706" s="63">
        <v>29945.16</v>
      </c>
      <c r="N706" s="17" t="str">
        <f t="shared" si="37"/>
        <v>16650 ASSOCIATED PKG/TX MESQUITE</v>
      </c>
      <c r="O706" s="17" t="str">
        <f t="shared" si="38"/>
        <v>734030 ASSOCIATED PKG FOR CHEWY.COM (CFC)</v>
      </c>
      <c r="P706" s="17" t="str">
        <f t="shared" si="36"/>
        <v>WP 150 GRN GREENIES-72mmx138m-10rl/cs-NS (105679)</v>
      </c>
    </row>
    <row r="707" spans="1:16" x14ac:dyDescent="0.25">
      <c r="A707" s="60" t="s">
        <v>303</v>
      </c>
      <c r="B707" s="60" t="s">
        <v>850</v>
      </c>
      <c r="C707" s="60" t="s">
        <v>304</v>
      </c>
      <c r="D707" s="60" t="s">
        <v>131</v>
      </c>
      <c r="E707" s="60" t="s">
        <v>314</v>
      </c>
      <c r="F707" s="60" t="s">
        <v>163</v>
      </c>
      <c r="G707" s="60" t="s">
        <v>61</v>
      </c>
      <c r="H707" s="60" t="s">
        <v>289</v>
      </c>
      <c r="I707" s="60" t="s">
        <v>154</v>
      </c>
      <c r="J707" s="61">
        <v>32161.54</v>
      </c>
      <c r="K707" s="61">
        <v>14042.15</v>
      </c>
      <c r="L707" s="62">
        <v>74374.925000000003</v>
      </c>
      <c r="M707" s="63">
        <v>30989.552</v>
      </c>
      <c r="N707" s="17" t="str">
        <f t="shared" si="37"/>
        <v>16650 ASSOCIATED PKG/TX MESQUITE</v>
      </c>
      <c r="O707" s="17" t="str">
        <f t="shared" si="38"/>
        <v>734031 ASSOCIATED PKG FOR CHEWY.COM (MCO)</v>
      </c>
      <c r="P707" s="17" t="str">
        <f t="shared" si="36"/>
        <v>HP 500 CLR-72mm x 50m-24 rls/cs-H/A (207775)</v>
      </c>
    </row>
    <row r="708" spans="1:16" x14ac:dyDescent="0.25">
      <c r="A708" s="60" t="s">
        <v>303</v>
      </c>
      <c r="B708" s="60" t="s">
        <v>850</v>
      </c>
      <c r="C708" s="60" t="s">
        <v>304</v>
      </c>
      <c r="D708" s="60" t="s">
        <v>131</v>
      </c>
      <c r="E708" s="60" t="s">
        <v>314</v>
      </c>
      <c r="F708" s="60" t="s">
        <v>163</v>
      </c>
      <c r="G708" s="60" t="s">
        <v>61</v>
      </c>
      <c r="H708" s="60" t="s">
        <v>306</v>
      </c>
      <c r="I708" s="60" t="s">
        <v>160</v>
      </c>
      <c r="J708" s="61">
        <v>326454</v>
      </c>
      <c r="K708" s="61">
        <v>208992.97</v>
      </c>
      <c r="L708" s="65">
        <v>736056.35499999998</v>
      </c>
      <c r="M708" s="64">
        <v>453345.23100000003</v>
      </c>
      <c r="N708" s="17" t="str">
        <f t="shared" si="37"/>
        <v>16650 ASSOCIATED PKG/TX MESQUITE</v>
      </c>
      <c r="O708" s="17" t="str">
        <f t="shared" si="38"/>
        <v>734031 ASSOCIATED PKG FOR CHEWY.COM (MCO)</v>
      </c>
      <c r="P708" s="17" t="str">
        <f t="shared" ref="P708:P771" si="39">I708&amp;" ("&amp;H708&amp;")"</f>
        <v>HP 500 CLR-72mm x 914m-4 rls/cs-S (208571)</v>
      </c>
    </row>
    <row r="709" spans="1:16" x14ac:dyDescent="0.25">
      <c r="A709" s="60" t="s">
        <v>303</v>
      </c>
      <c r="B709" s="60" t="s">
        <v>850</v>
      </c>
      <c r="C709" s="60" t="s">
        <v>304</v>
      </c>
      <c r="D709" s="60" t="s">
        <v>131</v>
      </c>
      <c r="E709" s="60" t="s">
        <v>315</v>
      </c>
      <c r="F709" s="60" t="s">
        <v>164</v>
      </c>
      <c r="G709" s="60" t="s">
        <v>61</v>
      </c>
      <c r="H709" s="60" t="s">
        <v>289</v>
      </c>
      <c r="I709" s="60" t="s">
        <v>154</v>
      </c>
      <c r="J709" s="61">
        <v>10720.51</v>
      </c>
      <c r="K709" s="61">
        <v>58977.09</v>
      </c>
      <c r="L709" s="62">
        <v>24791.642</v>
      </c>
      <c r="M709" s="63">
        <v>130156.118</v>
      </c>
      <c r="N709" s="17" t="str">
        <f t="shared" si="37"/>
        <v>16650 ASSOCIATED PKG/TX MESQUITE</v>
      </c>
      <c r="O709" s="17" t="str">
        <f t="shared" si="38"/>
        <v>734044 LEHIGH VALLEY LOGISTICS (AVP)</v>
      </c>
      <c r="P709" s="17" t="str">
        <f t="shared" si="39"/>
        <v>HP 500 CLR-72mm x 50m-24 rls/cs-H/A (207775)</v>
      </c>
    </row>
    <row r="710" spans="1:16" x14ac:dyDescent="0.25">
      <c r="A710" s="60" t="s">
        <v>303</v>
      </c>
      <c r="B710" s="60" t="s">
        <v>850</v>
      </c>
      <c r="C710" s="60" t="s">
        <v>304</v>
      </c>
      <c r="D710" s="60" t="s">
        <v>131</v>
      </c>
      <c r="E710" s="60" t="s">
        <v>315</v>
      </c>
      <c r="F710" s="60" t="s">
        <v>164</v>
      </c>
      <c r="G710" s="60" t="s">
        <v>61</v>
      </c>
      <c r="H710" s="60" t="s">
        <v>306</v>
      </c>
      <c r="I710" s="60" t="s">
        <v>160</v>
      </c>
      <c r="J710" s="61">
        <v>653466.53</v>
      </c>
      <c r="K710" s="61">
        <v>678066.05</v>
      </c>
      <c r="L710" s="62">
        <v>1473371.9990000001</v>
      </c>
      <c r="M710" s="64">
        <v>1470853.415</v>
      </c>
      <c r="N710" s="17" t="str">
        <f t="shared" si="37"/>
        <v>16650 ASSOCIATED PKG/TX MESQUITE</v>
      </c>
      <c r="O710" s="17" t="str">
        <f t="shared" si="38"/>
        <v>734044 LEHIGH VALLEY LOGISTICS (AVP)</v>
      </c>
      <c r="P710" s="17" t="str">
        <f t="shared" si="39"/>
        <v>HP 500 CLR-72mm x 914m-4 rls/cs-S (208571)</v>
      </c>
    </row>
    <row r="711" spans="1:16" x14ac:dyDescent="0.25">
      <c r="A711" s="60" t="s">
        <v>303</v>
      </c>
      <c r="B711" s="60" t="s">
        <v>850</v>
      </c>
      <c r="C711" s="60" t="s">
        <v>304</v>
      </c>
      <c r="D711" s="60" t="s">
        <v>131</v>
      </c>
      <c r="E711" s="60" t="s">
        <v>607</v>
      </c>
      <c r="F711" s="60" t="s">
        <v>608</v>
      </c>
      <c r="G711" s="60" t="s">
        <v>79</v>
      </c>
      <c r="H711" s="60" t="s">
        <v>220</v>
      </c>
      <c r="I711" s="60" t="s">
        <v>90</v>
      </c>
      <c r="J711" s="61">
        <v>5225.29</v>
      </c>
      <c r="K711" s="61">
        <v>5759.42</v>
      </c>
      <c r="L711" s="65">
        <v>15111.36</v>
      </c>
      <c r="M711" s="64">
        <v>15111.36</v>
      </c>
      <c r="N711" s="17" t="str">
        <f t="shared" si="37"/>
        <v>16650 ASSOCIATED PKG/TX MESQUITE</v>
      </c>
      <c r="O711" s="17" t="str">
        <f t="shared" si="38"/>
        <v>736426 SADLERS BAR-B-QUE</v>
      </c>
      <c r="P711" s="17" t="str">
        <f t="shared" si="39"/>
        <v>HP 232 CLR-72mm x 914m-4 rls/cs-H/A (100053)</v>
      </c>
    </row>
    <row r="712" spans="1:16" x14ac:dyDescent="0.25">
      <c r="A712" s="60" t="s">
        <v>303</v>
      </c>
      <c r="B712" s="60" t="s">
        <v>850</v>
      </c>
      <c r="C712" s="60" t="s">
        <v>304</v>
      </c>
      <c r="D712" s="60" t="s">
        <v>131</v>
      </c>
      <c r="E712" s="60" t="s">
        <v>1158</v>
      </c>
      <c r="F712" s="60" t="s">
        <v>1159</v>
      </c>
      <c r="G712" s="60" t="s">
        <v>18</v>
      </c>
      <c r="H712" s="60" t="s">
        <v>212</v>
      </c>
      <c r="I712" s="60" t="s">
        <v>86</v>
      </c>
      <c r="J712" s="61">
        <v>3464.21</v>
      </c>
      <c r="K712" s="61">
        <v>3638.13</v>
      </c>
      <c r="L712" s="62">
        <v>15111.36</v>
      </c>
      <c r="M712" s="64">
        <v>15111.36</v>
      </c>
      <c r="N712" s="17" t="str">
        <f t="shared" si="37"/>
        <v>16650 ASSOCIATED PKG/TX MESQUITE</v>
      </c>
      <c r="O712" s="17" t="str">
        <f t="shared" si="38"/>
        <v>736563 NORTH DALLAS HONEY COMPANY</v>
      </c>
      <c r="P712" s="17" t="str">
        <f t="shared" si="39"/>
        <v>HP 200 CLR-48mm x 914m-6 rls/cs-S (208492)</v>
      </c>
    </row>
    <row r="713" spans="1:16" x14ac:dyDescent="0.25">
      <c r="A713" s="60" t="s">
        <v>303</v>
      </c>
      <c r="B713" s="60" t="s">
        <v>850</v>
      </c>
      <c r="C713" s="60" t="s">
        <v>304</v>
      </c>
      <c r="D713" s="60" t="s">
        <v>131</v>
      </c>
      <c r="E713" s="60" t="s">
        <v>1489</v>
      </c>
      <c r="F713" s="60" t="s">
        <v>1490</v>
      </c>
      <c r="G713" s="60" t="s">
        <v>1151</v>
      </c>
      <c r="H713" s="60" t="s">
        <v>1152</v>
      </c>
      <c r="I713" s="60" t="s">
        <v>1153</v>
      </c>
      <c r="J713" s="61"/>
      <c r="K713" s="61">
        <v>1971.09</v>
      </c>
      <c r="L713" s="62"/>
      <c r="M713" s="63">
        <v>0</v>
      </c>
      <c r="N713" s="17" t="str">
        <f t="shared" si="37"/>
        <v>16650 ASSOCIATED PKG/TX MESQUITE</v>
      </c>
      <c r="O713" s="17" t="str">
        <f t="shared" si="38"/>
        <v>736941 CHEWY INC (DAY)</v>
      </c>
      <c r="P713" s="17" t="str">
        <f t="shared" si="39"/>
        <v>5651 PA-1C TAPE MONIT RECE C/W TOW LIGHT (901598)</v>
      </c>
    </row>
    <row r="714" spans="1:16" x14ac:dyDescent="0.25">
      <c r="A714" s="60" t="s">
        <v>303</v>
      </c>
      <c r="B714" s="60" t="s">
        <v>850</v>
      </c>
      <c r="C714" s="60" t="s">
        <v>304</v>
      </c>
      <c r="D714" s="60" t="s">
        <v>131</v>
      </c>
      <c r="E714" s="60" t="s">
        <v>787</v>
      </c>
      <c r="F714" s="60" t="s">
        <v>788</v>
      </c>
      <c r="G714" s="60" t="s">
        <v>59</v>
      </c>
      <c r="H714" s="60" t="s">
        <v>223</v>
      </c>
      <c r="I714" s="60" t="s">
        <v>600</v>
      </c>
      <c r="J714" s="61">
        <v>177.25</v>
      </c>
      <c r="K714" s="61">
        <v>182.48</v>
      </c>
      <c r="L714" s="62">
        <v>151.56</v>
      </c>
      <c r="M714" s="63">
        <v>151.56</v>
      </c>
      <c r="N714" s="17" t="str">
        <f t="shared" si="37"/>
        <v>16650 ASSOCIATED PKG/TX MESQUITE</v>
      </c>
      <c r="O714" s="17" t="str">
        <f t="shared" si="38"/>
        <v>737160 QUALITY TOOLS &amp; SERVICES</v>
      </c>
      <c r="P714" s="17" t="str">
        <f t="shared" si="39"/>
        <v>GS 490 CLR-48mm x 55m-24 rls/cs-H/A (101230)</v>
      </c>
    </row>
    <row r="715" spans="1:16" x14ac:dyDescent="0.25">
      <c r="A715" s="60" t="s">
        <v>303</v>
      </c>
      <c r="B715" s="60" t="s">
        <v>850</v>
      </c>
      <c r="C715" s="60" t="s">
        <v>304</v>
      </c>
      <c r="D715" s="60" t="s">
        <v>131</v>
      </c>
      <c r="E715" s="60" t="s">
        <v>787</v>
      </c>
      <c r="F715" s="60" t="s">
        <v>788</v>
      </c>
      <c r="G715" s="60" t="s">
        <v>19</v>
      </c>
      <c r="H715" s="60" t="s">
        <v>233</v>
      </c>
      <c r="I715" s="60" t="s">
        <v>49</v>
      </c>
      <c r="J715" s="61"/>
      <c r="K715" s="61">
        <v>101.93</v>
      </c>
      <c r="L715" s="62"/>
      <c r="M715" s="63">
        <v>413.32</v>
      </c>
      <c r="N715" s="17" t="str">
        <f t="shared" si="37"/>
        <v>16650 ASSOCIATED PKG/TX MESQUITE</v>
      </c>
      <c r="O715" s="17" t="str">
        <f t="shared" si="38"/>
        <v>737160 QUALITY TOOLS &amp; SERVICES</v>
      </c>
      <c r="P715" s="17" t="str">
        <f t="shared" si="39"/>
        <v>HP 100 CLR-48mm x 100m-36 rls/cs-S (207142)</v>
      </c>
    </row>
    <row r="716" spans="1:16" x14ac:dyDescent="0.25">
      <c r="A716" s="60" t="s">
        <v>303</v>
      </c>
      <c r="B716" s="60" t="s">
        <v>850</v>
      </c>
      <c r="C716" s="60" t="s">
        <v>304</v>
      </c>
      <c r="D716" s="60" t="s">
        <v>131</v>
      </c>
      <c r="E716" s="60" t="s">
        <v>1160</v>
      </c>
      <c r="F716" s="60" t="s">
        <v>1161</v>
      </c>
      <c r="G716" s="60" t="s">
        <v>56</v>
      </c>
      <c r="H716" s="60" t="s">
        <v>444</v>
      </c>
      <c r="I716" s="60" t="s">
        <v>859</v>
      </c>
      <c r="J716" s="61">
        <v>6033.14</v>
      </c>
      <c r="K716" s="61"/>
      <c r="L716" s="62">
        <v>30223.295999999998</v>
      </c>
      <c r="M716" s="64"/>
      <c r="N716" s="17" t="str">
        <f t="shared" si="37"/>
        <v>16650 ASSOCIATED PKG/TX MESQUITE</v>
      </c>
      <c r="O716" s="17" t="str">
        <f t="shared" si="38"/>
        <v>737261 ARTE SANO</v>
      </c>
      <c r="P716" s="17" t="str">
        <f t="shared" si="39"/>
        <v>AP 101 CLR-48mm x 914m-6 rls/cs-S (230960)</v>
      </c>
    </row>
    <row r="717" spans="1:16" x14ac:dyDescent="0.25">
      <c r="A717" s="60" t="s">
        <v>303</v>
      </c>
      <c r="B717" s="60" t="s">
        <v>850</v>
      </c>
      <c r="C717" s="60" t="s">
        <v>304</v>
      </c>
      <c r="D717" s="60" t="s">
        <v>131</v>
      </c>
      <c r="E717" s="60" t="s">
        <v>1162</v>
      </c>
      <c r="F717" s="60" t="s">
        <v>1163</v>
      </c>
      <c r="G717" s="60" t="s">
        <v>79</v>
      </c>
      <c r="H717" s="60" t="s">
        <v>220</v>
      </c>
      <c r="I717" s="60" t="s">
        <v>90</v>
      </c>
      <c r="J717" s="61">
        <v>5485.71</v>
      </c>
      <c r="K717" s="61"/>
      <c r="L717" s="65">
        <v>15111.36</v>
      </c>
      <c r="M717" s="64"/>
      <c r="N717" s="17" t="str">
        <f t="shared" si="37"/>
        <v>16650 ASSOCIATED PKG/TX MESQUITE</v>
      </c>
      <c r="O717" s="17" t="str">
        <f t="shared" si="38"/>
        <v>737625 BURRIS LOGISTICS</v>
      </c>
      <c r="P717" s="17" t="str">
        <f t="shared" si="39"/>
        <v>HP 232 CLR-72mm x 914m-4 rls/cs-H/A (100053)</v>
      </c>
    </row>
    <row r="718" spans="1:16" x14ac:dyDescent="0.25">
      <c r="A718" s="60" t="s">
        <v>303</v>
      </c>
      <c r="B718" s="60" t="s">
        <v>850</v>
      </c>
      <c r="C718" s="60" t="s">
        <v>304</v>
      </c>
      <c r="D718" s="60" t="s">
        <v>131</v>
      </c>
      <c r="E718" s="60" t="s">
        <v>365</v>
      </c>
      <c r="F718" s="60" t="s">
        <v>366</v>
      </c>
      <c r="G718" s="60" t="s">
        <v>1164</v>
      </c>
      <c r="H718" s="60" t="s">
        <v>1165</v>
      </c>
      <c r="I718" s="60" t="s">
        <v>1491</v>
      </c>
      <c r="J718" s="61"/>
      <c r="K718" s="61">
        <v>4618.9399999999996</v>
      </c>
      <c r="L718" s="65"/>
      <c r="M718" s="64">
        <v>2727.6480000000001</v>
      </c>
      <c r="N718" s="17" t="str">
        <f t="shared" si="37"/>
        <v>16650 ASSOCIATED PKG/TX MESQUITE</v>
      </c>
      <c r="O718" s="17" t="str">
        <f t="shared" si="38"/>
        <v>737753 DE DIETRICH PROCESS SYSTEM</v>
      </c>
      <c r="P718" s="17" t="str">
        <f t="shared" si="39"/>
        <v>PC 009 BLK-48mm x 55m-24 rls/cs-S (105462)</v>
      </c>
    </row>
    <row r="719" spans="1:16" x14ac:dyDescent="0.25">
      <c r="A719" s="60" t="s">
        <v>303</v>
      </c>
      <c r="B719" s="60" t="s">
        <v>850</v>
      </c>
      <c r="C719" s="60" t="s">
        <v>304</v>
      </c>
      <c r="D719" s="60" t="s">
        <v>131</v>
      </c>
      <c r="E719" s="60" t="s">
        <v>365</v>
      </c>
      <c r="F719" s="60" t="s">
        <v>366</v>
      </c>
      <c r="G719" s="60" t="s">
        <v>22</v>
      </c>
      <c r="H719" s="60" t="s">
        <v>691</v>
      </c>
      <c r="I719" s="60" t="s">
        <v>692</v>
      </c>
      <c r="J719" s="61"/>
      <c r="K719" s="61">
        <v>470.44</v>
      </c>
      <c r="L719" s="65"/>
      <c r="M719" s="64">
        <v>284.16000000000003</v>
      </c>
      <c r="N719" s="17" t="str">
        <f t="shared" si="37"/>
        <v>16650 ASSOCIATED PKG/TX MESQUITE</v>
      </c>
      <c r="O719" s="17" t="str">
        <f t="shared" si="38"/>
        <v>737753 DE DIETRICH PROCESS SYSTEM</v>
      </c>
      <c r="P719" s="17" t="str">
        <f t="shared" si="39"/>
        <v>VP 410 BLK- 50MM X 33M- 24 RLS/CS-H/T (202810)</v>
      </c>
    </row>
    <row r="720" spans="1:16" x14ac:dyDescent="0.25">
      <c r="A720" s="60" t="s">
        <v>303</v>
      </c>
      <c r="B720" s="60" t="s">
        <v>850</v>
      </c>
      <c r="C720" s="60" t="s">
        <v>304</v>
      </c>
      <c r="D720" s="60" t="s">
        <v>131</v>
      </c>
      <c r="E720" s="60" t="s">
        <v>513</v>
      </c>
      <c r="F720" s="60" t="s">
        <v>514</v>
      </c>
      <c r="G720" s="60" t="s">
        <v>515</v>
      </c>
      <c r="H720" s="60" t="s">
        <v>516</v>
      </c>
      <c r="I720" s="60" t="s">
        <v>517</v>
      </c>
      <c r="J720" s="61">
        <v>42380</v>
      </c>
      <c r="K720" s="61"/>
      <c r="L720" s="65">
        <v>78391.176000000007</v>
      </c>
      <c r="M720" s="64"/>
      <c r="N720" s="17" t="str">
        <f t="shared" si="37"/>
        <v>16650 ASSOCIATED PKG/TX MESQUITE</v>
      </c>
      <c r="O720" s="17" t="str">
        <f t="shared" si="38"/>
        <v>737987 ASSOCIATED PKG FOR SADLERS BAR-B-QU</v>
      </c>
      <c r="P720" s="17" t="str">
        <f t="shared" si="39"/>
        <v>HP 242 WR SECURITY-72mm x 914m-4rl/cs-NS (152654)</v>
      </c>
    </row>
    <row r="721" spans="1:16" x14ac:dyDescent="0.25">
      <c r="A721" s="60" t="s">
        <v>303</v>
      </c>
      <c r="B721" s="60" t="s">
        <v>850</v>
      </c>
      <c r="C721" s="60" t="s">
        <v>304</v>
      </c>
      <c r="D721" s="60" t="s">
        <v>131</v>
      </c>
      <c r="E721" s="60" t="s">
        <v>416</v>
      </c>
      <c r="F721" s="60" t="s">
        <v>427</v>
      </c>
      <c r="G721" s="60" t="s">
        <v>61</v>
      </c>
      <c r="H721" s="60" t="s">
        <v>289</v>
      </c>
      <c r="I721" s="60" t="s">
        <v>154</v>
      </c>
      <c r="J721" s="61"/>
      <c r="K721" s="61">
        <v>14042.16</v>
      </c>
      <c r="L721" s="65"/>
      <c r="M721" s="64">
        <v>30989.552</v>
      </c>
      <c r="N721" s="17" t="str">
        <f t="shared" si="37"/>
        <v>16650 ASSOCIATED PKG/TX MESQUITE</v>
      </c>
      <c r="O721" s="17" t="str">
        <f t="shared" si="38"/>
        <v>741018 CHEWY INC (CLT)</v>
      </c>
      <c r="P721" s="17" t="str">
        <f t="shared" si="39"/>
        <v>HP 500 CLR-72mm x 50m-24 rls/cs-H/A (207775)</v>
      </c>
    </row>
    <row r="722" spans="1:16" x14ac:dyDescent="0.25">
      <c r="A722" s="60" t="s">
        <v>303</v>
      </c>
      <c r="B722" s="60" t="s">
        <v>850</v>
      </c>
      <c r="C722" s="60" t="s">
        <v>304</v>
      </c>
      <c r="D722" s="60" t="s">
        <v>131</v>
      </c>
      <c r="E722" s="60" t="s">
        <v>416</v>
      </c>
      <c r="F722" s="60" t="s">
        <v>427</v>
      </c>
      <c r="G722" s="60" t="s">
        <v>61</v>
      </c>
      <c r="H722" s="60" t="s">
        <v>1753</v>
      </c>
      <c r="I722" s="60" t="s">
        <v>1754</v>
      </c>
      <c r="J722" s="61">
        <v>1072.05</v>
      </c>
      <c r="K722" s="61"/>
      <c r="L722" s="65">
        <v>2479.92</v>
      </c>
      <c r="M722" s="64"/>
      <c r="N722" s="17" t="str">
        <f t="shared" si="37"/>
        <v>16650 ASSOCIATED PKG/TX MESQUITE</v>
      </c>
      <c r="O722" s="17" t="str">
        <f t="shared" si="38"/>
        <v>741018 CHEWY INC (CLT)</v>
      </c>
      <c r="P722" s="17" t="str">
        <f t="shared" si="39"/>
        <v>HP 500 TAN-72mm x 50m-24 rls/cs-H/A (207892)</v>
      </c>
    </row>
    <row r="723" spans="1:16" x14ac:dyDescent="0.25">
      <c r="A723" s="60" t="s">
        <v>303</v>
      </c>
      <c r="B723" s="60" t="s">
        <v>850</v>
      </c>
      <c r="C723" s="60" t="s">
        <v>304</v>
      </c>
      <c r="D723" s="60" t="s">
        <v>131</v>
      </c>
      <c r="E723" s="60" t="s">
        <v>416</v>
      </c>
      <c r="F723" s="60" t="s">
        <v>427</v>
      </c>
      <c r="G723" s="60" t="s">
        <v>61</v>
      </c>
      <c r="H723" s="60" t="s">
        <v>306</v>
      </c>
      <c r="I723" s="60" t="s">
        <v>160</v>
      </c>
      <c r="J723" s="61">
        <v>251333.26</v>
      </c>
      <c r="K723" s="61">
        <v>208992.99</v>
      </c>
      <c r="L723" s="65">
        <v>566681.53799999994</v>
      </c>
      <c r="M723" s="64">
        <v>453345.23100000003</v>
      </c>
      <c r="N723" s="17" t="str">
        <f t="shared" si="37"/>
        <v>16650 ASSOCIATED PKG/TX MESQUITE</v>
      </c>
      <c r="O723" s="17" t="str">
        <f t="shared" si="38"/>
        <v>741018 CHEWY INC (CLT)</v>
      </c>
      <c r="P723" s="17" t="str">
        <f t="shared" si="39"/>
        <v>HP 500 CLR-72mm x 914m-4 rls/cs-S (208571)</v>
      </c>
    </row>
    <row r="724" spans="1:16" x14ac:dyDescent="0.25">
      <c r="A724" s="60" t="s">
        <v>303</v>
      </c>
      <c r="B724" s="60" t="s">
        <v>850</v>
      </c>
      <c r="C724" s="60" t="s">
        <v>304</v>
      </c>
      <c r="D724" s="60" t="s">
        <v>131</v>
      </c>
      <c r="E724" s="60" t="s">
        <v>416</v>
      </c>
      <c r="F724" s="60" t="s">
        <v>427</v>
      </c>
      <c r="G724" s="60" t="s">
        <v>205</v>
      </c>
      <c r="H724" s="60" t="s">
        <v>231</v>
      </c>
      <c r="I724" s="60" t="s">
        <v>379</v>
      </c>
      <c r="J724" s="61">
        <v>0</v>
      </c>
      <c r="K724" s="61">
        <v>332.64</v>
      </c>
      <c r="L724" s="62">
        <v>2E-3</v>
      </c>
      <c r="M724" s="63">
        <v>0</v>
      </c>
      <c r="N724" s="17" t="str">
        <f t="shared" si="37"/>
        <v>16650 ASSOCIATED PKG/TX MESQUITE</v>
      </c>
      <c r="O724" s="17" t="str">
        <f t="shared" si="38"/>
        <v>741018 CHEWY INC (CLT)</v>
      </c>
      <c r="P724" s="17" t="str">
        <f t="shared" si="39"/>
        <v>SD 935  PISTOL GRIP DISPNSR-3 IN. ROLL-S (909535)</v>
      </c>
    </row>
    <row r="725" spans="1:16" x14ac:dyDescent="0.25">
      <c r="A725" s="60" t="s">
        <v>303</v>
      </c>
      <c r="B725" s="60" t="s">
        <v>850</v>
      </c>
      <c r="C725" s="60" t="s">
        <v>304</v>
      </c>
      <c r="D725" s="60" t="s">
        <v>131</v>
      </c>
      <c r="E725" s="60" t="s">
        <v>428</v>
      </c>
      <c r="F725" s="60" t="s">
        <v>429</v>
      </c>
      <c r="G725" s="60" t="s">
        <v>19</v>
      </c>
      <c r="H725" s="60" t="s">
        <v>242</v>
      </c>
      <c r="I725" s="60" t="s">
        <v>102</v>
      </c>
      <c r="J725" s="61">
        <v>5873.47</v>
      </c>
      <c r="K725" s="61">
        <v>11701.8</v>
      </c>
      <c r="L725" s="62">
        <v>24799.200000000001</v>
      </c>
      <c r="M725" s="64">
        <v>49598.400000000001</v>
      </c>
      <c r="N725" s="17" t="str">
        <f t="shared" si="37"/>
        <v>16650 ASSOCIATED PKG/TX MESQUITE</v>
      </c>
      <c r="O725" s="17" t="str">
        <f t="shared" si="38"/>
        <v>741095 GOLDEN STATE FOODS</v>
      </c>
      <c r="P725" s="17" t="str">
        <f t="shared" si="39"/>
        <v>HP 100 CLR-72mm x 100m-24 rls/cs-S (207194)</v>
      </c>
    </row>
    <row r="726" spans="1:16" x14ac:dyDescent="0.25">
      <c r="A726" s="60" t="s">
        <v>303</v>
      </c>
      <c r="B726" s="60" t="s">
        <v>850</v>
      </c>
      <c r="C726" s="60" t="s">
        <v>304</v>
      </c>
      <c r="D726" s="60" t="s">
        <v>131</v>
      </c>
      <c r="E726" s="60" t="s">
        <v>428</v>
      </c>
      <c r="F726" s="60" t="s">
        <v>429</v>
      </c>
      <c r="G726" s="60" t="s">
        <v>18</v>
      </c>
      <c r="H726" s="60" t="s">
        <v>249</v>
      </c>
      <c r="I726" s="60" t="s">
        <v>588</v>
      </c>
      <c r="J726" s="61">
        <v>35536.089999999997</v>
      </c>
      <c r="K726" s="61">
        <v>24069.84</v>
      </c>
      <c r="L726" s="62">
        <v>160558.20000000001</v>
      </c>
      <c r="M726" s="63">
        <v>102001.68</v>
      </c>
      <c r="N726" s="17" t="str">
        <f t="shared" si="37"/>
        <v>16650 ASSOCIATED PKG/TX MESQUITE</v>
      </c>
      <c r="O726" s="17" t="str">
        <f t="shared" si="38"/>
        <v>741095 GOLDEN STATE FOODS</v>
      </c>
      <c r="P726" s="17" t="str">
        <f t="shared" si="39"/>
        <v>HP 200 CLR-72mm x 1371m-4 rls/cs-S (208529)</v>
      </c>
    </row>
    <row r="727" spans="1:16" x14ac:dyDescent="0.25">
      <c r="A727" s="60" t="s">
        <v>303</v>
      </c>
      <c r="B727" s="60" t="s">
        <v>850</v>
      </c>
      <c r="C727" s="60" t="s">
        <v>304</v>
      </c>
      <c r="D727" s="60" t="s">
        <v>131</v>
      </c>
      <c r="E727" s="60" t="s">
        <v>428</v>
      </c>
      <c r="F727" s="60" t="s">
        <v>429</v>
      </c>
      <c r="G727" s="60" t="s">
        <v>70</v>
      </c>
      <c r="H727" s="60" t="s">
        <v>292</v>
      </c>
      <c r="I727" s="60" t="s">
        <v>150</v>
      </c>
      <c r="J727" s="61"/>
      <c r="K727" s="61">
        <v>16059.38</v>
      </c>
      <c r="L727" s="62"/>
      <c r="M727" s="64">
        <v>51001.919999999998</v>
      </c>
      <c r="N727" s="17" t="str">
        <f t="shared" si="37"/>
        <v>16650 ASSOCIATED PKG/TX MESQUITE</v>
      </c>
      <c r="O727" s="17" t="str">
        <f t="shared" si="38"/>
        <v>741095 GOLDEN STATE FOODS</v>
      </c>
      <c r="P727" s="17" t="str">
        <f t="shared" si="39"/>
        <v>HP 235 CLR-72mm x 1371m-4 rls/cs-H (104338)</v>
      </c>
    </row>
    <row r="728" spans="1:16" x14ac:dyDescent="0.25">
      <c r="A728" s="60" t="s">
        <v>303</v>
      </c>
      <c r="B728" s="60" t="s">
        <v>850</v>
      </c>
      <c r="C728" s="60" t="s">
        <v>304</v>
      </c>
      <c r="D728" s="60" t="s">
        <v>131</v>
      </c>
      <c r="E728" s="60" t="s">
        <v>1166</v>
      </c>
      <c r="F728" s="60" t="s">
        <v>1167</v>
      </c>
      <c r="G728" s="60" t="s">
        <v>72</v>
      </c>
      <c r="H728" s="60" t="s">
        <v>1168</v>
      </c>
      <c r="I728" s="60" t="s">
        <v>1169</v>
      </c>
      <c r="J728" s="61">
        <v>260.88</v>
      </c>
      <c r="K728" s="61">
        <v>536.98</v>
      </c>
      <c r="L728" s="65">
        <v>103.334</v>
      </c>
      <c r="M728" s="64">
        <v>206.66900000000001</v>
      </c>
      <c r="N728" s="17" t="str">
        <f t="shared" si="37"/>
        <v>16650 ASSOCIATED PKG/TX MESQUITE</v>
      </c>
      <c r="O728" s="17" t="str">
        <f t="shared" si="38"/>
        <v>741296 CADECO INDUSTRIES</v>
      </c>
      <c r="P728" s="17" t="str">
        <f t="shared" si="39"/>
        <v>DT 200 GLA-36mm x 50m-24 rls/cs-H (232167)</v>
      </c>
    </row>
    <row r="729" spans="1:16" x14ac:dyDescent="0.25">
      <c r="A729" s="60" t="s">
        <v>303</v>
      </c>
      <c r="B729" s="60" t="s">
        <v>850</v>
      </c>
      <c r="C729" s="60" t="s">
        <v>304</v>
      </c>
      <c r="D729" s="60" t="s">
        <v>131</v>
      </c>
      <c r="E729" s="60" t="s">
        <v>423</v>
      </c>
      <c r="F729" s="60" t="s">
        <v>424</v>
      </c>
      <c r="G729" s="60" t="s">
        <v>63</v>
      </c>
      <c r="H729" s="60" t="s">
        <v>740</v>
      </c>
      <c r="I729" s="60" t="s">
        <v>741</v>
      </c>
      <c r="J729" s="61"/>
      <c r="K729" s="61">
        <v>6239.5</v>
      </c>
      <c r="L729" s="65"/>
      <c r="M729" s="64">
        <v>19361.675999999999</v>
      </c>
      <c r="N729" s="17" t="str">
        <f t="shared" si="37"/>
        <v>16650 ASSOCIATED PKG/TX MESQUITE</v>
      </c>
      <c r="O729" s="17" t="str">
        <f t="shared" si="38"/>
        <v>741519 ASSOCIATED PKG FOR FARMER BROS COFF</v>
      </c>
      <c r="P729" s="17" t="str">
        <f t="shared" si="39"/>
        <v>AP 180 CLR-48mm x 1371m-6 rls/cs-H (231047)</v>
      </c>
    </row>
    <row r="730" spans="1:16" x14ac:dyDescent="0.25">
      <c r="A730" s="60" t="s">
        <v>303</v>
      </c>
      <c r="B730" s="60" t="s">
        <v>850</v>
      </c>
      <c r="C730" s="60" t="s">
        <v>304</v>
      </c>
      <c r="D730" s="60" t="s">
        <v>131</v>
      </c>
      <c r="E730" s="60" t="s">
        <v>423</v>
      </c>
      <c r="F730" s="60" t="s">
        <v>424</v>
      </c>
      <c r="G730" s="60" t="s">
        <v>19</v>
      </c>
      <c r="H730" s="60" t="s">
        <v>222</v>
      </c>
      <c r="I730" s="60" t="s">
        <v>104</v>
      </c>
      <c r="J730" s="61">
        <v>11797.56</v>
      </c>
      <c r="K730" s="61">
        <v>27362.73</v>
      </c>
      <c r="L730" s="65">
        <v>61612.487999999998</v>
      </c>
      <c r="M730" s="64">
        <v>120372.546</v>
      </c>
      <c r="N730" s="17" t="str">
        <f t="shared" si="37"/>
        <v>16650 ASSOCIATED PKG/TX MESQUITE</v>
      </c>
      <c r="O730" s="17" t="str">
        <f t="shared" si="38"/>
        <v>741519 ASSOCIATED PKG FOR FARMER BROS COFF</v>
      </c>
      <c r="P730" s="17" t="str">
        <f t="shared" si="39"/>
        <v>HP 100 CLR-53mm x 1500m-6 rls/cs-S (195553)</v>
      </c>
    </row>
    <row r="731" spans="1:16" x14ac:dyDescent="0.25">
      <c r="A731" s="60" t="s">
        <v>303</v>
      </c>
      <c r="B731" s="60" t="s">
        <v>850</v>
      </c>
      <c r="C731" s="60" t="s">
        <v>304</v>
      </c>
      <c r="D731" s="60" t="s">
        <v>131</v>
      </c>
      <c r="E731" s="60" t="s">
        <v>423</v>
      </c>
      <c r="F731" s="60" t="s">
        <v>424</v>
      </c>
      <c r="G731" s="60" t="s">
        <v>19</v>
      </c>
      <c r="H731" s="60" t="s">
        <v>233</v>
      </c>
      <c r="I731" s="60" t="s">
        <v>49</v>
      </c>
      <c r="J731" s="61"/>
      <c r="K731" s="61">
        <v>6201.36</v>
      </c>
      <c r="L731" s="62"/>
      <c r="M731" s="63">
        <v>24799.200000000001</v>
      </c>
      <c r="N731" s="17" t="str">
        <f t="shared" ref="N731:N794" si="40">C731&amp;" "&amp;D731</f>
        <v>16650 ASSOCIATED PKG/TX MESQUITE</v>
      </c>
      <c r="O731" s="17" t="str">
        <f t="shared" ref="O731:O794" si="41">E731&amp;" "&amp;F731</f>
        <v>741519 ASSOCIATED PKG FOR FARMER BROS COFF</v>
      </c>
      <c r="P731" s="17" t="str">
        <f t="shared" si="39"/>
        <v>HP 100 CLR-48mm x 100m-36 rls/cs-S (207142)</v>
      </c>
    </row>
    <row r="732" spans="1:16" x14ac:dyDescent="0.25">
      <c r="A732" s="60" t="s">
        <v>303</v>
      </c>
      <c r="B732" s="60" t="s">
        <v>850</v>
      </c>
      <c r="C732" s="60" t="s">
        <v>304</v>
      </c>
      <c r="D732" s="60" t="s">
        <v>131</v>
      </c>
      <c r="E732" s="60" t="s">
        <v>423</v>
      </c>
      <c r="F732" s="60" t="s">
        <v>424</v>
      </c>
      <c r="G732" s="60" t="s">
        <v>18</v>
      </c>
      <c r="H732" s="60" t="s">
        <v>215</v>
      </c>
      <c r="I732" s="60" t="s">
        <v>50</v>
      </c>
      <c r="J732" s="61"/>
      <c r="K732" s="61">
        <v>1656.55</v>
      </c>
      <c r="L732" s="62"/>
      <c r="M732" s="63">
        <v>5786.48</v>
      </c>
      <c r="N732" s="17" t="str">
        <f t="shared" si="40"/>
        <v>16650 ASSOCIATED PKG/TX MESQUITE</v>
      </c>
      <c r="O732" s="17" t="str">
        <f t="shared" si="41"/>
        <v>741519 ASSOCIATED PKG FOR FARMER BROS COFF</v>
      </c>
      <c r="P732" s="17" t="str">
        <f t="shared" si="39"/>
        <v>HP 200 CLR-48mm x 100m-36 rls/cs-S (207149)</v>
      </c>
    </row>
    <row r="733" spans="1:16" x14ac:dyDescent="0.25">
      <c r="A733" s="60" t="s">
        <v>303</v>
      </c>
      <c r="B733" s="60" t="s">
        <v>850</v>
      </c>
      <c r="C733" s="60" t="s">
        <v>304</v>
      </c>
      <c r="D733" s="60" t="s">
        <v>131</v>
      </c>
      <c r="E733" s="60" t="s">
        <v>423</v>
      </c>
      <c r="F733" s="60" t="s">
        <v>424</v>
      </c>
      <c r="G733" s="60" t="s">
        <v>79</v>
      </c>
      <c r="H733" s="60" t="s">
        <v>220</v>
      </c>
      <c r="I733" s="60" t="s">
        <v>90</v>
      </c>
      <c r="J733" s="61"/>
      <c r="K733" s="61">
        <v>5879.4</v>
      </c>
      <c r="L733" s="62"/>
      <c r="M733" s="64">
        <v>15426.18</v>
      </c>
      <c r="N733" s="17" t="str">
        <f t="shared" si="40"/>
        <v>16650 ASSOCIATED PKG/TX MESQUITE</v>
      </c>
      <c r="O733" s="17" t="str">
        <f t="shared" si="41"/>
        <v>741519 ASSOCIATED PKG FOR FARMER BROS COFF</v>
      </c>
      <c r="P733" s="17" t="str">
        <f t="shared" si="39"/>
        <v>HP 232 CLR-72mm x 914m-4 rls/cs-H/A (100053)</v>
      </c>
    </row>
    <row r="734" spans="1:16" x14ac:dyDescent="0.25">
      <c r="A734" s="60" t="s">
        <v>303</v>
      </c>
      <c r="B734" s="60" t="s">
        <v>850</v>
      </c>
      <c r="C734" s="60" t="s">
        <v>304</v>
      </c>
      <c r="D734" s="60" t="s">
        <v>131</v>
      </c>
      <c r="E734" s="60" t="s">
        <v>423</v>
      </c>
      <c r="F734" s="60" t="s">
        <v>424</v>
      </c>
      <c r="G734" s="60" t="s">
        <v>79</v>
      </c>
      <c r="H734" s="60" t="s">
        <v>247</v>
      </c>
      <c r="I734" s="60" t="s">
        <v>80</v>
      </c>
      <c r="J734" s="61"/>
      <c r="K734" s="61">
        <v>598.75</v>
      </c>
      <c r="L734" s="62"/>
      <c r="M734" s="64">
        <v>1574.1</v>
      </c>
      <c r="N734" s="17" t="str">
        <f t="shared" si="40"/>
        <v>16650 ASSOCIATED PKG/TX MESQUITE</v>
      </c>
      <c r="O734" s="17" t="str">
        <f t="shared" si="41"/>
        <v>741519 ASSOCIATED PKG FOR FARMER BROS COFF</v>
      </c>
      <c r="P734" s="17" t="str">
        <f t="shared" si="39"/>
        <v>HP 232 CLR-48mm x 914m-6 rls/cs-H/A (100962)</v>
      </c>
    </row>
    <row r="735" spans="1:16" x14ac:dyDescent="0.25">
      <c r="A735" s="60" t="s">
        <v>303</v>
      </c>
      <c r="B735" s="60" t="s">
        <v>850</v>
      </c>
      <c r="C735" s="60" t="s">
        <v>304</v>
      </c>
      <c r="D735" s="60" t="s">
        <v>131</v>
      </c>
      <c r="E735" s="60" t="s">
        <v>423</v>
      </c>
      <c r="F735" s="60" t="s">
        <v>424</v>
      </c>
      <c r="G735" s="60" t="s">
        <v>62</v>
      </c>
      <c r="H735" s="60" t="s">
        <v>246</v>
      </c>
      <c r="I735" s="60" t="s">
        <v>171</v>
      </c>
      <c r="J735" s="61"/>
      <c r="K735" s="61">
        <v>341.19</v>
      </c>
      <c r="L735" s="62"/>
      <c r="M735" s="63">
        <v>629.64</v>
      </c>
      <c r="N735" s="17" t="str">
        <f t="shared" si="40"/>
        <v>16650 ASSOCIATED PKG/TX MESQUITE</v>
      </c>
      <c r="O735" s="17" t="str">
        <f t="shared" si="41"/>
        <v>741519 ASSOCIATED PKG FOR FARMER BROS COFF</v>
      </c>
      <c r="P735" s="17" t="str">
        <f t="shared" si="39"/>
        <v>HP 300 CLR-48mm x 914m-6 rls/cs-H (208532)</v>
      </c>
    </row>
    <row r="736" spans="1:16" x14ac:dyDescent="0.25">
      <c r="A736" s="60" t="s">
        <v>303</v>
      </c>
      <c r="B736" s="60" t="s">
        <v>850</v>
      </c>
      <c r="C736" s="60" t="s">
        <v>304</v>
      </c>
      <c r="D736" s="60" t="s">
        <v>131</v>
      </c>
      <c r="E736" s="60" t="s">
        <v>423</v>
      </c>
      <c r="F736" s="60" t="s">
        <v>424</v>
      </c>
      <c r="G736" s="60" t="s">
        <v>204</v>
      </c>
      <c r="H736" s="60" t="s">
        <v>230</v>
      </c>
      <c r="I736" s="60" t="s">
        <v>376</v>
      </c>
      <c r="J736" s="61"/>
      <c r="K736" s="61">
        <v>47.92</v>
      </c>
      <c r="L736" s="62"/>
      <c r="M736" s="64">
        <v>0</v>
      </c>
      <c r="N736" s="17" t="str">
        <f t="shared" si="40"/>
        <v>16650 ASSOCIATED PKG/TX MESQUITE</v>
      </c>
      <c r="O736" s="17" t="str">
        <f t="shared" si="41"/>
        <v>741519 ASSOCIATED PKG FOR FARMER BROS COFF</v>
      </c>
      <c r="P736" s="17" t="str">
        <f t="shared" si="39"/>
        <v>SD 934  PISTOL GRIP TAPE DISPNSR PREM.-S (903000)</v>
      </c>
    </row>
    <row r="737" spans="1:16" x14ac:dyDescent="0.25">
      <c r="A737" s="60" t="s">
        <v>303</v>
      </c>
      <c r="B737" s="60" t="s">
        <v>850</v>
      </c>
      <c r="C737" s="60" t="s">
        <v>304</v>
      </c>
      <c r="D737" s="60" t="s">
        <v>131</v>
      </c>
      <c r="E737" s="60" t="s">
        <v>423</v>
      </c>
      <c r="F737" s="60" t="s">
        <v>424</v>
      </c>
      <c r="G737" s="60" t="s">
        <v>109</v>
      </c>
      <c r="H737" s="60" t="s">
        <v>276</v>
      </c>
      <c r="I737" s="60" t="s">
        <v>112</v>
      </c>
      <c r="J737" s="61"/>
      <c r="K737" s="61">
        <v>718.74</v>
      </c>
      <c r="L737" s="62"/>
      <c r="M737" s="63">
        <v>1188.3</v>
      </c>
      <c r="N737" s="17" t="str">
        <f t="shared" si="40"/>
        <v>16650 ASSOCIATED PKG/TX MESQUITE</v>
      </c>
      <c r="O737" s="17" t="str">
        <f t="shared" si="41"/>
        <v>741519 ASSOCIATED PKG FOR FARMER BROS COFF</v>
      </c>
      <c r="P737" s="17" t="str">
        <f t="shared" si="39"/>
        <v>WP 100 NAT-72mmx138m(450ft)-10rls/cs-H/A (101686)</v>
      </c>
    </row>
    <row r="738" spans="1:16" x14ac:dyDescent="0.25">
      <c r="A738" s="60" t="s">
        <v>303</v>
      </c>
      <c r="B738" s="60" t="s">
        <v>850</v>
      </c>
      <c r="C738" s="60" t="s">
        <v>304</v>
      </c>
      <c r="D738" s="60" t="s">
        <v>131</v>
      </c>
      <c r="E738" s="60" t="s">
        <v>1170</v>
      </c>
      <c r="F738" s="60" t="s">
        <v>1171</v>
      </c>
      <c r="G738" s="60" t="s">
        <v>61</v>
      </c>
      <c r="H738" s="60" t="s">
        <v>306</v>
      </c>
      <c r="I738" s="60" t="s">
        <v>160</v>
      </c>
      <c r="J738" s="61"/>
      <c r="K738" s="61">
        <v>161969.54</v>
      </c>
      <c r="L738" s="62"/>
      <c r="M738" s="64">
        <v>351342.554</v>
      </c>
      <c r="N738" s="17" t="str">
        <f t="shared" si="40"/>
        <v>16650 ASSOCIATED PKG/TX MESQUITE</v>
      </c>
      <c r="O738" s="17" t="str">
        <f t="shared" si="41"/>
        <v>743029 GARVEY PUBLIC WAREHOUSE FOR CHEWY M</v>
      </c>
      <c r="P738" s="17" t="str">
        <f t="shared" si="39"/>
        <v>HP 500 CLR-72mm x 914m-4 rls/cs-S (208571)</v>
      </c>
    </row>
    <row r="739" spans="1:16" x14ac:dyDescent="0.25">
      <c r="A739" s="60" t="s">
        <v>303</v>
      </c>
      <c r="B739" s="60" t="s">
        <v>850</v>
      </c>
      <c r="C739" s="60" t="s">
        <v>304</v>
      </c>
      <c r="D739" s="60" t="s">
        <v>131</v>
      </c>
      <c r="E739" s="60" t="s">
        <v>1172</v>
      </c>
      <c r="F739" s="60" t="s">
        <v>1173</v>
      </c>
      <c r="G739" s="60" t="s">
        <v>19</v>
      </c>
      <c r="H739" s="60" t="s">
        <v>244</v>
      </c>
      <c r="I739" s="60" t="s">
        <v>94</v>
      </c>
      <c r="J739" s="61">
        <v>778.14</v>
      </c>
      <c r="K739" s="61"/>
      <c r="L739" s="62">
        <v>3148.2</v>
      </c>
      <c r="M739" s="64"/>
      <c r="N739" s="17" t="str">
        <f t="shared" si="40"/>
        <v>16650 ASSOCIATED PKG/TX MESQUITE</v>
      </c>
      <c r="O739" s="17" t="str">
        <f t="shared" si="41"/>
        <v>743791 POLY-TECH PLASTICS MOLDING INC</v>
      </c>
      <c r="P739" s="17" t="str">
        <f t="shared" si="39"/>
        <v>HP 100 CLR-72mm x 914m-4 rls/cs-S (208465)</v>
      </c>
    </row>
    <row r="740" spans="1:16" x14ac:dyDescent="0.25">
      <c r="A740" s="60" t="s">
        <v>303</v>
      </c>
      <c r="B740" s="60" t="s">
        <v>850</v>
      </c>
      <c r="C740" s="60" t="s">
        <v>304</v>
      </c>
      <c r="D740" s="60" t="s">
        <v>131</v>
      </c>
      <c r="E740" s="60" t="s">
        <v>609</v>
      </c>
      <c r="F740" s="60" t="s">
        <v>610</v>
      </c>
      <c r="G740" s="60" t="s">
        <v>55</v>
      </c>
      <c r="H740" s="60" t="s">
        <v>642</v>
      </c>
      <c r="I740" s="60" t="s">
        <v>643</v>
      </c>
      <c r="J740" s="61">
        <v>400.59</v>
      </c>
      <c r="K740" s="61"/>
      <c r="L740" s="62">
        <v>1240.0129999999999</v>
      </c>
      <c r="M740" s="64"/>
      <c r="N740" s="17" t="str">
        <f t="shared" si="40"/>
        <v>16650 ASSOCIATED PKG/TX MESQUITE</v>
      </c>
      <c r="O740" s="17" t="str">
        <f t="shared" si="41"/>
        <v>744544 CHEWY.COM - MCI1</v>
      </c>
      <c r="P740" s="17" t="str">
        <f t="shared" si="39"/>
        <v>AP 201 RED 72mm x 100m-24 rls/cs-H/A (105303)</v>
      </c>
    </row>
    <row r="741" spans="1:16" x14ac:dyDescent="0.25">
      <c r="A741" s="60" t="s">
        <v>303</v>
      </c>
      <c r="B741" s="60" t="s">
        <v>850</v>
      </c>
      <c r="C741" s="60" t="s">
        <v>304</v>
      </c>
      <c r="D741" s="60" t="s">
        <v>131</v>
      </c>
      <c r="E741" s="60" t="s">
        <v>609</v>
      </c>
      <c r="F741" s="60" t="s">
        <v>610</v>
      </c>
      <c r="G741" s="60" t="s">
        <v>61</v>
      </c>
      <c r="H741" s="60" t="s">
        <v>306</v>
      </c>
      <c r="I741" s="60" t="s">
        <v>160</v>
      </c>
      <c r="J741" s="61">
        <v>216146.63</v>
      </c>
      <c r="K741" s="61"/>
      <c r="L741" s="62">
        <v>487346.12400000001</v>
      </c>
      <c r="M741" s="63"/>
      <c r="N741" s="17" t="str">
        <f t="shared" si="40"/>
        <v>16650 ASSOCIATED PKG/TX MESQUITE</v>
      </c>
      <c r="O741" s="17" t="str">
        <f t="shared" si="41"/>
        <v>744544 CHEWY.COM - MCI1</v>
      </c>
      <c r="P741" s="17" t="str">
        <f t="shared" si="39"/>
        <v>HP 500 CLR-72mm x 914m-4 rls/cs-S (208571)</v>
      </c>
    </row>
    <row r="742" spans="1:16" x14ac:dyDescent="0.25">
      <c r="A742" s="60" t="s">
        <v>303</v>
      </c>
      <c r="B742" s="60" t="s">
        <v>850</v>
      </c>
      <c r="C742" s="60" t="s">
        <v>304</v>
      </c>
      <c r="D742" s="60" t="s">
        <v>131</v>
      </c>
      <c r="E742" s="60" t="s">
        <v>609</v>
      </c>
      <c r="F742" s="60" t="s">
        <v>610</v>
      </c>
      <c r="G742" s="60" t="s">
        <v>205</v>
      </c>
      <c r="H742" s="60" t="s">
        <v>231</v>
      </c>
      <c r="I742" s="60" t="s">
        <v>379</v>
      </c>
      <c r="J742" s="61">
        <v>0</v>
      </c>
      <c r="K742" s="61"/>
      <c r="L742" s="62">
        <v>1E-3</v>
      </c>
      <c r="M742" s="63"/>
      <c r="N742" s="17" t="str">
        <f t="shared" si="40"/>
        <v>16650 ASSOCIATED PKG/TX MESQUITE</v>
      </c>
      <c r="O742" s="17" t="str">
        <f t="shared" si="41"/>
        <v>744544 CHEWY.COM - MCI1</v>
      </c>
      <c r="P742" s="17" t="str">
        <f t="shared" si="39"/>
        <v>SD 935  PISTOL GRIP DISPNSR-3 IN. ROLL-S (909535)</v>
      </c>
    </row>
    <row r="743" spans="1:16" x14ac:dyDescent="0.25">
      <c r="A743" s="60" t="s">
        <v>303</v>
      </c>
      <c r="B743" s="60" t="s">
        <v>850</v>
      </c>
      <c r="C743" s="60" t="s">
        <v>304</v>
      </c>
      <c r="D743" s="60" t="s">
        <v>131</v>
      </c>
      <c r="E743" s="60" t="s">
        <v>1174</v>
      </c>
      <c r="F743" s="60" t="s">
        <v>1175</v>
      </c>
      <c r="G743" s="60" t="s">
        <v>205</v>
      </c>
      <c r="H743" s="60" t="s">
        <v>231</v>
      </c>
      <c r="I743" s="60" t="s">
        <v>379</v>
      </c>
      <c r="J743" s="61"/>
      <c r="K743" s="61">
        <v>332.64</v>
      </c>
      <c r="L743" s="65"/>
      <c r="M743" s="64">
        <v>1E-3</v>
      </c>
      <c r="N743" s="17" t="str">
        <f t="shared" si="40"/>
        <v>16650 ASSOCIATED PKG/TX MESQUITE</v>
      </c>
      <c r="O743" s="17" t="str">
        <f t="shared" si="41"/>
        <v>745030 UPS STORE - FOR CHEWY.COM - MCO</v>
      </c>
      <c r="P743" s="17" t="str">
        <f t="shared" si="39"/>
        <v>SD 935  PISTOL GRIP DISPNSR-3 IN. ROLL-S (909535)</v>
      </c>
    </row>
    <row r="744" spans="1:16" x14ac:dyDescent="0.25">
      <c r="A744" s="60" t="s">
        <v>303</v>
      </c>
      <c r="B744" s="60" t="s">
        <v>850</v>
      </c>
      <c r="C744" s="60" t="s">
        <v>304</v>
      </c>
      <c r="D744" s="60" t="s">
        <v>131</v>
      </c>
      <c r="E744" s="60" t="s">
        <v>1492</v>
      </c>
      <c r="F744" s="60" t="s">
        <v>1493</v>
      </c>
      <c r="G744" s="60" t="s">
        <v>400</v>
      </c>
      <c r="H744" s="60" t="s">
        <v>1749</v>
      </c>
      <c r="I744" s="60" t="s">
        <v>1750</v>
      </c>
      <c r="J744" s="61">
        <v>7180.96</v>
      </c>
      <c r="K744" s="61"/>
      <c r="L744" s="62">
        <v>10282.17</v>
      </c>
      <c r="M744" s="63"/>
      <c r="N744" s="17" t="str">
        <f t="shared" si="40"/>
        <v>16650 ASSOCIATED PKG/TX MESQUITE</v>
      </c>
      <c r="O744" s="17" t="str">
        <f t="shared" si="41"/>
        <v>745657 CHEWY PHARMACY LLC AVP4</v>
      </c>
      <c r="P744" s="17" t="str">
        <f t="shared" si="39"/>
        <v>WP 150 WB NXG 70mmx138m(450FT)-10rl/cs (105100)</v>
      </c>
    </row>
    <row r="745" spans="1:16" x14ac:dyDescent="0.25">
      <c r="A745" s="60" t="s">
        <v>303</v>
      </c>
      <c r="B745" s="60" t="s">
        <v>850</v>
      </c>
      <c r="C745" s="60" t="s">
        <v>304</v>
      </c>
      <c r="D745" s="60" t="s">
        <v>131</v>
      </c>
      <c r="E745" s="60" t="s">
        <v>1492</v>
      </c>
      <c r="F745" s="60" t="s">
        <v>1493</v>
      </c>
      <c r="G745" s="60" t="s">
        <v>400</v>
      </c>
      <c r="H745" s="60" t="s">
        <v>1485</v>
      </c>
      <c r="I745" s="60" t="s">
        <v>1486</v>
      </c>
      <c r="J745" s="61">
        <v>8875.35</v>
      </c>
      <c r="K745" s="61"/>
      <c r="L745" s="65">
        <v>12708.3</v>
      </c>
      <c r="M745" s="64"/>
      <c r="N745" s="17" t="str">
        <f t="shared" si="40"/>
        <v>16650 ASSOCIATED PKG/TX MESQUITE</v>
      </c>
      <c r="O745" s="17" t="str">
        <f t="shared" si="41"/>
        <v>745657 CHEWY PHARMACY LLC AVP4</v>
      </c>
      <c r="P745" s="17" t="str">
        <f t="shared" si="39"/>
        <v>WP 150 WB TR 70mmx138m(450FT)-10rl/cs-NS (105173)</v>
      </c>
    </row>
    <row r="746" spans="1:16" x14ac:dyDescent="0.25">
      <c r="A746" s="60" t="s">
        <v>303</v>
      </c>
      <c r="B746" s="60" t="s">
        <v>850</v>
      </c>
      <c r="C746" s="60" t="s">
        <v>304</v>
      </c>
      <c r="D746" s="60" t="s">
        <v>131</v>
      </c>
      <c r="E746" s="60" t="s">
        <v>1492</v>
      </c>
      <c r="F746" s="60" t="s">
        <v>1493</v>
      </c>
      <c r="G746" s="60" t="s">
        <v>400</v>
      </c>
      <c r="H746" s="60" t="s">
        <v>1751</v>
      </c>
      <c r="I746" s="60" t="s">
        <v>1752</v>
      </c>
      <c r="J746" s="61">
        <v>9762.8799999999992</v>
      </c>
      <c r="K746" s="61"/>
      <c r="L746" s="65">
        <v>14378.43</v>
      </c>
      <c r="M746" s="64"/>
      <c r="N746" s="17" t="str">
        <f t="shared" si="40"/>
        <v>16650 ASSOCIATED PKG/TX MESQUITE</v>
      </c>
      <c r="O746" s="17" t="str">
        <f t="shared" si="41"/>
        <v>745657 CHEWY PHARMACY LLC AVP4</v>
      </c>
      <c r="P746" s="17" t="str">
        <f t="shared" si="39"/>
        <v>WP 150 RED SIMP-72mmx138m(450FT)-10rl/cs (105389)</v>
      </c>
    </row>
    <row r="747" spans="1:16" x14ac:dyDescent="0.25">
      <c r="A747" s="60" t="s">
        <v>303</v>
      </c>
      <c r="B747" s="60" t="s">
        <v>850</v>
      </c>
      <c r="C747" s="60" t="s">
        <v>304</v>
      </c>
      <c r="D747" s="60" t="s">
        <v>131</v>
      </c>
      <c r="E747" s="60" t="s">
        <v>1492</v>
      </c>
      <c r="F747" s="60" t="s">
        <v>1493</v>
      </c>
      <c r="G747" s="60" t="s">
        <v>400</v>
      </c>
      <c r="H747" s="60" t="s">
        <v>1494</v>
      </c>
      <c r="I747" s="60" t="s">
        <v>1495</v>
      </c>
      <c r="J747" s="61">
        <v>4768.34</v>
      </c>
      <c r="K747" s="61"/>
      <c r="L747" s="62">
        <v>7723.95</v>
      </c>
      <c r="M747" s="63"/>
      <c r="N747" s="17" t="str">
        <f t="shared" si="40"/>
        <v>16650 ASSOCIATED PKG/TX MESQUITE</v>
      </c>
      <c r="O747" s="17" t="str">
        <f t="shared" si="41"/>
        <v>745657 CHEWY PHARMACY LLC AVP4</v>
      </c>
      <c r="P747" s="17" t="str">
        <f t="shared" si="39"/>
        <v>WP 150 BLU HEART-72mmx138m(450FT)-10r/cs (105391)</v>
      </c>
    </row>
    <row r="748" spans="1:16" x14ac:dyDescent="0.25">
      <c r="A748" s="60" t="s">
        <v>303</v>
      </c>
      <c r="B748" s="60" t="s">
        <v>850</v>
      </c>
      <c r="C748" s="60" t="s">
        <v>304</v>
      </c>
      <c r="D748" s="60" t="s">
        <v>131</v>
      </c>
      <c r="E748" s="60" t="s">
        <v>623</v>
      </c>
      <c r="F748" s="60" t="s">
        <v>624</v>
      </c>
      <c r="G748" s="60" t="s">
        <v>19</v>
      </c>
      <c r="H748" s="60" t="s">
        <v>243</v>
      </c>
      <c r="I748" s="60" t="s">
        <v>87</v>
      </c>
      <c r="J748" s="61">
        <v>22056.89</v>
      </c>
      <c r="K748" s="61">
        <v>26282.36</v>
      </c>
      <c r="L748" s="62">
        <v>90668.160000000003</v>
      </c>
      <c r="M748" s="63">
        <v>105779.52</v>
      </c>
      <c r="N748" s="17" t="str">
        <f t="shared" si="40"/>
        <v>16650 ASSOCIATED PKG/TX MESQUITE</v>
      </c>
      <c r="O748" s="17" t="str">
        <f t="shared" si="41"/>
        <v>745804 AVERITT EXPRESS WHSE</v>
      </c>
      <c r="P748" s="17" t="str">
        <f t="shared" si="39"/>
        <v>HP 100 CLR-48mm x 914m-6 rls/cs-S (208453)</v>
      </c>
    </row>
    <row r="749" spans="1:16" x14ac:dyDescent="0.25">
      <c r="A749" s="60" t="s">
        <v>303</v>
      </c>
      <c r="B749" s="60" t="s">
        <v>850</v>
      </c>
      <c r="C749" s="60" t="s">
        <v>304</v>
      </c>
      <c r="D749" s="60" t="s">
        <v>131</v>
      </c>
      <c r="E749" s="60" t="s">
        <v>623</v>
      </c>
      <c r="F749" s="60" t="s">
        <v>624</v>
      </c>
      <c r="G749" s="60" t="s">
        <v>18</v>
      </c>
      <c r="H749" s="60" t="s">
        <v>215</v>
      </c>
      <c r="I749" s="60" t="s">
        <v>50</v>
      </c>
      <c r="J749" s="61">
        <v>3057.91</v>
      </c>
      <c r="K749" s="61">
        <v>3207.6</v>
      </c>
      <c r="L749" s="65">
        <v>12399.6</v>
      </c>
      <c r="M749" s="64">
        <v>12399.6</v>
      </c>
      <c r="N749" s="17" t="str">
        <f t="shared" si="40"/>
        <v>16650 ASSOCIATED PKG/TX MESQUITE</v>
      </c>
      <c r="O749" s="17" t="str">
        <f t="shared" si="41"/>
        <v>745804 AVERITT EXPRESS WHSE</v>
      </c>
      <c r="P749" s="17" t="str">
        <f t="shared" si="39"/>
        <v>HP 200 CLR-48mm x 100m-36 rls/cs-S (207149)</v>
      </c>
    </row>
    <row r="750" spans="1:16" x14ac:dyDescent="0.25">
      <c r="A750" s="60" t="s">
        <v>303</v>
      </c>
      <c r="B750" s="60" t="s">
        <v>850</v>
      </c>
      <c r="C750" s="60" t="s">
        <v>304</v>
      </c>
      <c r="D750" s="60" t="s">
        <v>131</v>
      </c>
      <c r="E750" s="60" t="s">
        <v>1176</v>
      </c>
      <c r="F750" s="60" t="s">
        <v>1177</v>
      </c>
      <c r="G750" s="60" t="s">
        <v>58</v>
      </c>
      <c r="H750" s="60" t="s">
        <v>501</v>
      </c>
      <c r="I750" s="60" t="s">
        <v>502</v>
      </c>
      <c r="J750" s="61">
        <v>1363.82</v>
      </c>
      <c r="K750" s="61">
        <v>688.09</v>
      </c>
      <c r="L750" s="62">
        <v>1653.28</v>
      </c>
      <c r="M750" s="64">
        <v>826.67499999999995</v>
      </c>
      <c r="N750" s="17" t="str">
        <f t="shared" si="40"/>
        <v>16650 ASSOCIATED PKG/TX MESQUITE</v>
      </c>
      <c r="O750" s="17" t="str">
        <f t="shared" si="41"/>
        <v>746204 SATELLITE WAREHOUSE 314US</v>
      </c>
      <c r="P750" s="17" t="str">
        <f t="shared" si="39"/>
        <v>HP 400 CLR-72mm x 50m-24 rls/cs-H (207852)</v>
      </c>
    </row>
    <row r="751" spans="1:16" x14ac:dyDescent="0.25">
      <c r="A751" s="60" t="s">
        <v>303</v>
      </c>
      <c r="B751" s="60" t="s">
        <v>850</v>
      </c>
      <c r="C751" s="60" t="s">
        <v>304</v>
      </c>
      <c r="D751" s="60" t="s">
        <v>131</v>
      </c>
      <c r="E751" s="60" t="s">
        <v>639</v>
      </c>
      <c r="F751" s="60" t="s">
        <v>640</v>
      </c>
      <c r="G751" s="60" t="s">
        <v>19</v>
      </c>
      <c r="H751" s="60" t="s">
        <v>243</v>
      </c>
      <c r="I751" s="60" t="s">
        <v>87</v>
      </c>
      <c r="J751" s="61">
        <v>3558.3</v>
      </c>
      <c r="K751" s="61"/>
      <c r="L751" s="62">
        <v>15111.36</v>
      </c>
      <c r="M751" s="63"/>
      <c r="N751" s="17" t="str">
        <f t="shared" si="40"/>
        <v>16650 ASSOCIATED PKG/TX MESQUITE</v>
      </c>
      <c r="O751" s="17" t="str">
        <f t="shared" si="41"/>
        <v>746277 SOUTHERN WAREHOUSING AND DIST</v>
      </c>
      <c r="P751" s="17" t="str">
        <f t="shared" si="39"/>
        <v>HP 100 CLR-48mm x 914m-6 rls/cs-S (208453)</v>
      </c>
    </row>
    <row r="752" spans="1:16" x14ac:dyDescent="0.25">
      <c r="A752" s="60" t="s">
        <v>303</v>
      </c>
      <c r="B752" s="60" t="s">
        <v>850</v>
      </c>
      <c r="C752" s="60" t="s">
        <v>304</v>
      </c>
      <c r="D752" s="60" t="s">
        <v>131</v>
      </c>
      <c r="E752" s="60" t="s">
        <v>672</v>
      </c>
      <c r="F752" s="60" t="s">
        <v>673</v>
      </c>
      <c r="G752" s="60" t="s">
        <v>18</v>
      </c>
      <c r="H752" s="60" t="s">
        <v>213</v>
      </c>
      <c r="I752" s="60" t="s">
        <v>157</v>
      </c>
      <c r="J752" s="61">
        <v>746.66</v>
      </c>
      <c r="K752" s="61"/>
      <c r="L752" s="62">
        <v>2833.38</v>
      </c>
      <c r="M752" s="63"/>
      <c r="N752" s="17" t="str">
        <f t="shared" si="40"/>
        <v>16650 ASSOCIATED PKG/TX MESQUITE</v>
      </c>
      <c r="O752" s="17" t="str">
        <f t="shared" si="41"/>
        <v>746858 CRESTONE BAKING CHICAGO</v>
      </c>
      <c r="P752" s="17" t="str">
        <f t="shared" si="39"/>
        <v>HP 200 CLR-48mm x 1371m-6 rls/cs-S (208511)</v>
      </c>
    </row>
    <row r="753" spans="1:16" x14ac:dyDescent="0.25">
      <c r="A753" s="60" t="s">
        <v>303</v>
      </c>
      <c r="B753" s="60" t="s">
        <v>850</v>
      </c>
      <c r="C753" s="60" t="s">
        <v>304</v>
      </c>
      <c r="D753" s="60" t="s">
        <v>131</v>
      </c>
      <c r="E753" s="60" t="s">
        <v>1178</v>
      </c>
      <c r="F753" s="60" t="s">
        <v>1179</v>
      </c>
      <c r="G753" s="60" t="s">
        <v>18</v>
      </c>
      <c r="H753" s="60" t="s">
        <v>219</v>
      </c>
      <c r="I753" s="60" t="s">
        <v>60</v>
      </c>
      <c r="J753" s="61">
        <v>282.74</v>
      </c>
      <c r="K753" s="61"/>
      <c r="L753" s="62">
        <v>1033.3</v>
      </c>
      <c r="M753" s="63"/>
      <c r="N753" s="17" t="str">
        <f t="shared" si="40"/>
        <v>16650 ASSOCIATED PKG/TX MESQUITE</v>
      </c>
      <c r="O753" s="17" t="str">
        <f t="shared" si="41"/>
        <v>747007 EAST JORDAN FOUNDRY LLC</v>
      </c>
      <c r="P753" s="17" t="str">
        <f t="shared" si="39"/>
        <v>HP 200 CLR-72mm x 100m-24 rls/cs-S (207233)</v>
      </c>
    </row>
    <row r="754" spans="1:16" x14ac:dyDescent="0.25">
      <c r="A754" s="60" t="s">
        <v>303</v>
      </c>
      <c r="B754" s="60" t="s">
        <v>850</v>
      </c>
      <c r="C754" s="60" t="s">
        <v>304</v>
      </c>
      <c r="D754" s="60" t="s">
        <v>131</v>
      </c>
      <c r="E754" s="60" t="s">
        <v>1180</v>
      </c>
      <c r="F754" s="60" t="s">
        <v>1181</v>
      </c>
      <c r="G754" s="60" t="s">
        <v>1182</v>
      </c>
      <c r="H754" s="60" t="s">
        <v>1183</v>
      </c>
      <c r="I754" s="60" t="s">
        <v>1184</v>
      </c>
      <c r="J754" s="61"/>
      <c r="K754" s="61">
        <v>267.06</v>
      </c>
      <c r="L754" s="62"/>
      <c r="M754" s="64">
        <v>113.66</v>
      </c>
      <c r="N754" s="17" t="str">
        <f t="shared" si="40"/>
        <v>16650 ASSOCIATED PKG/TX MESQUITE</v>
      </c>
      <c r="O754" s="17" t="str">
        <f t="shared" si="41"/>
        <v>747281 THE CONTAINER STORE</v>
      </c>
      <c r="P754" s="17" t="str">
        <f t="shared" si="39"/>
        <v>GS 521 CLR-18mm x 55m-48 rls/cs-H (101374)</v>
      </c>
    </row>
    <row r="755" spans="1:16" x14ac:dyDescent="0.25">
      <c r="A755" s="60" t="s">
        <v>303</v>
      </c>
      <c r="B755" s="60" t="s">
        <v>850</v>
      </c>
      <c r="C755" s="60" t="s">
        <v>304</v>
      </c>
      <c r="D755" s="60" t="s">
        <v>131</v>
      </c>
      <c r="E755" s="60" t="s">
        <v>1180</v>
      </c>
      <c r="F755" s="60" t="s">
        <v>1181</v>
      </c>
      <c r="G755" s="60" t="s">
        <v>70</v>
      </c>
      <c r="H755" s="60" t="s">
        <v>1185</v>
      </c>
      <c r="I755" s="60" t="s">
        <v>1186</v>
      </c>
      <c r="J755" s="61"/>
      <c r="K755" s="61">
        <v>18822.22</v>
      </c>
      <c r="L755" s="62"/>
      <c r="M755" s="63">
        <v>34002.720000000001</v>
      </c>
      <c r="N755" s="17" t="str">
        <f t="shared" si="40"/>
        <v>16650 ASSOCIATED PKG/TX MESQUITE</v>
      </c>
      <c r="O755" s="17" t="str">
        <f t="shared" si="41"/>
        <v>747281 THE CONTAINER STORE</v>
      </c>
      <c r="P755" s="17" t="str">
        <f t="shared" si="39"/>
        <v>HP 235 BLU CONTAIN-72mmx914m-4 rls/cs-NS (105660)</v>
      </c>
    </row>
    <row r="756" spans="1:16" x14ac:dyDescent="0.25">
      <c r="A756" s="60" t="s">
        <v>303</v>
      </c>
      <c r="B756" s="60" t="s">
        <v>850</v>
      </c>
      <c r="C756" s="60" t="s">
        <v>304</v>
      </c>
      <c r="D756" s="60" t="s">
        <v>131</v>
      </c>
      <c r="E756" s="60" t="s">
        <v>1187</v>
      </c>
      <c r="F756" s="60" t="s">
        <v>1188</v>
      </c>
      <c r="G756" s="60" t="s">
        <v>1496</v>
      </c>
      <c r="H756" s="60" t="s">
        <v>1497</v>
      </c>
      <c r="I756" s="60" t="s">
        <v>1498</v>
      </c>
      <c r="J756" s="61"/>
      <c r="K756" s="61">
        <v>49.9</v>
      </c>
      <c r="L756" s="62"/>
      <c r="M756" s="63">
        <v>56.83</v>
      </c>
      <c r="N756" s="17" t="str">
        <f t="shared" si="40"/>
        <v>16650 ASSOCIATED PKG/TX MESQUITE</v>
      </c>
      <c r="O756" s="17" t="str">
        <f t="shared" si="41"/>
        <v>747287 TRI C  BUSINESS FORMS INC</v>
      </c>
      <c r="P756" s="17" t="str">
        <f t="shared" si="39"/>
        <v>CP 101 NAT-18mm x 55m-48 rls/cs-H/T (202005)</v>
      </c>
    </row>
    <row r="757" spans="1:16" x14ac:dyDescent="0.25">
      <c r="A757" s="60" t="s">
        <v>303</v>
      </c>
      <c r="B757" s="60" t="s">
        <v>850</v>
      </c>
      <c r="C757" s="60" t="s">
        <v>304</v>
      </c>
      <c r="D757" s="60" t="s">
        <v>131</v>
      </c>
      <c r="E757" s="60" t="s">
        <v>1187</v>
      </c>
      <c r="F757" s="60" t="s">
        <v>1188</v>
      </c>
      <c r="G757" s="60" t="s">
        <v>72</v>
      </c>
      <c r="H757" s="60" t="s">
        <v>1189</v>
      </c>
      <c r="I757" s="60" t="s">
        <v>1190</v>
      </c>
      <c r="J757" s="61"/>
      <c r="K757" s="61">
        <v>149.69</v>
      </c>
      <c r="L757" s="62"/>
      <c r="M757" s="64">
        <v>51.667000000000002</v>
      </c>
      <c r="N757" s="17" t="str">
        <f t="shared" si="40"/>
        <v>16650 ASSOCIATED PKG/TX MESQUITE</v>
      </c>
      <c r="O757" s="17" t="str">
        <f t="shared" si="41"/>
        <v>747287 TRI C  BUSINESS FORMS INC</v>
      </c>
      <c r="P757" s="17" t="str">
        <f t="shared" si="39"/>
        <v>DT 200 GLA-12mm x 50m-72 rls/cs-H (232170)</v>
      </c>
    </row>
    <row r="758" spans="1:16" x14ac:dyDescent="0.25">
      <c r="A758" s="60" t="s">
        <v>303</v>
      </c>
      <c r="B758" s="60" t="s">
        <v>850</v>
      </c>
      <c r="C758" s="60" t="s">
        <v>304</v>
      </c>
      <c r="D758" s="60" t="s">
        <v>131</v>
      </c>
      <c r="E758" s="60" t="s">
        <v>1191</v>
      </c>
      <c r="F758" s="60" t="s">
        <v>640</v>
      </c>
      <c r="G758" s="60" t="s">
        <v>56</v>
      </c>
      <c r="H758" s="60" t="s">
        <v>444</v>
      </c>
      <c r="I758" s="60" t="s">
        <v>859</v>
      </c>
      <c r="J758" s="61"/>
      <c r="K758" s="61">
        <v>3167.68</v>
      </c>
      <c r="L758" s="65"/>
      <c r="M758" s="64">
        <v>15111.647999999999</v>
      </c>
      <c r="N758" s="17" t="str">
        <f t="shared" si="40"/>
        <v>16650 ASSOCIATED PKG/TX MESQUITE</v>
      </c>
      <c r="O758" s="17" t="str">
        <f t="shared" si="41"/>
        <v>747449 SOUTHERN WAREHOUSING AND DIST</v>
      </c>
      <c r="P758" s="17" t="str">
        <f t="shared" si="39"/>
        <v>AP 101 CLR-48mm x 914m-6 rls/cs-S (230960)</v>
      </c>
    </row>
    <row r="759" spans="1:16" x14ac:dyDescent="0.25">
      <c r="A759" s="60" t="s">
        <v>303</v>
      </c>
      <c r="B759" s="60" t="s">
        <v>850</v>
      </c>
      <c r="C759" s="60" t="s">
        <v>304</v>
      </c>
      <c r="D759" s="60" t="s">
        <v>131</v>
      </c>
      <c r="E759" s="60" t="s">
        <v>1191</v>
      </c>
      <c r="F759" s="60" t="s">
        <v>640</v>
      </c>
      <c r="G759" s="60" t="s">
        <v>19</v>
      </c>
      <c r="H759" s="60" t="s">
        <v>243</v>
      </c>
      <c r="I759" s="60" t="s">
        <v>87</v>
      </c>
      <c r="J759" s="61">
        <v>3735.07</v>
      </c>
      <c r="K759" s="61"/>
      <c r="L759" s="65">
        <v>15111.36</v>
      </c>
      <c r="M759" s="64"/>
      <c r="N759" s="17" t="str">
        <f t="shared" si="40"/>
        <v>16650 ASSOCIATED PKG/TX MESQUITE</v>
      </c>
      <c r="O759" s="17" t="str">
        <f t="shared" si="41"/>
        <v>747449 SOUTHERN WAREHOUSING AND DIST</v>
      </c>
      <c r="P759" s="17" t="str">
        <f t="shared" si="39"/>
        <v>HP 100 CLR-48mm x 914m-6 rls/cs-S (208453)</v>
      </c>
    </row>
    <row r="760" spans="1:16" x14ac:dyDescent="0.25">
      <c r="A760" s="60" t="s">
        <v>303</v>
      </c>
      <c r="B760" s="60" t="s">
        <v>850</v>
      </c>
      <c r="C760" s="60" t="s">
        <v>304</v>
      </c>
      <c r="D760" s="60" t="s">
        <v>131</v>
      </c>
      <c r="E760" s="60" t="s">
        <v>1191</v>
      </c>
      <c r="F760" s="60" t="s">
        <v>640</v>
      </c>
      <c r="G760" s="60" t="s">
        <v>18</v>
      </c>
      <c r="H760" s="60" t="s">
        <v>212</v>
      </c>
      <c r="I760" s="60" t="s">
        <v>86</v>
      </c>
      <c r="J760" s="61"/>
      <c r="K760" s="61">
        <v>4171.3100000000004</v>
      </c>
      <c r="L760" s="62"/>
      <c r="M760" s="64">
        <v>15111.36</v>
      </c>
      <c r="N760" s="17" t="str">
        <f t="shared" si="40"/>
        <v>16650 ASSOCIATED PKG/TX MESQUITE</v>
      </c>
      <c r="O760" s="17" t="str">
        <f t="shared" si="41"/>
        <v>747449 SOUTHERN WAREHOUSING AND DIST</v>
      </c>
      <c r="P760" s="17" t="str">
        <f t="shared" si="39"/>
        <v>HP 200 CLR-48mm x 914m-6 rls/cs-S (208492)</v>
      </c>
    </row>
    <row r="761" spans="1:16" x14ac:dyDescent="0.25">
      <c r="A761" s="60" t="s">
        <v>303</v>
      </c>
      <c r="B761" s="60" t="s">
        <v>850</v>
      </c>
      <c r="C761" s="60" t="s">
        <v>304</v>
      </c>
      <c r="D761" s="60" t="s">
        <v>131</v>
      </c>
      <c r="E761" s="60" t="s">
        <v>1192</v>
      </c>
      <c r="F761" s="60" t="s">
        <v>1193</v>
      </c>
      <c r="G761" s="60" t="s">
        <v>63</v>
      </c>
      <c r="H761" s="60" t="s">
        <v>1194</v>
      </c>
      <c r="I761" s="60" t="s">
        <v>1195</v>
      </c>
      <c r="J761" s="61"/>
      <c r="K761" s="61">
        <v>9671.2800000000007</v>
      </c>
      <c r="L761" s="65"/>
      <c r="M761" s="64">
        <v>30221.867999999999</v>
      </c>
      <c r="N761" s="17" t="str">
        <f t="shared" si="40"/>
        <v>16650 ASSOCIATED PKG/TX MESQUITE</v>
      </c>
      <c r="O761" s="17" t="str">
        <f t="shared" si="41"/>
        <v>747499 DEL REAL FOODS</v>
      </c>
      <c r="P761" s="17" t="str">
        <f t="shared" si="39"/>
        <v>AP 180 CLR-48mm x 914m-6 rls/cs-H/A (231046)</v>
      </c>
    </row>
    <row r="762" spans="1:16" x14ac:dyDescent="0.25">
      <c r="A762" s="60" t="s">
        <v>303</v>
      </c>
      <c r="B762" s="60" t="s">
        <v>850</v>
      </c>
      <c r="C762" s="60" t="s">
        <v>304</v>
      </c>
      <c r="D762" s="60" t="s">
        <v>131</v>
      </c>
      <c r="E762" s="60" t="s">
        <v>1192</v>
      </c>
      <c r="F762" s="60" t="s">
        <v>1193</v>
      </c>
      <c r="G762" s="60" t="s">
        <v>1151</v>
      </c>
      <c r="H762" s="60" t="s">
        <v>1755</v>
      </c>
      <c r="I762" s="60" t="s">
        <v>1756</v>
      </c>
      <c r="J762" s="61"/>
      <c r="K762" s="61">
        <v>10</v>
      </c>
      <c r="L762" s="62"/>
      <c r="M762" s="63">
        <v>0</v>
      </c>
      <c r="N762" s="17" t="str">
        <f t="shared" si="40"/>
        <v>16650 ASSOCIATED PKG/TX MESQUITE</v>
      </c>
      <c r="O762" s="17" t="str">
        <f t="shared" si="41"/>
        <v>747499 DEL REAL FOODS</v>
      </c>
      <c r="P762" s="17" t="str">
        <f t="shared" si="39"/>
        <v>BESTPACK STD MOUNTING PLATES - REAR (901625)</v>
      </c>
    </row>
    <row r="763" spans="1:16" x14ac:dyDescent="0.25">
      <c r="A763" s="60" t="s">
        <v>303</v>
      </c>
      <c r="B763" s="60" t="s">
        <v>850</v>
      </c>
      <c r="C763" s="60" t="s">
        <v>304</v>
      </c>
      <c r="D763" s="60" t="s">
        <v>131</v>
      </c>
      <c r="E763" s="60" t="s">
        <v>1192</v>
      </c>
      <c r="F763" s="60" t="s">
        <v>1193</v>
      </c>
      <c r="G763" s="60" t="s">
        <v>1151</v>
      </c>
      <c r="H763" s="60" t="s">
        <v>1757</v>
      </c>
      <c r="I763" s="60" t="s">
        <v>1758</v>
      </c>
      <c r="J763" s="61"/>
      <c r="K763" s="61">
        <v>10</v>
      </c>
      <c r="L763" s="65"/>
      <c r="M763" s="64">
        <v>0</v>
      </c>
      <c r="N763" s="17" t="str">
        <f t="shared" si="40"/>
        <v>16650 ASSOCIATED PKG/TX MESQUITE</v>
      </c>
      <c r="O763" s="17" t="str">
        <f t="shared" si="41"/>
        <v>747499 DEL REAL FOODS</v>
      </c>
      <c r="P763" s="17" t="str">
        <f t="shared" si="39"/>
        <v>BEST PACK FRONT MOUNTING PLATE (902016)</v>
      </c>
    </row>
    <row r="764" spans="1:16" x14ac:dyDescent="0.25">
      <c r="A764" s="60" t="s">
        <v>303</v>
      </c>
      <c r="B764" s="60" t="s">
        <v>850</v>
      </c>
      <c r="C764" s="60" t="s">
        <v>304</v>
      </c>
      <c r="D764" s="60" t="s">
        <v>131</v>
      </c>
      <c r="E764" s="60" t="s">
        <v>1759</v>
      </c>
      <c r="F764" s="60" t="s">
        <v>1760</v>
      </c>
      <c r="G764" s="60" t="s">
        <v>61</v>
      </c>
      <c r="H764" s="60" t="s">
        <v>289</v>
      </c>
      <c r="I764" s="60" t="s">
        <v>154</v>
      </c>
      <c r="J764" s="61">
        <v>2680.13</v>
      </c>
      <c r="K764" s="61"/>
      <c r="L764" s="65">
        <v>6197.91</v>
      </c>
      <c r="M764" s="64"/>
      <c r="N764" s="17" t="str">
        <f t="shared" si="40"/>
        <v>16650 ASSOCIATED PKG/TX MESQUITE</v>
      </c>
      <c r="O764" s="17" t="str">
        <f t="shared" si="41"/>
        <v>747568 CHEWY.COM (RNO)</v>
      </c>
      <c r="P764" s="17" t="str">
        <f t="shared" si="39"/>
        <v>HP 500 CLR-72mm x 50m-24 rls/cs-H/A (207775)</v>
      </c>
    </row>
    <row r="765" spans="1:16" x14ac:dyDescent="0.25">
      <c r="A765" s="60" t="s">
        <v>303</v>
      </c>
      <c r="B765" s="60" t="s">
        <v>850</v>
      </c>
      <c r="C765" s="60" t="s">
        <v>304</v>
      </c>
      <c r="D765" s="60" t="s">
        <v>131</v>
      </c>
      <c r="E765" s="60" t="s">
        <v>1759</v>
      </c>
      <c r="F765" s="60" t="s">
        <v>1760</v>
      </c>
      <c r="G765" s="60" t="s">
        <v>61</v>
      </c>
      <c r="H765" s="60" t="s">
        <v>306</v>
      </c>
      <c r="I765" s="60" t="s">
        <v>160</v>
      </c>
      <c r="J765" s="61">
        <v>10053.33</v>
      </c>
      <c r="K765" s="61"/>
      <c r="L765" s="62">
        <v>22667.261999999999</v>
      </c>
      <c r="M765" s="63"/>
      <c r="N765" s="17" t="str">
        <f t="shared" si="40"/>
        <v>16650 ASSOCIATED PKG/TX MESQUITE</v>
      </c>
      <c r="O765" s="17" t="str">
        <f t="shared" si="41"/>
        <v>747568 CHEWY.COM (RNO)</v>
      </c>
      <c r="P765" s="17" t="str">
        <f t="shared" si="39"/>
        <v>HP 500 CLR-72mm x 914m-4 rls/cs-S (208571)</v>
      </c>
    </row>
    <row r="766" spans="1:16" x14ac:dyDescent="0.25">
      <c r="A766" s="60" t="s">
        <v>303</v>
      </c>
      <c r="B766" s="60" t="s">
        <v>850</v>
      </c>
      <c r="C766" s="60" t="s">
        <v>304</v>
      </c>
      <c r="D766" s="60" t="s">
        <v>131</v>
      </c>
      <c r="E766" s="60" t="s">
        <v>1759</v>
      </c>
      <c r="F766" s="60" t="s">
        <v>1760</v>
      </c>
      <c r="G766" s="60" t="s">
        <v>205</v>
      </c>
      <c r="H766" s="60" t="s">
        <v>231</v>
      </c>
      <c r="I766" s="60" t="s">
        <v>379</v>
      </c>
      <c r="J766" s="61">
        <v>0</v>
      </c>
      <c r="K766" s="61"/>
      <c r="L766" s="62">
        <v>2E-3</v>
      </c>
      <c r="M766" s="64"/>
      <c r="N766" s="17" t="str">
        <f t="shared" si="40"/>
        <v>16650 ASSOCIATED PKG/TX MESQUITE</v>
      </c>
      <c r="O766" s="17" t="str">
        <f t="shared" si="41"/>
        <v>747568 CHEWY.COM (RNO)</v>
      </c>
      <c r="P766" s="17" t="str">
        <f t="shared" si="39"/>
        <v>SD 935  PISTOL GRIP DISPNSR-3 IN. ROLL-S (909535)</v>
      </c>
    </row>
    <row r="767" spans="1:16" x14ac:dyDescent="0.25">
      <c r="A767" s="60" t="s">
        <v>303</v>
      </c>
      <c r="B767" s="60" t="s">
        <v>850</v>
      </c>
      <c r="C767" s="60" t="s">
        <v>304</v>
      </c>
      <c r="D767" s="60" t="s">
        <v>131</v>
      </c>
      <c r="E767" s="60" t="s">
        <v>1196</v>
      </c>
      <c r="F767" s="60" t="s">
        <v>1197</v>
      </c>
      <c r="G767" s="60" t="s">
        <v>18</v>
      </c>
      <c r="H767" s="60" t="s">
        <v>212</v>
      </c>
      <c r="I767" s="60" t="s">
        <v>86</v>
      </c>
      <c r="J767" s="61"/>
      <c r="K767" s="61">
        <v>7042.46</v>
      </c>
      <c r="L767" s="62"/>
      <c r="M767" s="63">
        <v>30222.720000000001</v>
      </c>
      <c r="N767" s="17" t="str">
        <f t="shared" si="40"/>
        <v>16650 ASSOCIATED PKG/TX MESQUITE</v>
      </c>
      <c r="O767" s="17" t="str">
        <f t="shared" si="41"/>
        <v>749715 FIESTA TORTILLAS</v>
      </c>
      <c r="P767" s="17" t="str">
        <f t="shared" si="39"/>
        <v>HP 200 CLR-48mm x 914m-6 rls/cs-S (208492)</v>
      </c>
    </row>
    <row r="768" spans="1:16" x14ac:dyDescent="0.25">
      <c r="A768" s="60" t="s">
        <v>303</v>
      </c>
      <c r="B768" s="60" t="s">
        <v>850</v>
      </c>
      <c r="C768" s="60" t="s">
        <v>304</v>
      </c>
      <c r="D768" s="60" t="s">
        <v>131</v>
      </c>
      <c r="E768" s="60" t="s">
        <v>1198</v>
      </c>
      <c r="F768" s="60" t="s">
        <v>1181</v>
      </c>
      <c r="G768" s="60" t="s">
        <v>70</v>
      </c>
      <c r="H768" s="60" t="s">
        <v>361</v>
      </c>
      <c r="I768" s="60" t="s">
        <v>362</v>
      </c>
      <c r="J768" s="61"/>
      <c r="K768" s="61">
        <v>697.12</v>
      </c>
      <c r="L768" s="62"/>
      <c r="M768" s="63">
        <v>1259.3599999999999</v>
      </c>
      <c r="N768" s="17" t="str">
        <f t="shared" si="40"/>
        <v>16650 ASSOCIATED PKG/TX MESQUITE</v>
      </c>
      <c r="O768" s="17" t="str">
        <f t="shared" si="41"/>
        <v>750170 THE CONTAINER STORE</v>
      </c>
      <c r="P768" s="17" t="str">
        <f t="shared" si="39"/>
        <v>HP 235 CLR-72mm x 914m-4 rls/cs-H (150721)</v>
      </c>
    </row>
    <row r="769" spans="1:16" x14ac:dyDescent="0.25">
      <c r="A769" s="60" t="s">
        <v>303</v>
      </c>
      <c r="B769" s="60" t="s">
        <v>850</v>
      </c>
      <c r="C769" s="60" t="s">
        <v>304</v>
      </c>
      <c r="D769" s="60" t="s">
        <v>131</v>
      </c>
      <c r="E769" s="60" t="s">
        <v>1499</v>
      </c>
      <c r="F769" s="60" t="s">
        <v>1500</v>
      </c>
      <c r="G769" s="60" t="s">
        <v>61</v>
      </c>
      <c r="H769" s="60" t="s">
        <v>289</v>
      </c>
      <c r="I769" s="60" t="s">
        <v>154</v>
      </c>
      <c r="J769" s="61"/>
      <c r="K769" s="61">
        <v>5616.86</v>
      </c>
      <c r="L769" s="62"/>
      <c r="M769" s="63">
        <v>12395.82</v>
      </c>
      <c r="N769" s="17" t="str">
        <f t="shared" si="40"/>
        <v>16650 ASSOCIATED PKG/TX MESQUITE</v>
      </c>
      <c r="O769" s="17" t="str">
        <f t="shared" si="41"/>
        <v>750822 CHEWY - BNA</v>
      </c>
      <c r="P769" s="17" t="str">
        <f t="shared" si="39"/>
        <v>HP 500 CLR-72mm x 50m-24 rls/cs-H/A (207775)</v>
      </c>
    </row>
    <row r="770" spans="1:16" x14ac:dyDescent="0.25">
      <c r="A770" s="60" t="s">
        <v>303</v>
      </c>
      <c r="B770" s="60" t="s">
        <v>850</v>
      </c>
      <c r="C770" s="60" t="s">
        <v>304</v>
      </c>
      <c r="D770" s="60" t="s">
        <v>131</v>
      </c>
      <c r="E770" s="60" t="s">
        <v>1499</v>
      </c>
      <c r="F770" s="60" t="s">
        <v>1500</v>
      </c>
      <c r="G770" s="60" t="s">
        <v>61</v>
      </c>
      <c r="H770" s="60" t="s">
        <v>306</v>
      </c>
      <c r="I770" s="60" t="s">
        <v>160</v>
      </c>
      <c r="J770" s="61"/>
      <c r="K770" s="61">
        <v>36573.78</v>
      </c>
      <c r="L770" s="62"/>
      <c r="M770" s="63">
        <v>79335.415999999997</v>
      </c>
      <c r="N770" s="17" t="str">
        <f t="shared" si="40"/>
        <v>16650 ASSOCIATED PKG/TX MESQUITE</v>
      </c>
      <c r="O770" s="17" t="str">
        <f t="shared" si="41"/>
        <v>750822 CHEWY - BNA</v>
      </c>
      <c r="P770" s="17" t="str">
        <f t="shared" si="39"/>
        <v>HP 500 CLR-72mm x 914m-4 rls/cs-S (208571)</v>
      </c>
    </row>
    <row r="771" spans="1:16" x14ac:dyDescent="0.25">
      <c r="A771" s="60" t="s">
        <v>303</v>
      </c>
      <c r="B771" s="60" t="s">
        <v>850</v>
      </c>
      <c r="C771" s="60" t="s">
        <v>304</v>
      </c>
      <c r="D771" s="60" t="s">
        <v>131</v>
      </c>
      <c r="E771" s="60" t="s">
        <v>1199</v>
      </c>
      <c r="F771" s="60" t="s">
        <v>1200</v>
      </c>
      <c r="G771" s="60" t="s">
        <v>669</v>
      </c>
      <c r="H771" s="60" t="s">
        <v>670</v>
      </c>
      <c r="I771" s="60" t="s">
        <v>671</v>
      </c>
      <c r="J771" s="61"/>
      <c r="K771" s="61">
        <v>262.31</v>
      </c>
      <c r="L771" s="62"/>
      <c r="M771" s="63">
        <v>170.5</v>
      </c>
      <c r="N771" s="17" t="str">
        <f t="shared" si="40"/>
        <v>16650 ASSOCIATED PKG/TX MESQUITE</v>
      </c>
      <c r="O771" s="17" t="str">
        <f t="shared" si="41"/>
        <v>750934 CARDINAL HEALTH</v>
      </c>
      <c r="P771" s="17" t="str">
        <f t="shared" si="39"/>
        <v>PP 808 RED- 9MM X 165M- 96 RLS/CS-H/A (202420)</v>
      </c>
    </row>
    <row r="772" spans="1:16" x14ac:dyDescent="0.25">
      <c r="A772" s="60" t="s">
        <v>303</v>
      </c>
      <c r="B772" s="60" t="s">
        <v>850</v>
      </c>
      <c r="C772" s="60" t="s">
        <v>304</v>
      </c>
      <c r="D772" s="60" t="s">
        <v>131</v>
      </c>
      <c r="E772" s="60" t="s">
        <v>1201</v>
      </c>
      <c r="F772" s="60" t="s">
        <v>1202</v>
      </c>
      <c r="G772" s="60" t="s">
        <v>23</v>
      </c>
      <c r="H772" s="60" t="s">
        <v>462</v>
      </c>
      <c r="I772" s="60" t="s">
        <v>463</v>
      </c>
      <c r="J772" s="61"/>
      <c r="K772" s="61">
        <v>193.88</v>
      </c>
      <c r="L772" s="62"/>
      <c r="M772" s="63">
        <v>303.12</v>
      </c>
      <c r="N772" s="17" t="str">
        <f t="shared" si="40"/>
        <v>16650 ASSOCIATED PKG/TX MESQUITE</v>
      </c>
      <c r="O772" s="17" t="str">
        <f t="shared" si="41"/>
        <v>750942 SETECH SCS LLC /PATRICK IND</v>
      </c>
      <c r="P772" s="17" t="str">
        <f t="shared" ref="P772:P835" si="42">I772&amp;" ("&amp;H772&amp;")"</f>
        <v>CP 105 NAT-48mm x 55m-24 rls/cs-S (120407)</v>
      </c>
    </row>
    <row r="773" spans="1:16" x14ac:dyDescent="0.25">
      <c r="A773" s="60" t="s">
        <v>303</v>
      </c>
      <c r="B773" s="60" t="s">
        <v>850</v>
      </c>
      <c r="C773" s="60" t="s">
        <v>304</v>
      </c>
      <c r="D773" s="60" t="s">
        <v>131</v>
      </c>
      <c r="E773" s="60" t="s">
        <v>1201</v>
      </c>
      <c r="F773" s="60" t="s">
        <v>1202</v>
      </c>
      <c r="G773" s="60" t="s">
        <v>23</v>
      </c>
      <c r="H773" s="60" t="s">
        <v>477</v>
      </c>
      <c r="I773" s="60" t="s">
        <v>478</v>
      </c>
      <c r="J773" s="61"/>
      <c r="K773" s="61">
        <v>77.7</v>
      </c>
      <c r="L773" s="62"/>
      <c r="M773" s="63">
        <v>113.66</v>
      </c>
      <c r="N773" s="17" t="str">
        <f t="shared" si="40"/>
        <v>16650 ASSOCIATED PKG/TX MESQUITE</v>
      </c>
      <c r="O773" s="17" t="str">
        <f t="shared" si="41"/>
        <v>750942 SETECH SCS LLC /PATRICK IND</v>
      </c>
      <c r="P773" s="17" t="str">
        <f t="shared" si="42"/>
        <v>CP 105 NAT-24mm x 55m- 36 rls/cs-S (140431)</v>
      </c>
    </row>
    <row r="774" spans="1:16" x14ac:dyDescent="0.25">
      <c r="A774" s="60" t="s">
        <v>303</v>
      </c>
      <c r="B774" s="60" t="s">
        <v>850</v>
      </c>
      <c r="C774" s="60" t="s">
        <v>304</v>
      </c>
      <c r="D774" s="60" t="s">
        <v>131</v>
      </c>
      <c r="E774" s="60" t="s">
        <v>1201</v>
      </c>
      <c r="F774" s="60" t="s">
        <v>1202</v>
      </c>
      <c r="G774" s="60" t="s">
        <v>19</v>
      </c>
      <c r="H774" s="60" t="s">
        <v>233</v>
      </c>
      <c r="I774" s="60" t="s">
        <v>49</v>
      </c>
      <c r="J774" s="61"/>
      <c r="K774" s="61">
        <v>106.92</v>
      </c>
      <c r="L774" s="62"/>
      <c r="M774" s="63">
        <v>413.32</v>
      </c>
      <c r="N774" s="17" t="str">
        <f t="shared" si="40"/>
        <v>16650 ASSOCIATED PKG/TX MESQUITE</v>
      </c>
      <c r="O774" s="17" t="str">
        <f t="shared" si="41"/>
        <v>750942 SETECH SCS LLC /PATRICK IND</v>
      </c>
      <c r="P774" s="17" t="str">
        <f t="shared" si="42"/>
        <v>HP 100 CLR-48mm x 100m-36 rls/cs-S (207142)</v>
      </c>
    </row>
    <row r="775" spans="1:16" x14ac:dyDescent="0.25">
      <c r="A775" s="60" t="s">
        <v>303</v>
      </c>
      <c r="B775" s="60" t="s">
        <v>850</v>
      </c>
      <c r="C775" s="60" t="s">
        <v>304</v>
      </c>
      <c r="D775" s="60" t="s">
        <v>131</v>
      </c>
      <c r="E775" s="60" t="s">
        <v>1501</v>
      </c>
      <c r="F775" s="60" t="s">
        <v>1502</v>
      </c>
      <c r="G775" s="60" t="s">
        <v>18</v>
      </c>
      <c r="H775" s="60" t="s">
        <v>213</v>
      </c>
      <c r="I775" s="60" t="s">
        <v>157</v>
      </c>
      <c r="J775" s="61"/>
      <c r="K775" s="61">
        <v>4693.79</v>
      </c>
      <c r="L775" s="62"/>
      <c r="M775" s="63">
        <v>17000.28</v>
      </c>
      <c r="N775" s="17" t="str">
        <f t="shared" si="40"/>
        <v>16650 ASSOCIATED PKG/TX MESQUITE</v>
      </c>
      <c r="O775" s="17" t="str">
        <f t="shared" si="41"/>
        <v>751666 SHAWNEE MILLING</v>
      </c>
      <c r="P775" s="17" t="str">
        <f t="shared" si="42"/>
        <v>HP 200 CLR-48mm x 1371m-6 rls/cs-S (208511)</v>
      </c>
    </row>
    <row r="776" spans="1:16" x14ac:dyDescent="0.25">
      <c r="A776" s="60" t="s">
        <v>303</v>
      </c>
      <c r="B776" s="60" t="s">
        <v>850</v>
      </c>
      <c r="C776" s="60" t="s">
        <v>304</v>
      </c>
      <c r="D776" s="60" t="s">
        <v>131</v>
      </c>
      <c r="E776" s="60" t="s">
        <v>1761</v>
      </c>
      <c r="F776" s="60" t="s">
        <v>1762</v>
      </c>
      <c r="G776" s="60" t="s">
        <v>61</v>
      </c>
      <c r="H776" s="60" t="s">
        <v>289</v>
      </c>
      <c r="I776" s="60" t="s">
        <v>154</v>
      </c>
      <c r="J776" s="61"/>
      <c r="K776" s="61">
        <v>2808.43</v>
      </c>
      <c r="L776" s="62"/>
      <c r="M776" s="64">
        <v>6197.91</v>
      </c>
      <c r="N776" s="17" t="str">
        <f t="shared" si="40"/>
        <v>16650 ASSOCIATED PKG/TX MESQUITE</v>
      </c>
      <c r="O776" s="17" t="str">
        <f t="shared" si="41"/>
        <v>751830 CHEWY.COM - HOU</v>
      </c>
      <c r="P776" s="17" t="str">
        <f t="shared" si="42"/>
        <v>HP 500 CLR-72mm x 50m-24 rls/cs-H/A (207775)</v>
      </c>
    </row>
    <row r="777" spans="1:16" x14ac:dyDescent="0.25">
      <c r="A777" s="60" t="s">
        <v>303</v>
      </c>
      <c r="B777" s="60" t="s">
        <v>850</v>
      </c>
      <c r="C777" s="60" t="s">
        <v>304</v>
      </c>
      <c r="D777" s="60" t="s">
        <v>131</v>
      </c>
      <c r="E777" s="60" t="s">
        <v>1761</v>
      </c>
      <c r="F777" s="60" t="s">
        <v>1762</v>
      </c>
      <c r="G777" s="60" t="s">
        <v>61</v>
      </c>
      <c r="H777" s="60" t="s">
        <v>306</v>
      </c>
      <c r="I777" s="60" t="s">
        <v>160</v>
      </c>
      <c r="J777" s="61"/>
      <c r="K777" s="61">
        <v>5224.83</v>
      </c>
      <c r="L777" s="62"/>
      <c r="M777" s="63">
        <v>11333.630999999999</v>
      </c>
      <c r="N777" s="17" t="str">
        <f t="shared" si="40"/>
        <v>16650 ASSOCIATED PKG/TX MESQUITE</v>
      </c>
      <c r="O777" s="17" t="str">
        <f t="shared" si="41"/>
        <v>751830 CHEWY.COM - HOU</v>
      </c>
      <c r="P777" s="17" t="str">
        <f t="shared" si="42"/>
        <v>HP 500 CLR-72mm x 914m-4 rls/cs-S (208571)</v>
      </c>
    </row>
    <row r="778" spans="1:16" x14ac:dyDescent="0.25">
      <c r="A778" s="60" t="s">
        <v>674</v>
      </c>
      <c r="B778" s="60" t="s">
        <v>675</v>
      </c>
      <c r="C778" s="60" t="s">
        <v>259</v>
      </c>
      <c r="D778" s="60" t="s">
        <v>116</v>
      </c>
      <c r="E778" s="60" t="s">
        <v>259</v>
      </c>
      <c r="F778" s="60" t="s">
        <v>116</v>
      </c>
      <c r="G778" s="60" t="s">
        <v>56</v>
      </c>
      <c r="H778" s="60" t="s">
        <v>1503</v>
      </c>
      <c r="I778" s="60" t="s">
        <v>1504</v>
      </c>
      <c r="J778" s="61">
        <v>128.41999999999999</v>
      </c>
      <c r="K778" s="61">
        <v>1698.96</v>
      </c>
      <c r="L778" s="62">
        <v>472.25299999999999</v>
      </c>
      <c r="M778" s="63">
        <v>6611.5360000000001</v>
      </c>
      <c r="N778" s="17" t="str">
        <f t="shared" si="40"/>
        <v>7841 ASSOCIATED PKG/TN MEMPHIS</v>
      </c>
      <c r="O778" s="17" t="str">
        <f t="shared" si="41"/>
        <v>7841 ASSOCIATED PKG/TN MEMPHIS</v>
      </c>
      <c r="P778" s="17" t="str">
        <f t="shared" si="42"/>
        <v>AP 101 CLR-48mm x 1371m-6 rls/cs-H (231059)</v>
      </c>
    </row>
    <row r="779" spans="1:16" x14ac:dyDescent="0.25">
      <c r="A779" s="60" t="s">
        <v>674</v>
      </c>
      <c r="B779" s="60" t="s">
        <v>675</v>
      </c>
      <c r="C779" s="60" t="s">
        <v>259</v>
      </c>
      <c r="D779" s="60" t="s">
        <v>116</v>
      </c>
      <c r="E779" s="60" t="s">
        <v>259</v>
      </c>
      <c r="F779" s="60" t="s">
        <v>116</v>
      </c>
      <c r="G779" s="60" t="s">
        <v>449</v>
      </c>
      <c r="H779" s="60" t="s">
        <v>450</v>
      </c>
      <c r="I779" s="60" t="s">
        <v>870</v>
      </c>
      <c r="J779" s="61">
        <v>136.86000000000001</v>
      </c>
      <c r="K779" s="61"/>
      <c r="L779" s="62">
        <v>170.49</v>
      </c>
      <c r="M779" s="63"/>
      <c r="N779" s="17" t="str">
        <f t="shared" si="40"/>
        <v>7841 ASSOCIATED PKG/TN MEMPHIS</v>
      </c>
      <c r="O779" s="17" t="str">
        <f t="shared" si="41"/>
        <v>7841 ASSOCIATED PKG/TN MEMPHIS</v>
      </c>
      <c r="P779" s="17" t="str">
        <f t="shared" si="42"/>
        <v>CP 066 NAT-24mm x 55m-36 rls/cs-X (172840)</v>
      </c>
    </row>
    <row r="780" spans="1:16" x14ac:dyDescent="0.25">
      <c r="A780" s="60" t="s">
        <v>674</v>
      </c>
      <c r="B780" s="60" t="s">
        <v>675</v>
      </c>
      <c r="C780" s="60" t="s">
        <v>259</v>
      </c>
      <c r="D780" s="60" t="s">
        <v>116</v>
      </c>
      <c r="E780" s="60" t="s">
        <v>259</v>
      </c>
      <c r="F780" s="60" t="s">
        <v>116</v>
      </c>
      <c r="G780" s="60" t="s">
        <v>21</v>
      </c>
      <c r="H780" s="60" t="s">
        <v>1105</v>
      </c>
      <c r="I780" s="60" t="s">
        <v>1106</v>
      </c>
      <c r="J780" s="61">
        <v>439.08</v>
      </c>
      <c r="K780" s="61">
        <v>470.45</v>
      </c>
      <c r="L780" s="62">
        <v>681.96</v>
      </c>
      <c r="M780" s="63">
        <v>681.96</v>
      </c>
      <c r="N780" s="17" t="str">
        <f t="shared" si="40"/>
        <v>7841 ASSOCIATED PKG/TN MEMPHIS</v>
      </c>
      <c r="O780" s="17" t="str">
        <f t="shared" si="41"/>
        <v>7841 ASSOCIATED PKG/TN MEMPHIS</v>
      </c>
      <c r="P780" s="17" t="str">
        <f t="shared" si="42"/>
        <v>CP 106 NAT-36mm x 55m-24 rls/cs-S (101007)</v>
      </c>
    </row>
    <row r="781" spans="1:16" x14ac:dyDescent="0.25">
      <c r="A781" s="60" t="s">
        <v>674</v>
      </c>
      <c r="B781" s="60" t="s">
        <v>675</v>
      </c>
      <c r="C781" s="60" t="s">
        <v>259</v>
      </c>
      <c r="D781" s="60" t="s">
        <v>116</v>
      </c>
      <c r="E781" s="60" t="s">
        <v>259</v>
      </c>
      <c r="F781" s="60" t="s">
        <v>116</v>
      </c>
      <c r="G781" s="60" t="s">
        <v>21</v>
      </c>
      <c r="H781" s="60" t="s">
        <v>225</v>
      </c>
      <c r="I781" s="60" t="s">
        <v>53</v>
      </c>
      <c r="J781" s="61">
        <v>93.61</v>
      </c>
      <c r="K781" s="61"/>
      <c r="L781" s="62">
        <v>151.56</v>
      </c>
      <c r="M781" s="63"/>
      <c r="N781" s="17" t="str">
        <f t="shared" si="40"/>
        <v>7841 ASSOCIATED PKG/TN MEMPHIS</v>
      </c>
      <c r="O781" s="17" t="str">
        <f t="shared" si="41"/>
        <v>7841 ASSOCIATED PKG/TN MEMPHIS</v>
      </c>
      <c r="P781" s="17" t="str">
        <f t="shared" si="42"/>
        <v>CP 106 NAT-48mm x 55m-24 rls/cs-S (101008)</v>
      </c>
    </row>
    <row r="782" spans="1:16" x14ac:dyDescent="0.25">
      <c r="A782" s="60" t="s">
        <v>674</v>
      </c>
      <c r="B782" s="60" t="s">
        <v>675</v>
      </c>
      <c r="C782" s="60" t="s">
        <v>259</v>
      </c>
      <c r="D782" s="60" t="s">
        <v>116</v>
      </c>
      <c r="E782" s="60" t="s">
        <v>259</v>
      </c>
      <c r="F782" s="60" t="s">
        <v>116</v>
      </c>
      <c r="G782" s="60" t="s">
        <v>21</v>
      </c>
      <c r="H782" s="60" t="s">
        <v>1203</v>
      </c>
      <c r="I782" s="60" t="s">
        <v>1204</v>
      </c>
      <c r="J782" s="61"/>
      <c r="K782" s="61">
        <v>304.13</v>
      </c>
      <c r="L782" s="62"/>
      <c r="M782" s="64">
        <v>454.72</v>
      </c>
      <c r="N782" s="17" t="str">
        <f t="shared" si="40"/>
        <v>7841 ASSOCIATED PKG/TN MEMPHIS</v>
      </c>
      <c r="O782" s="17" t="str">
        <f t="shared" si="41"/>
        <v>7841 ASSOCIATED PKG/TN MEMPHIS</v>
      </c>
      <c r="P782" s="17" t="str">
        <f t="shared" si="42"/>
        <v>CP 106 NAT-18mm x 55m-48 rls/cs-S (101052)</v>
      </c>
    </row>
    <row r="783" spans="1:16" x14ac:dyDescent="0.25">
      <c r="A783" s="60" t="s">
        <v>674</v>
      </c>
      <c r="B783" s="60" t="s">
        <v>675</v>
      </c>
      <c r="C783" s="60" t="s">
        <v>259</v>
      </c>
      <c r="D783" s="60" t="s">
        <v>116</v>
      </c>
      <c r="E783" s="60" t="s">
        <v>259</v>
      </c>
      <c r="F783" s="60" t="s">
        <v>116</v>
      </c>
      <c r="G783" s="60" t="s">
        <v>1059</v>
      </c>
      <c r="H783" s="60" t="s">
        <v>1060</v>
      </c>
      <c r="I783" s="60" t="s">
        <v>1061</v>
      </c>
      <c r="J783" s="61">
        <v>1121.48</v>
      </c>
      <c r="K783" s="61"/>
      <c r="L783" s="62">
        <v>757.76</v>
      </c>
      <c r="M783" s="63"/>
      <c r="N783" s="17" t="str">
        <f t="shared" si="40"/>
        <v>7841 ASSOCIATED PKG/TN MEMPHIS</v>
      </c>
      <c r="O783" s="17" t="str">
        <f t="shared" si="41"/>
        <v>7841 ASSOCIATED PKG/TN MEMPHIS</v>
      </c>
      <c r="P783" s="17" t="str">
        <f t="shared" si="42"/>
        <v>CP 225 GLD-18mm x 55m-64 rls/cs-H/T (105319)</v>
      </c>
    </row>
    <row r="784" spans="1:16" x14ac:dyDescent="0.25">
      <c r="A784" s="60" t="s">
        <v>674</v>
      </c>
      <c r="B784" s="60" t="s">
        <v>675</v>
      </c>
      <c r="C784" s="60" t="s">
        <v>259</v>
      </c>
      <c r="D784" s="60" t="s">
        <v>116</v>
      </c>
      <c r="E784" s="60" t="s">
        <v>259</v>
      </c>
      <c r="F784" s="60" t="s">
        <v>116</v>
      </c>
      <c r="G784" s="60" t="s">
        <v>38</v>
      </c>
      <c r="H784" s="60" t="s">
        <v>1505</v>
      </c>
      <c r="I784" s="60" t="s">
        <v>1506</v>
      </c>
      <c r="J784" s="61">
        <v>289.75</v>
      </c>
      <c r="K784" s="61"/>
      <c r="L784" s="62">
        <v>170.53200000000001</v>
      </c>
      <c r="M784" s="64"/>
      <c r="N784" s="17" t="str">
        <f t="shared" si="40"/>
        <v>7841 ASSOCIATED PKG/TN MEMPHIS</v>
      </c>
      <c r="O784" s="17" t="str">
        <f t="shared" si="41"/>
        <v>7841 ASSOCIATED PKG/TN MEMPHIS</v>
      </c>
      <c r="P784" s="17" t="str">
        <f t="shared" si="42"/>
        <v>CP 631 GRN-24mm x 55m-36 rls/cs-H (158828)</v>
      </c>
    </row>
    <row r="785" spans="1:16" x14ac:dyDescent="0.25">
      <c r="A785" s="60" t="s">
        <v>674</v>
      </c>
      <c r="B785" s="60" t="s">
        <v>675</v>
      </c>
      <c r="C785" s="60" t="s">
        <v>259</v>
      </c>
      <c r="D785" s="60" t="s">
        <v>116</v>
      </c>
      <c r="E785" s="60" t="s">
        <v>259</v>
      </c>
      <c r="F785" s="60" t="s">
        <v>116</v>
      </c>
      <c r="G785" s="60" t="s">
        <v>1129</v>
      </c>
      <c r="H785" s="60" t="s">
        <v>1130</v>
      </c>
      <c r="I785" s="60" t="s">
        <v>1131</v>
      </c>
      <c r="J785" s="61">
        <v>684.29</v>
      </c>
      <c r="K785" s="61">
        <v>752.72</v>
      </c>
      <c r="L785" s="62">
        <v>825.24</v>
      </c>
      <c r="M785" s="64">
        <v>825.24</v>
      </c>
      <c r="N785" s="17" t="str">
        <f t="shared" si="40"/>
        <v>7841 ASSOCIATED PKG/TN MEMPHIS</v>
      </c>
      <c r="O785" s="17" t="str">
        <f t="shared" si="41"/>
        <v>7841 ASSOCIATED PKG/TN MEMPHIS</v>
      </c>
      <c r="P785" s="17" t="str">
        <f t="shared" si="42"/>
        <v>CT 109 NAT- 12MM X 66M- 144 RLS/CS-H (111951)</v>
      </c>
    </row>
    <row r="786" spans="1:16" x14ac:dyDescent="0.25">
      <c r="A786" s="60" t="s">
        <v>674</v>
      </c>
      <c r="B786" s="60" t="s">
        <v>675</v>
      </c>
      <c r="C786" s="60" t="s">
        <v>259</v>
      </c>
      <c r="D786" s="60" t="s">
        <v>116</v>
      </c>
      <c r="E786" s="60" t="s">
        <v>259</v>
      </c>
      <c r="F786" s="60" t="s">
        <v>116</v>
      </c>
      <c r="G786" s="60" t="s">
        <v>1208</v>
      </c>
      <c r="H786" s="60" t="s">
        <v>1209</v>
      </c>
      <c r="I786" s="60" t="s">
        <v>1210</v>
      </c>
      <c r="J786" s="61"/>
      <c r="K786" s="61">
        <v>1953.06</v>
      </c>
      <c r="L786" s="62"/>
      <c r="M786" s="64">
        <v>826.68</v>
      </c>
      <c r="N786" s="17" t="str">
        <f t="shared" si="40"/>
        <v>7841 ASSOCIATED PKG/TN MEMPHIS</v>
      </c>
      <c r="O786" s="17" t="str">
        <f t="shared" si="41"/>
        <v>7841 ASSOCIATED PKG/TN MEMPHIS</v>
      </c>
      <c r="P786" s="17" t="str">
        <f t="shared" si="42"/>
        <v>DP 050 CLR-48mm x 50m-24 rls/cs-H (203796)</v>
      </c>
    </row>
    <row r="787" spans="1:16" x14ac:dyDescent="0.25">
      <c r="A787" s="60" t="s">
        <v>674</v>
      </c>
      <c r="B787" s="60" t="s">
        <v>675</v>
      </c>
      <c r="C787" s="60" t="s">
        <v>259</v>
      </c>
      <c r="D787" s="60" t="s">
        <v>116</v>
      </c>
      <c r="E787" s="60" t="s">
        <v>259</v>
      </c>
      <c r="F787" s="60" t="s">
        <v>116</v>
      </c>
      <c r="G787" s="60" t="s">
        <v>65</v>
      </c>
      <c r="H787" s="60" t="s">
        <v>252</v>
      </c>
      <c r="I787" s="60" t="s">
        <v>152</v>
      </c>
      <c r="J787" s="61">
        <v>37225.74</v>
      </c>
      <c r="K787" s="61">
        <v>30907.01</v>
      </c>
      <c r="L787" s="65">
        <v>36601.74</v>
      </c>
      <c r="M787" s="64">
        <v>27280.799999999999</v>
      </c>
      <c r="N787" s="17" t="str">
        <f t="shared" si="40"/>
        <v>7841 ASSOCIATED PKG/TN MEMPHIS</v>
      </c>
      <c r="O787" s="17" t="str">
        <f t="shared" si="41"/>
        <v>7841 ASSOCIATED PKG/TN MEMPHIS</v>
      </c>
      <c r="P787" s="17" t="str">
        <f t="shared" si="42"/>
        <v>FP 097 KFT-72mm x 55m-16 rls/cs-H/A (101073)</v>
      </c>
    </row>
    <row r="788" spans="1:16" x14ac:dyDescent="0.25">
      <c r="A788" s="60" t="s">
        <v>674</v>
      </c>
      <c r="B788" s="60" t="s">
        <v>675</v>
      </c>
      <c r="C788" s="60" t="s">
        <v>259</v>
      </c>
      <c r="D788" s="60" t="s">
        <v>116</v>
      </c>
      <c r="E788" s="60" t="s">
        <v>259</v>
      </c>
      <c r="F788" s="60" t="s">
        <v>116</v>
      </c>
      <c r="G788" s="60" t="s">
        <v>59</v>
      </c>
      <c r="H788" s="60" t="s">
        <v>223</v>
      </c>
      <c r="I788" s="60" t="s">
        <v>600</v>
      </c>
      <c r="J788" s="61">
        <v>323.14</v>
      </c>
      <c r="K788" s="61"/>
      <c r="L788" s="62">
        <v>303.12</v>
      </c>
      <c r="M788" s="63"/>
      <c r="N788" s="17" t="str">
        <f t="shared" si="40"/>
        <v>7841 ASSOCIATED PKG/TN MEMPHIS</v>
      </c>
      <c r="O788" s="17" t="str">
        <f t="shared" si="41"/>
        <v>7841 ASSOCIATED PKG/TN MEMPHIS</v>
      </c>
      <c r="P788" s="17" t="str">
        <f t="shared" si="42"/>
        <v>GS 490 CLR-48mm x 55m-24 rls/cs-H/A (101230)</v>
      </c>
    </row>
    <row r="789" spans="1:16" x14ac:dyDescent="0.25">
      <c r="A789" s="60" t="s">
        <v>674</v>
      </c>
      <c r="B789" s="60" t="s">
        <v>675</v>
      </c>
      <c r="C789" s="60" t="s">
        <v>259</v>
      </c>
      <c r="D789" s="60" t="s">
        <v>116</v>
      </c>
      <c r="E789" s="60" t="s">
        <v>259</v>
      </c>
      <c r="F789" s="60" t="s">
        <v>116</v>
      </c>
      <c r="G789" s="60" t="s">
        <v>19</v>
      </c>
      <c r="H789" s="60" t="s">
        <v>233</v>
      </c>
      <c r="I789" s="60" t="s">
        <v>49</v>
      </c>
      <c r="J789" s="61">
        <v>5602.61</v>
      </c>
      <c r="K789" s="61">
        <v>8852.98</v>
      </c>
      <c r="L789" s="62">
        <v>24799.200000000001</v>
      </c>
      <c r="M789" s="63">
        <v>37198.800000000003</v>
      </c>
      <c r="N789" s="17" t="str">
        <f t="shared" si="40"/>
        <v>7841 ASSOCIATED PKG/TN MEMPHIS</v>
      </c>
      <c r="O789" s="17" t="str">
        <f t="shared" si="41"/>
        <v>7841 ASSOCIATED PKG/TN MEMPHIS</v>
      </c>
      <c r="P789" s="17" t="str">
        <f t="shared" si="42"/>
        <v>HP 100 CLR-48mm x 100m-36 rls/cs-S (207142)</v>
      </c>
    </row>
    <row r="790" spans="1:16" x14ac:dyDescent="0.25">
      <c r="A790" s="60" t="s">
        <v>674</v>
      </c>
      <c r="B790" s="60" t="s">
        <v>675</v>
      </c>
      <c r="C790" s="60" t="s">
        <v>259</v>
      </c>
      <c r="D790" s="60" t="s">
        <v>116</v>
      </c>
      <c r="E790" s="60" t="s">
        <v>259</v>
      </c>
      <c r="F790" s="60" t="s">
        <v>116</v>
      </c>
      <c r="G790" s="60" t="s">
        <v>19</v>
      </c>
      <c r="H790" s="60" t="s">
        <v>242</v>
      </c>
      <c r="I790" s="60" t="s">
        <v>102</v>
      </c>
      <c r="J790" s="61">
        <v>24235.200000000001</v>
      </c>
      <c r="K790" s="61">
        <v>26801.279999999999</v>
      </c>
      <c r="L790" s="62">
        <v>123996</v>
      </c>
      <c r="M790" s="63">
        <v>123996</v>
      </c>
      <c r="N790" s="17" t="str">
        <f t="shared" si="40"/>
        <v>7841 ASSOCIATED PKG/TN MEMPHIS</v>
      </c>
      <c r="O790" s="17" t="str">
        <f t="shared" si="41"/>
        <v>7841 ASSOCIATED PKG/TN MEMPHIS</v>
      </c>
      <c r="P790" s="17" t="str">
        <f t="shared" si="42"/>
        <v>HP 100 CLR-72mm x 100m-24 rls/cs-S (207194)</v>
      </c>
    </row>
    <row r="791" spans="1:16" x14ac:dyDescent="0.25">
      <c r="A791" s="60" t="s">
        <v>674</v>
      </c>
      <c r="B791" s="60" t="s">
        <v>675</v>
      </c>
      <c r="C791" s="60" t="s">
        <v>259</v>
      </c>
      <c r="D791" s="60" t="s">
        <v>116</v>
      </c>
      <c r="E791" s="60" t="s">
        <v>259</v>
      </c>
      <c r="F791" s="60" t="s">
        <v>116</v>
      </c>
      <c r="G791" s="60" t="s">
        <v>19</v>
      </c>
      <c r="H791" s="60" t="s">
        <v>243</v>
      </c>
      <c r="I791" s="60" t="s">
        <v>87</v>
      </c>
      <c r="J791" s="61">
        <v>4717.79</v>
      </c>
      <c r="K791" s="61">
        <v>1144.28</v>
      </c>
      <c r="L791" s="62">
        <v>20148.48</v>
      </c>
      <c r="M791" s="63">
        <v>4407.4799999999996</v>
      </c>
      <c r="N791" s="17" t="str">
        <f t="shared" si="40"/>
        <v>7841 ASSOCIATED PKG/TN MEMPHIS</v>
      </c>
      <c r="O791" s="17" t="str">
        <f t="shared" si="41"/>
        <v>7841 ASSOCIATED PKG/TN MEMPHIS</v>
      </c>
      <c r="P791" s="17" t="str">
        <f t="shared" si="42"/>
        <v>HP 100 CLR-48mm x 914m-6 rls/cs-S (208453)</v>
      </c>
    </row>
    <row r="792" spans="1:16" x14ac:dyDescent="0.25">
      <c r="A792" s="60" t="s">
        <v>674</v>
      </c>
      <c r="B792" s="60" t="s">
        <v>675</v>
      </c>
      <c r="C792" s="60" t="s">
        <v>259</v>
      </c>
      <c r="D792" s="60" t="s">
        <v>116</v>
      </c>
      <c r="E792" s="60" t="s">
        <v>259</v>
      </c>
      <c r="F792" s="60" t="s">
        <v>116</v>
      </c>
      <c r="G792" s="60" t="s">
        <v>19</v>
      </c>
      <c r="H792" s="60" t="s">
        <v>244</v>
      </c>
      <c r="I792" s="60" t="s">
        <v>94</v>
      </c>
      <c r="J792" s="61"/>
      <c r="K792" s="61">
        <v>10914.39</v>
      </c>
      <c r="L792" s="62"/>
      <c r="M792" s="63">
        <v>45334.080000000002</v>
      </c>
      <c r="N792" s="17" t="str">
        <f t="shared" si="40"/>
        <v>7841 ASSOCIATED PKG/TN MEMPHIS</v>
      </c>
      <c r="O792" s="17" t="str">
        <f t="shared" si="41"/>
        <v>7841 ASSOCIATED PKG/TN MEMPHIS</v>
      </c>
      <c r="P792" s="17" t="str">
        <f t="shared" si="42"/>
        <v>HP 100 CLR-72mm x 914m-4 rls/cs-S (208465)</v>
      </c>
    </row>
    <row r="793" spans="1:16" x14ac:dyDescent="0.25">
      <c r="A793" s="60" t="s">
        <v>674</v>
      </c>
      <c r="B793" s="60" t="s">
        <v>675</v>
      </c>
      <c r="C793" s="60" t="s">
        <v>259</v>
      </c>
      <c r="D793" s="60" t="s">
        <v>116</v>
      </c>
      <c r="E793" s="60" t="s">
        <v>259</v>
      </c>
      <c r="F793" s="60" t="s">
        <v>116</v>
      </c>
      <c r="G793" s="60" t="s">
        <v>18</v>
      </c>
      <c r="H793" s="60" t="s">
        <v>215</v>
      </c>
      <c r="I793" s="60" t="s">
        <v>50</v>
      </c>
      <c r="J793" s="61">
        <v>9323.42</v>
      </c>
      <c r="K793" s="61">
        <v>3378.68</v>
      </c>
      <c r="L793" s="62">
        <v>37198.800000000003</v>
      </c>
      <c r="M793" s="63">
        <v>12399.6</v>
      </c>
      <c r="N793" s="17" t="str">
        <f t="shared" si="40"/>
        <v>7841 ASSOCIATED PKG/TN MEMPHIS</v>
      </c>
      <c r="O793" s="17" t="str">
        <f t="shared" si="41"/>
        <v>7841 ASSOCIATED PKG/TN MEMPHIS</v>
      </c>
      <c r="P793" s="17" t="str">
        <f t="shared" si="42"/>
        <v>HP 200 CLR-48mm x 100m-36 rls/cs-S (207149)</v>
      </c>
    </row>
    <row r="794" spans="1:16" x14ac:dyDescent="0.25">
      <c r="A794" s="60" t="s">
        <v>674</v>
      </c>
      <c r="B794" s="60" t="s">
        <v>675</v>
      </c>
      <c r="C794" s="60" t="s">
        <v>259</v>
      </c>
      <c r="D794" s="60" t="s">
        <v>116</v>
      </c>
      <c r="E794" s="60" t="s">
        <v>259</v>
      </c>
      <c r="F794" s="60" t="s">
        <v>116</v>
      </c>
      <c r="G794" s="60" t="s">
        <v>18</v>
      </c>
      <c r="H794" s="60" t="s">
        <v>219</v>
      </c>
      <c r="I794" s="60" t="s">
        <v>60</v>
      </c>
      <c r="J794" s="61"/>
      <c r="K794" s="61">
        <v>30650.400000000001</v>
      </c>
      <c r="L794" s="62"/>
      <c r="M794" s="64">
        <v>123996</v>
      </c>
      <c r="N794" s="17" t="str">
        <f t="shared" si="40"/>
        <v>7841 ASSOCIATED PKG/TN MEMPHIS</v>
      </c>
      <c r="O794" s="17" t="str">
        <f t="shared" si="41"/>
        <v>7841 ASSOCIATED PKG/TN MEMPHIS</v>
      </c>
      <c r="P794" s="17" t="str">
        <f t="shared" si="42"/>
        <v>HP 200 CLR-72mm x 100m-24 rls/cs-S (207233)</v>
      </c>
    </row>
    <row r="795" spans="1:16" x14ac:dyDescent="0.25">
      <c r="A795" s="60" t="s">
        <v>674</v>
      </c>
      <c r="B795" s="60" t="s">
        <v>675</v>
      </c>
      <c r="C795" s="60" t="s">
        <v>259</v>
      </c>
      <c r="D795" s="60" t="s">
        <v>116</v>
      </c>
      <c r="E795" s="60" t="s">
        <v>259</v>
      </c>
      <c r="F795" s="60" t="s">
        <v>116</v>
      </c>
      <c r="G795" s="60" t="s">
        <v>18</v>
      </c>
      <c r="H795" s="60" t="s">
        <v>212</v>
      </c>
      <c r="I795" s="60" t="s">
        <v>86</v>
      </c>
      <c r="J795" s="61">
        <v>11581.57</v>
      </c>
      <c r="K795" s="61">
        <v>3914.7</v>
      </c>
      <c r="L795" s="65">
        <v>45334.080000000002</v>
      </c>
      <c r="M795" s="64">
        <v>15111.36</v>
      </c>
      <c r="N795" s="17" t="str">
        <f t="shared" ref="N795:N858" si="43">C795&amp;" "&amp;D795</f>
        <v>7841 ASSOCIATED PKG/TN MEMPHIS</v>
      </c>
      <c r="O795" s="17" t="str">
        <f t="shared" ref="O795:O858" si="44">E795&amp;" "&amp;F795</f>
        <v>7841 ASSOCIATED PKG/TN MEMPHIS</v>
      </c>
      <c r="P795" s="17" t="str">
        <f t="shared" si="42"/>
        <v>HP 200 CLR-48mm x 914m-6 rls/cs-S (208492)</v>
      </c>
    </row>
    <row r="796" spans="1:16" x14ac:dyDescent="0.25">
      <c r="A796" s="60" t="s">
        <v>674</v>
      </c>
      <c r="B796" s="60" t="s">
        <v>675</v>
      </c>
      <c r="C796" s="60" t="s">
        <v>259</v>
      </c>
      <c r="D796" s="60" t="s">
        <v>116</v>
      </c>
      <c r="E796" s="60" t="s">
        <v>259</v>
      </c>
      <c r="F796" s="60" t="s">
        <v>116</v>
      </c>
      <c r="G796" s="60" t="s">
        <v>18</v>
      </c>
      <c r="H796" s="60" t="s">
        <v>214</v>
      </c>
      <c r="I796" s="60" t="s">
        <v>158</v>
      </c>
      <c r="J796" s="61"/>
      <c r="K796" s="61">
        <v>8238.07</v>
      </c>
      <c r="L796" s="62"/>
      <c r="M796" s="64">
        <v>30222.720000000001</v>
      </c>
      <c r="N796" s="17" t="str">
        <f t="shared" si="43"/>
        <v>7841 ASSOCIATED PKG/TN MEMPHIS</v>
      </c>
      <c r="O796" s="17" t="str">
        <f t="shared" si="44"/>
        <v>7841 ASSOCIATED PKG/TN MEMPHIS</v>
      </c>
      <c r="P796" s="17" t="str">
        <f t="shared" si="42"/>
        <v>HP 200 CLR-72mm x 914m-4 rls/cs-S (208496)</v>
      </c>
    </row>
    <row r="797" spans="1:16" x14ac:dyDescent="0.25">
      <c r="A797" s="60" t="s">
        <v>674</v>
      </c>
      <c r="B797" s="60" t="s">
        <v>675</v>
      </c>
      <c r="C797" s="60" t="s">
        <v>259</v>
      </c>
      <c r="D797" s="60" t="s">
        <v>116</v>
      </c>
      <c r="E797" s="60" t="s">
        <v>259</v>
      </c>
      <c r="F797" s="60" t="s">
        <v>116</v>
      </c>
      <c r="G797" s="60" t="s">
        <v>70</v>
      </c>
      <c r="H797" s="60" t="s">
        <v>1507</v>
      </c>
      <c r="I797" s="60" t="s">
        <v>1508</v>
      </c>
      <c r="J797" s="61"/>
      <c r="K797" s="61">
        <v>16102.86</v>
      </c>
      <c r="L797" s="62"/>
      <c r="M797" s="64">
        <v>27391.08</v>
      </c>
      <c r="N797" s="17" t="str">
        <f t="shared" si="43"/>
        <v>7841 ASSOCIATED PKG/TN MEMPHIS</v>
      </c>
      <c r="O797" s="17" t="str">
        <f t="shared" si="44"/>
        <v>7841 ASSOCIATED PKG/TN MEMPHIS</v>
      </c>
      <c r="P797" s="17" t="str">
        <f t="shared" si="42"/>
        <v>HP 235 CR BISTOP-72mmx914m-4 rls/cs-NS (152664)</v>
      </c>
    </row>
    <row r="798" spans="1:16" x14ac:dyDescent="0.25">
      <c r="A798" s="60" t="s">
        <v>674</v>
      </c>
      <c r="B798" s="60" t="s">
        <v>675</v>
      </c>
      <c r="C798" s="60" t="s">
        <v>259</v>
      </c>
      <c r="D798" s="60" t="s">
        <v>116</v>
      </c>
      <c r="E798" s="60" t="s">
        <v>259</v>
      </c>
      <c r="F798" s="60" t="s">
        <v>116</v>
      </c>
      <c r="G798" s="60" t="s">
        <v>58</v>
      </c>
      <c r="H798" s="60" t="s">
        <v>501</v>
      </c>
      <c r="I798" s="60" t="s">
        <v>502</v>
      </c>
      <c r="J798" s="61">
        <v>3828.69</v>
      </c>
      <c r="K798" s="61">
        <v>516.07000000000005</v>
      </c>
      <c r="L798" s="62">
        <v>4649.8500000000004</v>
      </c>
      <c r="M798" s="63">
        <v>620.00599999999997</v>
      </c>
      <c r="N798" s="17" t="str">
        <f t="shared" si="43"/>
        <v>7841 ASSOCIATED PKG/TN MEMPHIS</v>
      </c>
      <c r="O798" s="17" t="str">
        <f t="shared" si="44"/>
        <v>7841 ASSOCIATED PKG/TN MEMPHIS</v>
      </c>
      <c r="P798" s="17" t="str">
        <f t="shared" si="42"/>
        <v>HP 400 CLR-72mm x 50m-24 rls/cs-H (207852)</v>
      </c>
    </row>
    <row r="799" spans="1:16" x14ac:dyDescent="0.25">
      <c r="A799" s="60" t="s">
        <v>674</v>
      </c>
      <c r="B799" s="60" t="s">
        <v>675</v>
      </c>
      <c r="C799" s="60" t="s">
        <v>259</v>
      </c>
      <c r="D799" s="60" t="s">
        <v>116</v>
      </c>
      <c r="E799" s="60" t="s">
        <v>259</v>
      </c>
      <c r="F799" s="60" t="s">
        <v>116</v>
      </c>
      <c r="G799" s="60" t="s">
        <v>58</v>
      </c>
      <c r="H799" s="60" t="s">
        <v>734</v>
      </c>
      <c r="I799" s="60" t="s">
        <v>735</v>
      </c>
      <c r="J799" s="61">
        <v>2957.76</v>
      </c>
      <c r="K799" s="61"/>
      <c r="L799" s="65">
        <v>5666.76</v>
      </c>
      <c r="M799" s="64"/>
      <c r="N799" s="17" t="str">
        <f t="shared" si="43"/>
        <v>7841 ASSOCIATED PKG/TN MEMPHIS</v>
      </c>
      <c r="O799" s="17" t="str">
        <f t="shared" si="44"/>
        <v>7841 ASSOCIATED PKG/TN MEMPHIS</v>
      </c>
      <c r="P799" s="17" t="str">
        <f t="shared" si="42"/>
        <v>HP 400 CLR-48mm x 914m-6 rls/cs-H/A (208547)</v>
      </c>
    </row>
    <row r="800" spans="1:16" x14ac:dyDescent="0.25">
      <c r="A800" s="60" t="s">
        <v>674</v>
      </c>
      <c r="B800" s="60" t="s">
        <v>675</v>
      </c>
      <c r="C800" s="60" t="s">
        <v>259</v>
      </c>
      <c r="D800" s="60" t="s">
        <v>116</v>
      </c>
      <c r="E800" s="60" t="s">
        <v>259</v>
      </c>
      <c r="F800" s="60" t="s">
        <v>116</v>
      </c>
      <c r="G800" s="60" t="s">
        <v>468</v>
      </c>
      <c r="H800" s="60" t="s">
        <v>586</v>
      </c>
      <c r="I800" s="60" t="s">
        <v>587</v>
      </c>
      <c r="J800" s="61">
        <v>203.86</v>
      </c>
      <c r="K800" s="61"/>
      <c r="L800" s="62">
        <v>103.29900000000001</v>
      </c>
      <c r="M800" s="64"/>
      <c r="N800" s="17" t="str">
        <f t="shared" si="43"/>
        <v>7841 ASSOCIATED PKG/TN MEMPHIS</v>
      </c>
      <c r="O800" s="17" t="str">
        <f t="shared" si="44"/>
        <v>7841 ASSOCIATED PKG/TN MEMPHIS</v>
      </c>
      <c r="P800" s="17" t="str">
        <f t="shared" si="42"/>
        <v>HP 800 CLR-72mm x 50m-24 rls/cs-H (116925)</v>
      </c>
    </row>
    <row r="801" spans="1:16" x14ac:dyDescent="0.25">
      <c r="A801" s="60" t="s">
        <v>674</v>
      </c>
      <c r="B801" s="60" t="s">
        <v>675</v>
      </c>
      <c r="C801" s="60" t="s">
        <v>259</v>
      </c>
      <c r="D801" s="60" t="s">
        <v>116</v>
      </c>
      <c r="E801" s="60" t="s">
        <v>259</v>
      </c>
      <c r="F801" s="60" t="s">
        <v>116</v>
      </c>
      <c r="G801" s="60" t="s">
        <v>550</v>
      </c>
      <c r="H801" s="60" t="s">
        <v>551</v>
      </c>
      <c r="I801" s="60" t="s">
        <v>899</v>
      </c>
      <c r="J801" s="61">
        <v>1171.8399999999999</v>
      </c>
      <c r="K801" s="61"/>
      <c r="L801" s="65">
        <v>1364.04</v>
      </c>
      <c r="M801" s="64"/>
      <c r="N801" s="17" t="str">
        <f t="shared" si="43"/>
        <v>7841 ASSOCIATED PKG/TN MEMPHIS</v>
      </c>
      <c r="O801" s="17" t="str">
        <f t="shared" si="44"/>
        <v>7841 ASSOCIATED PKG/TN MEMPHIS</v>
      </c>
      <c r="P801" s="17" t="str">
        <f t="shared" si="42"/>
        <v>PC 006 SIL-48mm x 55m-24 rls/cs-X (120954)</v>
      </c>
    </row>
    <row r="802" spans="1:16" x14ac:dyDescent="0.25">
      <c r="A802" s="60" t="s">
        <v>674</v>
      </c>
      <c r="B802" s="60" t="s">
        <v>675</v>
      </c>
      <c r="C802" s="60" t="s">
        <v>259</v>
      </c>
      <c r="D802" s="60" t="s">
        <v>116</v>
      </c>
      <c r="E802" s="60" t="s">
        <v>259</v>
      </c>
      <c r="F802" s="60" t="s">
        <v>116</v>
      </c>
      <c r="G802" s="60" t="s">
        <v>1763</v>
      </c>
      <c r="H802" s="60" t="s">
        <v>1764</v>
      </c>
      <c r="I802" s="60" t="s">
        <v>1765</v>
      </c>
      <c r="J802" s="61">
        <v>196.42</v>
      </c>
      <c r="K802" s="61"/>
      <c r="L802" s="65">
        <v>151.56</v>
      </c>
      <c r="M802" s="64"/>
      <c r="N802" s="17" t="str">
        <f t="shared" si="43"/>
        <v>7841 ASSOCIATED PKG/TN MEMPHIS</v>
      </c>
      <c r="O802" s="17" t="str">
        <f t="shared" si="44"/>
        <v>7841 ASSOCIATED PKG/TN MEMPHIS</v>
      </c>
      <c r="P802" s="17" t="str">
        <f t="shared" si="42"/>
        <v>PC 600 SIL-72mm  *DO NOT USE* (209438)</v>
      </c>
    </row>
    <row r="803" spans="1:16" x14ac:dyDescent="0.25">
      <c r="A803" s="60" t="s">
        <v>674</v>
      </c>
      <c r="B803" s="60" t="s">
        <v>675</v>
      </c>
      <c r="C803" s="60" t="s">
        <v>259</v>
      </c>
      <c r="D803" s="60" t="s">
        <v>116</v>
      </c>
      <c r="E803" s="60" t="s">
        <v>259</v>
      </c>
      <c r="F803" s="60" t="s">
        <v>116</v>
      </c>
      <c r="G803" s="60" t="s">
        <v>52</v>
      </c>
      <c r="H803" s="60" t="s">
        <v>263</v>
      </c>
      <c r="I803" s="60" t="s">
        <v>119</v>
      </c>
      <c r="J803" s="61">
        <v>1998.69</v>
      </c>
      <c r="K803" s="61"/>
      <c r="L803" s="65">
        <v>909.36</v>
      </c>
      <c r="M803" s="64"/>
      <c r="N803" s="17" t="str">
        <f t="shared" si="43"/>
        <v>7841 ASSOCIATED PKG/TN MEMPHIS</v>
      </c>
      <c r="O803" s="17" t="str">
        <f t="shared" si="44"/>
        <v>7841 ASSOCIATED PKG/TN MEMPHIS</v>
      </c>
      <c r="P803" s="17" t="str">
        <f t="shared" si="42"/>
        <v>PC 609 SIL-48mm x 55m-24 rls/cs-H/A (207423)</v>
      </c>
    </row>
    <row r="804" spans="1:16" x14ac:dyDescent="0.25">
      <c r="A804" s="60" t="s">
        <v>674</v>
      </c>
      <c r="B804" s="60" t="s">
        <v>675</v>
      </c>
      <c r="C804" s="60" t="s">
        <v>259</v>
      </c>
      <c r="D804" s="60" t="s">
        <v>116</v>
      </c>
      <c r="E804" s="60" t="s">
        <v>259</v>
      </c>
      <c r="F804" s="60" t="s">
        <v>116</v>
      </c>
      <c r="G804" s="60" t="s">
        <v>1205</v>
      </c>
      <c r="H804" s="60" t="s">
        <v>1206</v>
      </c>
      <c r="I804" s="60" t="s">
        <v>1207</v>
      </c>
      <c r="J804" s="61">
        <v>1340.06</v>
      </c>
      <c r="K804" s="61"/>
      <c r="L804" s="62">
        <v>757.8</v>
      </c>
      <c r="M804" s="64"/>
      <c r="N804" s="17" t="str">
        <f t="shared" si="43"/>
        <v>7841 ASSOCIATED PKG/TN MEMPHIS</v>
      </c>
      <c r="O804" s="17" t="str">
        <f t="shared" si="44"/>
        <v>7841 ASSOCIATED PKG/TN MEMPHIS</v>
      </c>
      <c r="P804" s="17" t="str">
        <f t="shared" si="42"/>
        <v>PE 444 RED- 48mm X 55m- 24 rls/cs-H/A (198050)</v>
      </c>
    </row>
    <row r="805" spans="1:16" x14ac:dyDescent="0.25">
      <c r="A805" s="60" t="s">
        <v>674</v>
      </c>
      <c r="B805" s="60" t="s">
        <v>675</v>
      </c>
      <c r="C805" s="60" t="s">
        <v>259</v>
      </c>
      <c r="D805" s="60" t="s">
        <v>116</v>
      </c>
      <c r="E805" s="60" t="s">
        <v>259</v>
      </c>
      <c r="F805" s="60" t="s">
        <v>116</v>
      </c>
      <c r="G805" s="60" t="s">
        <v>451</v>
      </c>
      <c r="H805" s="60" t="s">
        <v>452</v>
      </c>
      <c r="I805" s="60" t="s">
        <v>453</v>
      </c>
      <c r="J805" s="61"/>
      <c r="K805" s="61">
        <v>665.87</v>
      </c>
      <c r="L805" s="62"/>
      <c r="M805" s="63">
        <v>712.98</v>
      </c>
      <c r="N805" s="17" t="str">
        <f t="shared" si="43"/>
        <v>7841 ASSOCIATED PKG/TN MEMPHIS</v>
      </c>
      <c r="O805" s="17" t="str">
        <f t="shared" si="44"/>
        <v>7841 ASSOCIATED PKG/TN MEMPHIS</v>
      </c>
      <c r="P805" s="17" t="str">
        <f t="shared" si="42"/>
        <v>WP 200 NAT-72mmx138m(450ft)-10rls/cs-H/A (101707)</v>
      </c>
    </row>
    <row r="806" spans="1:16" x14ac:dyDescent="0.25">
      <c r="A806" s="60" t="s">
        <v>674</v>
      </c>
      <c r="B806" s="60" t="s">
        <v>675</v>
      </c>
      <c r="C806" s="60" t="s">
        <v>259</v>
      </c>
      <c r="D806" s="60" t="s">
        <v>116</v>
      </c>
      <c r="E806" s="60" t="s">
        <v>1509</v>
      </c>
      <c r="F806" s="60" t="s">
        <v>1510</v>
      </c>
      <c r="G806" s="60" t="s">
        <v>205</v>
      </c>
      <c r="H806" s="60" t="s">
        <v>231</v>
      </c>
      <c r="I806" s="60" t="s">
        <v>379</v>
      </c>
      <c r="J806" s="61"/>
      <c r="K806" s="61">
        <v>133.06</v>
      </c>
      <c r="L806" s="62"/>
      <c r="M806" s="63">
        <v>0</v>
      </c>
      <c r="N806" s="17" t="str">
        <f t="shared" si="43"/>
        <v>7841 ASSOCIATED PKG/TN MEMPHIS</v>
      </c>
      <c r="O806" s="17" t="str">
        <f t="shared" si="44"/>
        <v>27654 UNITED SOLUTIONS</v>
      </c>
      <c r="P806" s="17" t="str">
        <f t="shared" si="42"/>
        <v>SD 935  PISTOL GRIP DISPNSR-3 IN. ROLL-S (909535)</v>
      </c>
    </row>
    <row r="807" spans="1:16" x14ac:dyDescent="0.25">
      <c r="A807" s="60" t="s">
        <v>674</v>
      </c>
      <c r="B807" s="60" t="s">
        <v>675</v>
      </c>
      <c r="C807" s="60" t="s">
        <v>259</v>
      </c>
      <c r="D807" s="60" t="s">
        <v>116</v>
      </c>
      <c r="E807" s="60" t="s">
        <v>1511</v>
      </c>
      <c r="F807" s="60" t="s">
        <v>1512</v>
      </c>
      <c r="G807" s="60" t="s">
        <v>22</v>
      </c>
      <c r="H807" s="60" t="s">
        <v>1513</v>
      </c>
      <c r="I807" s="60" t="s">
        <v>1514</v>
      </c>
      <c r="J807" s="61"/>
      <c r="K807" s="61">
        <v>74.37</v>
      </c>
      <c r="L807" s="62"/>
      <c r="M807" s="63">
        <v>47.36</v>
      </c>
      <c r="N807" s="17" t="str">
        <f t="shared" si="43"/>
        <v>7841 ASSOCIATED PKG/TN MEMPHIS</v>
      </c>
      <c r="O807" s="17" t="str">
        <f t="shared" si="44"/>
        <v>45277 CARLISLE SYNTEC</v>
      </c>
      <c r="P807" s="17" t="str">
        <f t="shared" si="42"/>
        <v>VP 410 GRN- 50mm X 33m- 24 rls/cs-H (202851)</v>
      </c>
    </row>
    <row r="808" spans="1:16" x14ac:dyDescent="0.25">
      <c r="A808" s="60" t="s">
        <v>674</v>
      </c>
      <c r="B808" s="60" t="s">
        <v>675</v>
      </c>
      <c r="C808" s="60" t="s">
        <v>259</v>
      </c>
      <c r="D808" s="60" t="s">
        <v>116</v>
      </c>
      <c r="E808" s="60" t="s">
        <v>1766</v>
      </c>
      <c r="F808" s="60" t="s">
        <v>1767</v>
      </c>
      <c r="G808" s="60" t="s">
        <v>70</v>
      </c>
      <c r="H808" s="60" t="s">
        <v>361</v>
      </c>
      <c r="I808" s="60" t="s">
        <v>362</v>
      </c>
      <c r="J808" s="61">
        <v>2507.63</v>
      </c>
      <c r="K808" s="61"/>
      <c r="L808" s="62">
        <v>5667.12</v>
      </c>
      <c r="M808" s="64"/>
      <c r="N808" s="17" t="str">
        <f t="shared" si="43"/>
        <v>7841 ASSOCIATED PKG/TN MEMPHIS</v>
      </c>
      <c r="O808" s="17" t="str">
        <f t="shared" si="44"/>
        <v>46249 NORTHDOWN INDUSTRIES (MTI)</v>
      </c>
      <c r="P808" s="17" t="str">
        <f t="shared" si="42"/>
        <v>HP 235 CLR-72mm x 914m-4 rls/cs-H (150721)</v>
      </c>
    </row>
    <row r="809" spans="1:16" x14ac:dyDescent="0.25">
      <c r="A809" s="60" t="s">
        <v>674</v>
      </c>
      <c r="B809" s="60" t="s">
        <v>675</v>
      </c>
      <c r="C809" s="60" t="s">
        <v>259</v>
      </c>
      <c r="D809" s="60" t="s">
        <v>116</v>
      </c>
      <c r="E809" s="60" t="s">
        <v>541</v>
      </c>
      <c r="F809" s="60" t="s">
        <v>542</v>
      </c>
      <c r="G809" s="60" t="s">
        <v>19</v>
      </c>
      <c r="H809" s="60" t="s">
        <v>222</v>
      </c>
      <c r="I809" s="60" t="s">
        <v>104</v>
      </c>
      <c r="J809" s="61">
        <v>8947.07</v>
      </c>
      <c r="K809" s="61">
        <v>19125.84</v>
      </c>
      <c r="L809" s="62">
        <v>41074.991999999998</v>
      </c>
      <c r="M809" s="63">
        <v>82149.983999999997</v>
      </c>
      <c r="N809" s="17" t="str">
        <f t="shared" si="43"/>
        <v>7841 ASSOCIATED PKG/TN MEMPHIS</v>
      </c>
      <c r="O809" s="17" t="str">
        <f t="shared" si="44"/>
        <v>76432 ELMER CANDY CORP</v>
      </c>
      <c r="P809" s="17" t="str">
        <f t="shared" si="42"/>
        <v>HP 100 CLR-53mm x 1500m-6 rls/cs-S (195553)</v>
      </c>
    </row>
    <row r="810" spans="1:16" x14ac:dyDescent="0.25">
      <c r="A810" s="60" t="s">
        <v>674</v>
      </c>
      <c r="B810" s="60" t="s">
        <v>675</v>
      </c>
      <c r="C810" s="60" t="s">
        <v>259</v>
      </c>
      <c r="D810" s="60" t="s">
        <v>116</v>
      </c>
      <c r="E810" s="60" t="s">
        <v>1768</v>
      </c>
      <c r="F810" s="60" t="s">
        <v>1769</v>
      </c>
      <c r="G810" s="60" t="s">
        <v>449</v>
      </c>
      <c r="H810" s="60" t="s">
        <v>1770</v>
      </c>
      <c r="I810" s="60" t="s">
        <v>1771</v>
      </c>
      <c r="J810" s="61"/>
      <c r="K810" s="61">
        <v>102.64</v>
      </c>
      <c r="L810" s="62"/>
      <c r="M810" s="63">
        <v>56.83</v>
      </c>
      <c r="N810" s="17" t="str">
        <f t="shared" si="43"/>
        <v>7841 ASSOCIATED PKG/TN MEMPHIS</v>
      </c>
      <c r="O810" s="17" t="str">
        <f t="shared" si="44"/>
        <v>79333 NEEDLE SPECIALTY PRODUCTS</v>
      </c>
      <c r="P810" s="17" t="str">
        <f t="shared" si="42"/>
        <v>CP 066 NAT-12mm x 55m-72 rls/cs- H (104640)</v>
      </c>
    </row>
    <row r="811" spans="1:16" x14ac:dyDescent="0.25">
      <c r="A811" s="60" t="s">
        <v>674</v>
      </c>
      <c r="B811" s="60" t="s">
        <v>675</v>
      </c>
      <c r="C811" s="60" t="s">
        <v>259</v>
      </c>
      <c r="D811" s="60" t="s">
        <v>116</v>
      </c>
      <c r="E811" s="60" t="s">
        <v>1772</v>
      </c>
      <c r="F811" s="60" t="s">
        <v>1773</v>
      </c>
      <c r="G811" s="60" t="s">
        <v>1763</v>
      </c>
      <c r="H811" s="60" t="s">
        <v>1764</v>
      </c>
      <c r="I811" s="60" t="s">
        <v>1765</v>
      </c>
      <c r="J811" s="61">
        <v>98.21</v>
      </c>
      <c r="K811" s="61"/>
      <c r="L811" s="62">
        <v>75.78</v>
      </c>
      <c r="M811" s="63"/>
      <c r="N811" s="17" t="str">
        <f t="shared" si="43"/>
        <v>7841 ASSOCIATED PKG/TN MEMPHIS</v>
      </c>
      <c r="O811" s="17" t="str">
        <f t="shared" si="44"/>
        <v>90392 PRINTPACK INC</v>
      </c>
      <c r="P811" s="17" t="str">
        <f t="shared" si="42"/>
        <v>PC 600 SIL-72mm  *DO NOT USE* (209438)</v>
      </c>
    </row>
    <row r="812" spans="1:16" x14ac:dyDescent="0.25">
      <c r="A812" s="60" t="s">
        <v>674</v>
      </c>
      <c r="B812" s="60" t="s">
        <v>675</v>
      </c>
      <c r="C812" s="60" t="s">
        <v>259</v>
      </c>
      <c r="D812" s="60" t="s">
        <v>116</v>
      </c>
      <c r="E812" s="60" t="s">
        <v>789</v>
      </c>
      <c r="F812" s="60" t="s">
        <v>790</v>
      </c>
      <c r="G812" s="60" t="s">
        <v>58</v>
      </c>
      <c r="H812" s="60" t="s">
        <v>734</v>
      </c>
      <c r="I812" s="60" t="s">
        <v>735</v>
      </c>
      <c r="J812" s="61">
        <v>6011.04</v>
      </c>
      <c r="K812" s="61">
        <v>12625.12</v>
      </c>
      <c r="L812" s="62">
        <v>11333.52</v>
      </c>
      <c r="M812" s="63">
        <v>22667.040000000001</v>
      </c>
      <c r="N812" s="17" t="str">
        <f t="shared" si="43"/>
        <v>7841 ASSOCIATED PKG/TN MEMPHIS</v>
      </c>
      <c r="O812" s="17" t="str">
        <f t="shared" si="44"/>
        <v>700140 PLATTE CHEMICAL</v>
      </c>
      <c r="P812" s="17" t="str">
        <f t="shared" si="42"/>
        <v>HP 400 CLR-48mm x 914m-6 rls/cs-H/A (208547)</v>
      </c>
    </row>
    <row r="813" spans="1:16" x14ac:dyDescent="0.25">
      <c r="A813" s="60" t="s">
        <v>674</v>
      </c>
      <c r="B813" s="60" t="s">
        <v>675</v>
      </c>
      <c r="C813" s="60" t="s">
        <v>259</v>
      </c>
      <c r="D813" s="60" t="s">
        <v>116</v>
      </c>
      <c r="E813" s="60" t="s">
        <v>747</v>
      </c>
      <c r="F813" s="60" t="s">
        <v>748</v>
      </c>
      <c r="G813" s="60" t="s">
        <v>147</v>
      </c>
      <c r="H813" s="60" t="s">
        <v>791</v>
      </c>
      <c r="I813" s="60" t="s">
        <v>792</v>
      </c>
      <c r="J813" s="61"/>
      <c r="K813" s="61">
        <v>240.21</v>
      </c>
      <c r="L813" s="62"/>
      <c r="M813" s="64">
        <v>413.28</v>
      </c>
      <c r="N813" s="17" t="str">
        <f t="shared" si="43"/>
        <v>7841 ASSOCIATED PKG/TN MEMPHIS</v>
      </c>
      <c r="O813" s="17" t="str">
        <f t="shared" si="44"/>
        <v>708773 ASSOCIATED PKG FOR PICTSWEET</v>
      </c>
      <c r="P813" s="17" t="str">
        <f t="shared" si="42"/>
        <v>AP 401 CLR-48mm x 100m-36 rls/cs-H/A (230973)</v>
      </c>
    </row>
    <row r="814" spans="1:16" x14ac:dyDescent="0.25">
      <c r="A814" s="60" t="s">
        <v>674</v>
      </c>
      <c r="B814" s="60" t="s">
        <v>675</v>
      </c>
      <c r="C814" s="60" t="s">
        <v>259</v>
      </c>
      <c r="D814" s="60" t="s">
        <v>116</v>
      </c>
      <c r="E814" s="60" t="s">
        <v>747</v>
      </c>
      <c r="F814" s="60" t="s">
        <v>748</v>
      </c>
      <c r="G814" s="60" t="s">
        <v>21</v>
      </c>
      <c r="H814" s="60" t="s">
        <v>225</v>
      </c>
      <c r="I814" s="60" t="s">
        <v>53</v>
      </c>
      <c r="J814" s="61"/>
      <c r="K814" s="61">
        <v>107.4</v>
      </c>
      <c r="L814" s="65"/>
      <c r="M814" s="64">
        <v>151.56</v>
      </c>
      <c r="N814" s="17" t="str">
        <f t="shared" si="43"/>
        <v>7841 ASSOCIATED PKG/TN MEMPHIS</v>
      </c>
      <c r="O814" s="17" t="str">
        <f t="shared" si="44"/>
        <v>708773 ASSOCIATED PKG FOR PICTSWEET</v>
      </c>
      <c r="P814" s="17" t="str">
        <f t="shared" si="42"/>
        <v>CP 106 NAT-48mm x 55m-24 rls/cs-S (101008)</v>
      </c>
    </row>
    <row r="815" spans="1:16" x14ac:dyDescent="0.25">
      <c r="A815" s="60" t="s">
        <v>674</v>
      </c>
      <c r="B815" s="60" t="s">
        <v>675</v>
      </c>
      <c r="C815" s="60" t="s">
        <v>259</v>
      </c>
      <c r="D815" s="60" t="s">
        <v>116</v>
      </c>
      <c r="E815" s="60" t="s">
        <v>747</v>
      </c>
      <c r="F815" s="60" t="s">
        <v>748</v>
      </c>
      <c r="G815" s="60" t="s">
        <v>1208</v>
      </c>
      <c r="H815" s="60" t="s">
        <v>1209</v>
      </c>
      <c r="I815" s="60" t="s">
        <v>1210</v>
      </c>
      <c r="J815" s="61">
        <v>1502.58</v>
      </c>
      <c r="K815" s="61"/>
      <c r="L815" s="62">
        <v>826.68</v>
      </c>
      <c r="M815" s="63"/>
      <c r="N815" s="17" t="str">
        <f t="shared" si="43"/>
        <v>7841 ASSOCIATED PKG/TN MEMPHIS</v>
      </c>
      <c r="O815" s="17" t="str">
        <f t="shared" si="44"/>
        <v>708773 ASSOCIATED PKG FOR PICTSWEET</v>
      </c>
      <c r="P815" s="17" t="str">
        <f t="shared" si="42"/>
        <v>DP 050 CLR-48mm x 50m-24 rls/cs-H (203796)</v>
      </c>
    </row>
    <row r="816" spans="1:16" x14ac:dyDescent="0.25">
      <c r="A816" s="60" t="s">
        <v>674</v>
      </c>
      <c r="B816" s="60" t="s">
        <v>675</v>
      </c>
      <c r="C816" s="60" t="s">
        <v>259</v>
      </c>
      <c r="D816" s="60" t="s">
        <v>116</v>
      </c>
      <c r="E816" s="60" t="s">
        <v>747</v>
      </c>
      <c r="F816" s="60" t="s">
        <v>748</v>
      </c>
      <c r="G816" s="60" t="s">
        <v>65</v>
      </c>
      <c r="H816" s="60" t="s">
        <v>745</v>
      </c>
      <c r="I816" s="60" t="s">
        <v>746</v>
      </c>
      <c r="J816" s="61"/>
      <c r="K816" s="61">
        <v>661.48</v>
      </c>
      <c r="L816" s="65"/>
      <c r="M816" s="64">
        <v>454.64</v>
      </c>
      <c r="N816" s="17" t="str">
        <f t="shared" si="43"/>
        <v>7841 ASSOCIATED PKG/TN MEMPHIS</v>
      </c>
      <c r="O816" s="17" t="str">
        <f t="shared" si="44"/>
        <v>708773 ASSOCIATED PKG FOR PICTSWEET</v>
      </c>
      <c r="P816" s="17" t="str">
        <f t="shared" si="42"/>
        <v>FP 097 KFT-24mm x 55m-36 rls/cs-H (101071)</v>
      </c>
    </row>
    <row r="817" spans="1:16" x14ac:dyDescent="0.25">
      <c r="A817" s="60" t="s">
        <v>674</v>
      </c>
      <c r="B817" s="60" t="s">
        <v>675</v>
      </c>
      <c r="C817" s="60" t="s">
        <v>259</v>
      </c>
      <c r="D817" s="60" t="s">
        <v>116</v>
      </c>
      <c r="E817" s="60" t="s">
        <v>747</v>
      </c>
      <c r="F817" s="60" t="s">
        <v>748</v>
      </c>
      <c r="G817" s="60" t="s">
        <v>1016</v>
      </c>
      <c r="H817" s="60" t="s">
        <v>1515</v>
      </c>
      <c r="I817" s="60" t="s">
        <v>1516</v>
      </c>
      <c r="J817" s="61">
        <v>1810.51</v>
      </c>
      <c r="K817" s="61"/>
      <c r="L817" s="62">
        <v>1136.5999999999999</v>
      </c>
      <c r="M817" s="63"/>
      <c r="N817" s="17" t="str">
        <f t="shared" si="43"/>
        <v>7841 ASSOCIATED PKG/TN MEMPHIS</v>
      </c>
      <c r="O817" s="17" t="str">
        <f t="shared" si="44"/>
        <v>708773 ASSOCIATED PKG FOR PICTSWEET</v>
      </c>
      <c r="P817" s="17" t="str">
        <f t="shared" si="42"/>
        <v>GS 501 CLR-24mm x 55m-36 rls/cs-H/A (101287)</v>
      </c>
    </row>
    <row r="818" spans="1:16" x14ac:dyDescent="0.25">
      <c r="A818" s="60" t="s">
        <v>674</v>
      </c>
      <c r="B818" s="60" t="s">
        <v>675</v>
      </c>
      <c r="C818" s="60" t="s">
        <v>259</v>
      </c>
      <c r="D818" s="60" t="s">
        <v>116</v>
      </c>
      <c r="E818" s="60" t="s">
        <v>747</v>
      </c>
      <c r="F818" s="60" t="s">
        <v>748</v>
      </c>
      <c r="G818" s="60" t="s">
        <v>19</v>
      </c>
      <c r="H818" s="60" t="s">
        <v>221</v>
      </c>
      <c r="I818" s="60" t="s">
        <v>145</v>
      </c>
      <c r="J818" s="61">
        <v>32311.23</v>
      </c>
      <c r="K818" s="61">
        <v>44117.33</v>
      </c>
      <c r="L818" s="62">
        <v>170002.8</v>
      </c>
      <c r="M818" s="63">
        <v>221003.64</v>
      </c>
      <c r="N818" s="17" t="str">
        <f t="shared" si="43"/>
        <v>7841 ASSOCIATED PKG/TN MEMPHIS</v>
      </c>
      <c r="O818" s="17" t="str">
        <f t="shared" si="44"/>
        <v>708773 ASSOCIATED PKG FOR PICTSWEET</v>
      </c>
      <c r="P818" s="17" t="str">
        <f t="shared" si="42"/>
        <v>HP 100 CLR-48mm x 1371m-6 rls/cs- S (208470)</v>
      </c>
    </row>
    <row r="819" spans="1:16" x14ac:dyDescent="0.25">
      <c r="A819" s="60" t="s">
        <v>674</v>
      </c>
      <c r="B819" s="60" t="s">
        <v>675</v>
      </c>
      <c r="C819" s="60" t="s">
        <v>259</v>
      </c>
      <c r="D819" s="60" t="s">
        <v>116</v>
      </c>
      <c r="E819" s="60" t="s">
        <v>747</v>
      </c>
      <c r="F819" s="60" t="s">
        <v>748</v>
      </c>
      <c r="G819" s="60" t="s">
        <v>18</v>
      </c>
      <c r="H819" s="60" t="s">
        <v>214</v>
      </c>
      <c r="I819" s="60" t="s">
        <v>158</v>
      </c>
      <c r="J819" s="61">
        <v>3244.67</v>
      </c>
      <c r="K819" s="61"/>
      <c r="L819" s="62">
        <v>11333.52</v>
      </c>
      <c r="M819" s="64"/>
      <c r="N819" s="17" t="str">
        <f t="shared" si="43"/>
        <v>7841 ASSOCIATED PKG/TN MEMPHIS</v>
      </c>
      <c r="O819" s="17" t="str">
        <f t="shared" si="44"/>
        <v>708773 ASSOCIATED PKG FOR PICTSWEET</v>
      </c>
      <c r="P819" s="17" t="str">
        <f t="shared" si="42"/>
        <v>HP 200 CLR-72mm x 914m-4 rls/cs-S (208496)</v>
      </c>
    </row>
    <row r="820" spans="1:16" x14ac:dyDescent="0.25">
      <c r="A820" s="60" t="s">
        <v>674</v>
      </c>
      <c r="B820" s="60" t="s">
        <v>675</v>
      </c>
      <c r="C820" s="60" t="s">
        <v>259</v>
      </c>
      <c r="D820" s="60" t="s">
        <v>116</v>
      </c>
      <c r="E820" s="60" t="s">
        <v>747</v>
      </c>
      <c r="F820" s="60" t="s">
        <v>748</v>
      </c>
      <c r="G820" s="60" t="s">
        <v>79</v>
      </c>
      <c r="H820" s="60" t="s">
        <v>265</v>
      </c>
      <c r="I820" s="60" t="s">
        <v>148</v>
      </c>
      <c r="J820" s="61">
        <v>8848.7000000000007</v>
      </c>
      <c r="K820" s="61"/>
      <c r="L820" s="62">
        <v>34001.279999999999</v>
      </c>
      <c r="M820" s="63"/>
      <c r="N820" s="17" t="str">
        <f t="shared" si="43"/>
        <v>7841 ASSOCIATED PKG/TN MEMPHIS</v>
      </c>
      <c r="O820" s="17" t="str">
        <f t="shared" si="44"/>
        <v>708773 ASSOCIATED PKG FOR PICTSWEET</v>
      </c>
      <c r="P820" s="17" t="str">
        <f t="shared" si="42"/>
        <v>HP 232 CLR-48mm x 1371m-6 rls/cs-H/T (100052)</v>
      </c>
    </row>
    <row r="821" spans="1:16" x14ac:dyDescent="0.25">
      <c r="A821" s="60" t="s">
        <v>674</v>
      </c>
      <c r="B821" s="60" t="s">
        <v>675</v>
      </c>
      <c r="C821" s="60" t="s">
        <v>259</v>
      </c>
      <c r="D821" s="60" t="s">
        <v>116</v>
      </c>
      <c r="E821" s="60" t="s">
        <v>747</v>
      </c>
      <c r="F821" s="60" t="s">
        <v>748</v>
      </c>
      <c r="G821" s="60" t="s">
        <v>58</v>
      </c>
      <c r="H821" s="60" t="s">
        <v>501</v>
      </c>
      <c r="I821" s="60" t="s">
        <v>502</v>
      </c>
      <c r="J821" s="61"/>
      <c r="K821" s="61">
        <v>1810.51</v>
      </c>
      <c r="L821" s="62"/>
      <c r="M821" s="63">
        <v>2066.6880000000001</v>
      </c>
      <c r="N821" s="17" t="str">
        <f t="shared" si="43"/>
        <v>7841 ASSOCIATED PKG/TN MEMPHIS</v>
      </c>
      <c r="O821" s="17" t="str">
        <f t="shared" si="44"/>
        <v>708773 ASSOCIATED PKG FOR PICTSWEET</v>
      </c>
      <c r="P821" s="17" t="str">
        <f t="shared" si="42"/>
        <v>HP 400 CLR-72mm x 50m-24 rls/cs-H (207852)</v>
      </c>
    </row>
    <row r="822" spans="1:16" x14ac:dyDescent="0.25">
      <c r="A822" s="60" t="s">
        <v>674</v>
      </c>
      <c r="B822" s="60" t="s">
        <v>675</v>
      </c>
      <c r="C822" s="60" t="s">
        <v>259</v>
      </c>
      <c r="D822" s="60" t="s">
        <v>116</v>
      </c>
      <c r="E822" s="60" t="s">
        <v>747</v>
      </c>
      <c r="F822" s="60" t="s">
        <v>748</v>
      </c>
      <c r="G822" s="60" t="s">
        <v>58</v>
      </c>
      <c r="H822" s="60" t="s">
        <v>734</v>
      </c>
      <c r="I822" s="60" t="s">
        <v>735</v>
      </c>
      <c r="J822" s="61"/>
      <c r="K822" s="61">
        <v>1052.0899999999999</v>
      </c>
      <c r="L822" s="62"/>
      <c r="M822" s="63">
        <v>1888.92</v>
      </c>
      <c r="N822" s="17" t="str">
        <f t="shared" si="43"/>
        <v>7841 ASSOCIATED PKG/TN MEMPHIS</v>
      </c>
      <c r="O822" s="17" t="str">
        <f t="shared" si="44"/>
        <v>708773 ASSOCIATED PKG FOR PICTSWEET</v>
      </c>
      <c r="P822" s="17" t="str">
        <f t="shared" si="42"/>
        <v>HP 400 CLR-48mm x 914m-6 rls/cs-H/A (208547)</v>
      </c>
    </row>
    <row r="823" spans="1:16" x14ac:dyDescent="0.25">
      <c r="A823" s="60" t="s">
        <v>674</v>
      </c>
      <c r="B823" s="60" t="s">
        <v>675</v>
      </c>
      <c r="C823" s="60" t="s">
        <v>259</v>
      </c>
      <c r="D823" s="60" t="s">
        <v>116</v>
      </c>
      <c r="E823" s="60" t="s">
        <v>747</v>
      </c>
      <c r="F823" s="60" t="s">
        <v>748</v>
      </c>
      <c r="G823" s="60" t="s">
        <v>900</v>
      </c>
      <c r="H823" s="60" t="s">
        <v>901</v>
      </c>
      <c r="I823" s="60" t="s">
        <v>902</v>
      </c>
      <c r="J823" s="61"/>
      <c r="K823" s="61">
        <v>337.26</v>
      </c>
      <c r="L823" s="62"/>
      <c r="M823" s="64">
        <v>0</v>
      </c>
      <c r="N823" s="17" t="str">
        <f t="shared" si="43"/>
        <v>7841 ASSOCIATED PKG/TN MEMPHIS</v>
      </c>
      <c r="O823" s="17" t="str">
        <f t="shared" si="44"/>
        <v>708773 ASSOCIATED PKG FOR PICTSWEET</v>
      </c>
      <c r="P823" s="17" t="str">
        <f t="shared" si="42"/>
        <v>Phoenix M-1 Manual WAT Dispenser (900086)</v>
      </c>
    </row>
    <row r="824" spans="1:16" x14ac:dyDescent="0.25">
      <c r="A824" s="60" t="s">
        <v>674</v>
      </c>
      <c r="B824" s="60" t="s">
        <v>675</v>
      </c>
      <c r="C824" s="60" t="s">
        <v>259</v>
      </c>
      <c r="D824" s="60" t="s">
        <v>116</v>
      </c>
      <c r="E824" s="60" t="s">
        <v>747</v>
      </c>
      <c r="F824" s="60" t="s">
        <v>748</v>
      </c>
      <c r="G824" s="60" t="s">
        <v>52</v>
      </c>
      <c r="H824" s="60" t="s">
        <v>263</v>
      </c>
      <c r="I824" s="60" t="s">
        <v>119</v>
      </c>
      <c r="J824" s="61"/>
      <c r="K824" s="61">
        <v>2169.7600000000002</v>
      </c>
      <c r="L824" s="65"/>
      <c r="M824" s="64">
        <v>909.36</v>
      </c>
      <c r="N824" s="17" t="str">
        <f t="shared" si="43"/>
        <v>7841 ASSOCIATED PKG/TN MEMPHIS</v>
      </c>
      <c r="O824" s="17" t="str">
        <f t="shared" si="44"/>
        <v>708773 ASSOCIATED PKG FOR PICTSWEET</v>
      </c>
      <c r="P824" s="17" t="str">
        <f t="shared" si="42"/>
        <v>PC 609 SIL-48mm x 55m-24 rls/cs-H/A (207423)</v>
      </c>
    </row>
    <row r="825" spans="1:16" x14ac:dyDescent="0.25">
      <c r="A825" s="60" t="s">
        <v>674</v>
      </c>
      <c r="B825" s="60" t="s">
        <v>675</v>
      </c>
      <c r="C825" s="60" t="s">
        <v>259</v>
      </c>
      <c r="D825" s="60" t="s">
        <v>116</v>
      </c>
      <c r="E825" s="60" t="s">
        <v>747</v>
      </c>
      <c r="F825" s="60" t="s">
        <v>748</v>
      </c>
      <c r="G825" s="60" t="s">
        <v>1205</v>
      </c>
      <c r="H825" s="60" t="s">
        <v>1206</v>
      </c>
      <c r="I825" s="60" t="s">
        <v>1207</v>
      </c>
      <c r="J825" s="61"/>
      <c r="K825" s="61">
        <v>1406.6</v>
      </c>
      <c r="L825" s="62"/>
      <c r="M825" s="63">
        <v>757.8</v>
      </c>
      <c r="N825" s="17" t="str">
        <f t="shared" si="43"/>
        <v>7841 ASSOCIATED PKG/TN MEMPHIS</v>
      </c>
      <c r="O825" s="17" t="str">
        <f t="shared" si="44"/>
        <v>708773 ASSOCIATED PKG FOR PICTSWEET</v>
      </c>
      <c r="P825" s="17" t="str">
        <f t="shared" si="42"/>
        <v>PE 444 RED- 48mm X 55m- 24 rls/cs-H/A (198050)</v>
      </c>
    </row>
    <row r="826" spans="1:16" x14ac:dyDescent="0.25">
      <c r="A826" s="60" t="s">
        <v>674</v>
      </c>
      <c r="B826" s="60" t="s">
        <v>675</v>
      </c>
      <c r="C826" s="60" t="s">
        <v>259</v>
      </c>
      <c r="D826" s="60" t="s">
        <v>116</v>
      </c>
      <c r="E826" s="60" t="s">
        <v>747</v>
      </c>
      <c r="F826" s="60" t="s">
        <v>748</v>
      </c>
      <c r="G826" s="60" t="s">
        <v>451</v>
      </c>
      <c r="H826" s="60" t="s">
        <v>452</v>
      </c>
      <c r="I826" s="60" t="s">
        <v>453</v>
      </c>
      <c r="J826" s="61"/>
      <c r="K826" s="61">
        <v>110.98</v>
      </c>
      <c r="L826" s="62"/>
      <c r="M826" s="63">
        <v>118.83</v>
      </c>
      <c r="N826" s="17" t="str">
        <f t="shared" si="43"/>
        <v>7841 ASSOCIATED PKG/TN MEMPHIS</v>
      </c>
      <c r="O826" s="17" t="str">
        <f t="shared" si="44"/>
        <v>708773 ASSOCIATED PKG FOR PICTSWEET</v>
      </c>
      <c r="P826" s="17" t="str">
        <f t="shared" si="42"/>
        <v>WP 200 NAT-72mmx138m(450ft)-10rls/cs-H/A (101707)</v>
      </c>
    </row>
    <row r="827" spans="1:16" x14ac:dyDescent="0.25">
      <c r="A827" s="60" t="s">
        <v>674</v>
      </c>
      <c r="B827" s="60" t="s">
        <v>675</v>
      </c>
      <c r="C827" s="60" t="s">
        <v>259</v>
      </c>
      <c r="D827" s="60" t="s">
        <v>116</v>
      </c>
      <c r="E827" s="60" t="s">
        <v>1211</v>
      </c>
      <c r="F827" s="60" t="s">
        <v>1212</v>
      </c>
      <c r="G827" s="60" t="s">
        <v>19</v>
      </c>
      <c r="H827" s="60" t="s">
        <v>243</v>
      </c>
      <c r="I827" s="60" t="s">
        <v>87</v>
      </c>
      <c r="J827" s="61">
        <v>23414.06</v>
      </c>
      <c r="K827" s="61">
        <v>12294.37</v>
      </c>
      <c r="L827" s="62">
        <v>60445.440000000002</v>
      </c>
      <c r="M827" s="64">
        <v>30222.720000000001</v>
      </c>
      <c r="N827" s="17" t="str">
        <f t="shared" si="43"/>
        <v>7841 ASSOCIATED PKG/TN MEMPHIS</v>
      </c>
      <c r="O827" s="17" t="str">
        <f t="shared" si="44"/>
        <v>717793 CALBEE NORTH AMERICA</v>
      </c>
      <c r="P827" s="17" t="str">
        <f t="shared" si="42"/>
        <v>HP 100 CLR-48mm x 914m-6 rls/cs-S (208453)</v>
      </c>
    </row>
    <row r="828" spans="1:16" x14ac:dyDescent="0.25">
      <c r="A828" s="60" t="s">
        <v>674</v>
      </c>
      <c r="B828" s="60" t="s">
        <v>675</v>
      </c>
      <c r="C828" s="60" t="s">
        <v>259</v>
      </c>
      <c r="D828" s="60" t="s">
        <v>116</v>
      </c>
      <c r="E828" s="60" t="s">
        <v>1517</v>
      </c>
      <c r="F828" s="60" t="s">
        <v>1518</v>
      </c>
      <c r="G828" s="60" t="s">
        <v>468</v>
      </c>
      <c r="H828" s="60" t="s">
        <v>1417</v>
      </c>
      <c r="I828" s="60" t="s">
        <v>1418</v>
      </c>
      <c r="J828" s="61">
        <v>17564.099999999999</v>
      </c>
      <c r="K828" s="61"/>
      <c r="L828" s="65">
        <v>8473.06</v>
      </c>
      <c r="M828" s="64"/>
      <c r="N828" s="17" t="str">
        <f t="shared" si="43"/>
        <v>7841 ASSOCIATED PKG/TN MEMPHIS</v>
      </c>
      <c r="O828" s="17" t="str">
        <f t="shared" si="44"/>
        <v>717860 SYNOVOS</v>
      </c>
      <c r="P828" s="17" t="str">
        <f t="shared" si="42"/>
        <v>HP 800 CLR-48mm x 50m-36 rls/cs-H (125419)</v>
      </c>
    </row>
    <row r="829" spans="1:16" x14ac:dyDescent="0.25">
      <c r="A829" s="60" t="s">
        <v>674</v>
      </c>
      <c r="B829" s="60" t="s">
        <v>675</v>
      </c>
      <c r="C829" s="60" t="s">
        <v>259</v>
      </c>
      <c r="D829" s="60" t="s">
        <v>116</v>
      </c>
      <c r="E829" s="60" t="s">
        <v>1517</v>
      </c>
      <c r="F829" s="60" t="s">
        <v>1518</v>
      </c>
      <c r="G829" s="60" t="s">
        <v>468</v>
      </c>
      <c r="H829" s="60" t="s">
        <v>1519</v>
      </c>
      <c r="I829" s="60" t="s">
        <v>1520</v>
      </c>
      <c r="J829" s="61">
        <v>21367.97</v>
      </c>
      <c r="K829" s="61"/>
      <c r="L829" s="62">
        <v>14166.9</v>
      </c>
      <c r="M829" s="64"/>
      <c r="N829" s="17" t="str">
        <f t="shared" si="43"/>
        <v>7841 ASSOCIATED PKG/TN MEMPHIS</v>
      </c>
      <c r="O829" s="17" t="str">
        <f t="shared" si="44"/>
        <v>717860 SYNOVOS</v>
      </c>
      <c r="P829" s="17" t="str">
        <f t="shared" si="42"/>
        <v>HP 800 CLR-48mm x 914m-6 rls/cs-NS (208836)</v>
      </c>
    </row>
    <row r="830" spans="1:16" x14ac:dyDescent="0.25">
      <c r="A830" s="60" t="s">
        <v>674</v>
      </c>
      <c r="B830" s="60" t="s">
        <v>675</v>
      </c>
      <c r="C830" s="60" t="s">
        <v>259</v>
      </c>
      <c r="D830" s="60" t="s">
        <v>116</v>
      </c>
      <c r="E830" s="60" t="s">
        <v>475</v>
      </c>
      <c r="F830" s="60" t="s">
        <v>476</v>
      </c>
      <c r="G830" s="60" t="s">
        <v>56</v>
      </c>
      <c r="H830" s="60" t="s">
        <v>1503</v>
      </c>
      <c r="I830" s="60" t="s">
        <v>1504</v>
      </c>
      <c r="J830" s="61">
        <v>1284.23</v>
      </c>
      <c r="K830" s="61"/>
      <c r="L830" s="65">
        <v>4722.5259999999998</v>
      </c>
      <c r="M830" s="64"/>
      <c r="N830" s="17" t="str">
        <f t="shared" si="43"/>
        <v>7841 ASSOCIATED PKG/TN MEMPHIS</v>
      </c>
      <c r="O830" s="17" t="str">
        <f t="shared" si="44"/>
        <v>718680 ASSOCIATED PKG FOR PFS WEB</v>
      </c>
      <c r="P830" s="17" t="str">
        <f t="shared" si="42"/>
        <v>AP 101 CLR-48mm x 1371m-6 rls/cs-H (231059)</v>
      </c>
    </row>
    <row r="831" spans="1:16" x14ac:dyDescent="0.25">
      <c r="A831" s="60" t="s">
        <v>674</v>
      </c>
      <c r="B831" s="60" t="s">
        <v>675</v>
      </c>
      <c r="C831" s="60" t="s">
        <v>259</v>
      </c>
      <c r="D831" s="60" t="s">
        <v>116</v>
      </c>
      <c r="E831" s="60" t="s">
        <v>475</v>
      </c>
      <c r="F831" s="60" t="s">
        <v>476</v>
      </c>
      <c r="G831" s="60" t="s">
        <v>21</v>
      </c>
      <c r="H831" s="60" t="s">
        <v>1105</v>
      </c>
      <c r="I831" s="60" t="s">
        <v>1106</v>
      </c>
      <c r="J831" s="61"/>
      <c r="K831" s="61">
        <v>470.45</v>
      </c>
      <c r="L831" s="62"/>
      <c r="M831" s="63">
        <v>681.96</v>
      </c>
      <c r="N831" s="17" t="str">
        <f t="shared" si="43"/>
        <v>7841 ASSOCIATED PKG/TN MEMPHIS</v>
      </c>
      <c r="O831" s="17" t="str">
        <f t="shared" si="44"/>
        <v>718680 ASSOCIATED PKG FOR PFS WEB</v>
      </c>
      <c r="P831" s="17" t="str">
        <f t="shared" si="42"/>
        <v>CP 106 NAT-36mm x 55m-24 rls/cs-S (101007)</v>
      </c>
    </row>
    <row r="832" spans="1:16" x14ac:dyDescent="0.25">
      <c r="A832" s="60" t="s">
        <v>674</v>
      </c>
      <c r="B832" s="60" t="s">
        <v>675</v>
      </c>
      <c r="C832" s="60" t="s">
        <v>259</v>
      </c>
      <c r="D832" s="60" t="s">
        <v>116</v>
      </c>
      <c r="E832" s="60" t="s">
        <v>475</v>
      </c>
      <c r="F832" s="60" t="s">
        <v>476</v>
      </c>
      <c r="G832" s="60" t="s">
        <v>21</v>
      </c>
      <c r="H832" s="60" t="s">
        <v>225</v>
      </c>
      <c r="I832" s="60" t="s">
        <v>53</v>
      </c>
      <c r="J832" s="61"/>
      <c r="K832" s="61">
        <v>268.49</v>
      </c>
      <c r="L832" s="65"/>
      <c r="M832" s="64">
        <v>378.9</v>
      </c>
      <c r="N832" s="17" t="str">
        <f t="shared" si="43"/>
        <v>7841 ASSOCIATED PKG/TN MEMPHIS</v>
      </c>
      <c r="O832" s="17" t="str">
        <f t="shared" si="44"/>
        <v>718680 ASSOCIATED PKG FOR PFS WEB</v>
      </c>
      <c r="P832" s="17" t="str">
        <f t="shared" si="42"/>
        <v>CP 106 NAT-48mm x 55m-24 rls/cs-S (101008)</v>
      </c>
    </row>
    <row r="833" spans="1:16" x14ac:dyDescent="0.25">
      <c r="A833" s="60" t="s">
        <v>674</v>
      </c>
      <c r="B833" s="60" t="s">
        <v>675</v>
      </c>
      <c r="C833" s="60" t="s">
        <v>259</v>
      </c>
      <c r="D833" s="60" t="s">
        <v>116</v>
      </c>
      <c r="E833" s="60" t="s">
        <v>475</v>
      </c>
      <c r="F833" s="60" t="s">
        <v>476</v>
      </c>
      <c r="G833" s="60" t="s">
        <v>1208</v>
      </c>
      <c r="H833" s="60" t="s">
        <v>1209</v>
      </c>
      <c r="I833" s="60" t="s">
        <v>1210</v>
      </c>
      <c r="J833" s="61">
        <v>1502.58</v>
      </c>
      <c r="K833" s="61"/>
      <c r="L833" s="65">
        <v>826.68</v>
      </c>
      <c r="M833" s="64"/>
      <c r="N833" s="17" t="str">
        <f t="shared" si="43"/>
        <v>7841 ASSOCIATED PKG/TN MEMPHIS</v>
      </c>
      <c r="O833" s="17" t="str">
        <f t="shared" si="44"/>
        <v>718680 ASSOCIATED PKG FOR PFS WEB</v>
      </c>
      <c r="P833" s="17" t="str">
        <f t="shared" si="42"/>
        <v>DP 050 CLR-48mm x 50m-24 rls/cs-H (203796)</v>
      </c>
    </row>
    <row r="834" spans="1:16" x14ac:dyDescent="0.25">
      <c r="A834" s="60" t="s">
        <v>674</v>
      </c>
      <c r="B834" s="60" t="s">
        <v>675</v>
      </c>
      <c r="C834" s="60" t="s">
        <v>259</v>
      </c>
      <c r="D834" s="60" t="s">
        <v>116</v>
      </c>
      <c r="E834" s="60" t="s">
        <v>475</v>
      </c>
      <c r="F834" s="60" t="s">
        <v>476</v>
      </c>
      <c r="G834" s="60" t="s">
        <v>65</v>
      </c>
      <c r="H834" s="60" t="s">
        <v>252</v>
      </c>
      <c r="I834" s="60" t="s">
        <v>152</v>
      </c>
      <c r="J834" s="61">
        <v>2569.88</v>
      </c>
      <c r="K834" s="61">
        <v>82228.600000000006</v>
      </c>
      <c r="L834" s="65">
        <v>2424.96</v>
      </c>
      <c r="M834" s="64">
        <v>76386.240000000005</v>
      </c>
      <c r="N834" s="17" t="str">
        <f t="shared" si="43"/>
        <v>7841 ASSOCIATED PKG/TN MEMPHIS</v>
      </c>
      <c r="O834" s="17" t="str">
        <f t="shared" si="44"/>
        <v>718680 ASSOCIATED PKG FOR PFS WEB</v>
      </c>
      <c r="P834" s="17" t="str">
        <f t="shared" si="42"/>
        <v>FP 097 KFT-72mm x 55m-16 rls/cs-H/A (101073)</v>
      </c>
    </row>
    <row r="835" spans="1:16" x14ac:dyDescent="0.25">
      <c r="A835" s="60" t="s">
        <v>674</v>
      </c>
      <c r="B835" s="60" t="s">
        <v>675</v>
      </c>
      <c r="C835" s="60" t="s">
        <v>259</v>
      </c>
      <c r="D835" s="60" t="s">
        <v>116</v>
      </c>
      <c r="E835" s="60" t="s">
        <v>475</v>
      </c>
      <c r="F835" s="60" t="s">
        <v>476</v>
      </c>
      <c r="G835" s="60" t="s">
        <v>19</v>
      </c>
      <c r="H835" s="60" t="s">
        <v>233</v>
      </c>
      <c r="I835" s="60" t="s">
        <v>49</v>
      </c>
      <c r="J835" s="61">
        <v>2950.99</v>
      </c>
      <c r="K835" s="61"/>
      <c r="L835" s="65">
        <v>12399.6</v>
      </c>
      <c r="M835" s="64"/>
      <c r="N835" s="17" t="str">
        <f t="shared" si="43"/>
        <v>7841 ASSOCIATED PKG/TN MEMPHIS</v>
      </c>
      <c r="O835" s="17" t="str">
        <f t="shared" si="44"/>
        <v>718680 ASSOCIATED PKG FOR PFS WEB</v>
      </c>
      <c r="P835" s="17" t="str">
        <f t="shared" si="42"/>
        <v>HP 100 CLR-48mm x 100m-36 rls/cs-S (207142)</v>
      </c>
    </row>
    <row r="836" spans="1:16" x14ac:dyDescent="0.25">
      <c r="A836" s="60" t="s">
        <v>674</v>
      </c>
      <c r="B836" s="60" t="s">
        <v>675</v>
      </c>
      <c r="C836" s="60" t="s">
        <v>259</v>
      </c>
      <c r="D836" s="60" t="s">
        <v>116</v>
      </c>
      <c r="E836" s="60" t="s">
        <v>475</v>
      </c>
      <c r="F836" s="60" t="s">
        <v>476</v>
      </c>
      <c r="G836" s="60" t="s">
        <v>18</v>
      </c>
      <c r="H836" s="60" t="s">
        <v>215</v>
      </c>
      <c r="I836" s="60" t="s">
        <v>50</v>
      </c>
      <c r="J836" s="61"/>
      <c r="K836" s="61">
        <v>2815.56</v>
      </c>
      <c r="L836" s="65"/>
      <c r="M836" s="64">
        <v>10333</v>
      </c>
      <c r="N836" s="17" t="str">
        <f t="shared" si="43"/>
        <v>7841 ASSOCIATED PKG/TN MEMPHIS</v>
      </c>
      <c r="O836" s="17" t="str">
        <f t="shared" si="44"/>
        <v>718680 ASSOCIATED PKG FOR PFS WEB</v>
      </c>
      <c r="P836" s="17" t="str">
        <f t="shared" ref="P836:P863" si="45">I836&amp;" ("&amp;H836&amp;")"</f>
        <v>HP 200 CLR-48mm x 100m-36 rls/cs-S (207149)</v>
      </c>
    </row>
    <row r="837" spans="1:16" x14ac:dyDescent="0.25">
      <c r="A837" s="60" t="s">
        <v>674</v>
      </c>
      <c r="B837" s="60" t="s">
        <v>675</v>
      </c>
      <c r="C837" s="60" t="s">
        <v>259</v>
      </c>
      <c r="D837" s="60" t="s">
        <v>116</v>
      </c>
      <c r="E837" s="60" t="s">
        <v>475</v>
      </c>
      <c r="F837" s="60" t="s">
        <v>476</v>
      </c>
      <c r="G837" s="60" t="s">
        <v>18</v>
      </c>
      <c r="H837" s="60" t="s">
        <v>219</v>
      </c>
      <c r="I837" s="60" t="s">
        <v>60</v>
      </c>
      <c r="J837" s="61">
        <v>70579.08</v>
      </c>
      <c r="K837" s="61"/>
      <c r="L837" s="65">
        <v>299657</v>
      </c>
      <c r="M837" s="64"/>
      <c r="N837" s="17" t="str">
        <f t="shared" si="43"/>
        <v>7841 ASSOCIATED PKG/TN MEMPHIS</v>
      </c>
      <c r="O837" s="17" t="str">
        <f t="shared" si="44"/>
        <v>718680 ASSOCIATED PKG FOR PFS WEB</v>
      </c>
      <c r="P837" s="17" t="str">
        <f t="shared" si="45"/>
        <v>HP 200 CLR-72mm x 100m-24 rls/cs-S (207233)</v>
      </c>
    </row>
    <row r="838" spans="1:16" x14ac:dyDescent="0.25">
      <c r="A838" s="60" t="s">
        <v>674</v>
      </c>
      <c r="B838" s="60" t="s">
        <v>675</v>
      </c>
      <c r="C838" s="60" t="s">
        <v>259</v>
      </c>
      <c r="D838" s="60" t="s">
        <v>116</v>
      </c>
      <c r="E838" s="60" t="s">
        <v>475</v>
      </c>
      <c r="F838" s="60" t="s">
        <v>476</v>
      </c>
      <c r="G838" s="60" t="s">
        <v>58</v>
      </c>
      <c r="H838" s="60" t="s">
        <v>262</v>
      </c>
      <c r="I838" s="60" t="s">
        <v>92</v>
      </c>
      <c r="J838" s="61"/>
      <c r="K838" s="61">
        <v>1152.83</v>
      </c>
      <c r="L838" s="65"/>
      <c r="M838" s="64">
        <v>2518.6030000000001</v>
      </c>
      <c r="N838" s="17" t="str">
        <f t="shared" si="43"/>
        <v>7841 ASSOCIATED PKG/TN MEMPHIS</v>
      </c>
      <c r="O838" s="17" t="str">
        <f t="shared" si="44"/>
        <v>718680 ASSOCIATED PKG FOR PFS WEB</v>
      </c>
      <c r="P838" s="17" t="str">
        <f t="shared" si="45"/>
        <v>HP 400 CLR-72mm x 914m-4 rls/cs-H/A (208558)</v>
      </c>
    </row>
    <row r="839" spans="1:16" x14ac:dyDescent="0.25">
      <c r="A839" s="60" t="s">
        <v>674</v>
      </c>
      <c r="B839" s="60" t="s">
        <v>675</v>
      </c>
      <c r="C839" s="60" t="s">
        <v>259</v>
      </c>
      <c r="D839" s="60" t="s">
        <v>116</v>
      </c>
      <c r="E839" s="60" t="s">
        <v>475</v>
      </c>
      <c r="F839" s="60" t="s">
        <v>476</v>
      </c>
      <c r="G839" s="60" t="s">
        <v>1763</v>
      </c>
      <c r="H839" s="60" t="s">
        <v>1764</v>
      </c>
      <c r="I839" s="60" t="s">
        <v>1765</v>
      </c>
      <c r="J839" s="61">
        <v>196.42</v>
      </c>
      <c r="K839" s="61"/>
      <c r="L839" s="65">
        <v>151.56</v>
      </c>
      <c r="M839" s="64"/>
      <c r="N839" s="17" t="str">
        <f t="shared" si="43"/>
        <v>7841 ASSOCIATED PKG/TN MEMPHIS</v>
      </c>
      <c r="O839" s="17" t="str">
        <f t="shared" si="44"/>
        <v>718680 ASSOCIATED PKG FOR PFS WEB</v>
      </c>
      <c r="P839" s="17" t="str">
        <f t="shared" si="45"/>
        <v>PC 600 SIL-72mm  *DO NOT USE* (209438)</v>
      </c>
    </row>
    <row r="840" spans="1:16" x14ac:dyDescent="0.25">
      <c r="A840" s="60" t="s">
        <v>674</v>
      </c>
      <c r="B840" s="60" t="s">
        <v>675</v>
      </c>
      <c r="C840" s="60" t="s">
        <v>259</v>
      </c>
      <c r="D840" s="60" t="s">
        <v>116</v>
      </c>
      <c r="E840" s="60" t="s">
        <v>475</v>
      </c>
      <c r="F840" s="60" t="s">
        <v>476</v>
      </c>
      <c r="G840" s="60" t="s">
        <v>52</v>
      </c>
      <c r="H840" s="60" t="s">
        <v>263</v>
      </c>
      <c r="I840" s="60" t="s">
        <v>119</v>
      </c>
      <c r="J840" s="61">
        <v>2047.16</v>
      </c>
      <c r="K840" s="61"/>
      <c r="L840" s="65">
        <v>909.36</v>
      </c>
      <c r="M840" s="64"/>
      <c r="N840" s="17" t="str">
        <f t="shared" si="43"/>
        <v>7841 ASSOCIATED PKG/TN MEMPHIS</v>
      </c>
      <c r="O840" s="17" t="str">
        <f t="shared" si="44"/>
        <v>718680 ASSOCIATED PKG FOR PFS WEB</v>
      </c>
      <c r="P840" s="17" t="str">
        <f t="shared" si="45"/>
        <v>PC 609 SIL-48mm x 55m-24 rls/cs-H/A (207423)</v>
      </c>
    </row>
    <row r="841" spans="1:16" x14ac:dyDescent="0.25">
      <c r="A841" s="60" t="s">
        <v>674</v>
      </c>
      <c r="B841" s="60" t="s">
        <v>675</v>
      </c>
      <c r="C841" s="60" t="s">
        <v>259</v>
      </c>
      <c r="D841" s="60" t="s">
        <v>116</v>
      </c>
      <c r="E841" s="60" t="s">
        <v>1213</v>
      </c>
      <c r="F841" s="60" t="s">
        <v>1214</v>
      </c>
      <c r="G841" s="60" t="s">
        <v>18</v>
      </c>
      <c r="H841" s="60" t="s">
        <v>212</v>
      </c>
      <c r="I841" s="60" t="s">
        <v>86</v>
      </c>
      <c r="J841" s="61">
        <v>3735.07</v>
      </c>
      <c r="K841" s="61">
        <v>3914.7</v>
      </c>
      <c r="L841" s="65">
        <v>15111.36</v>
      </c>
      <c r="M841" s="64">
        <v>15111.36</v>
      </c>
      <c r="N841" s="17" t="str">
        <f t="shared" si="43"/>
        <v>7841 ASSOCIATED PKG/TN MEMPHIS</v>
      </c>
      <c r="O841" s="17" t="str">
        <f t="shared" si="44"/>
        <v>719039 AXEL AMERICAS LLC</v>
      </c>
      <c r="P841" s="17" t="str">
        <f t="shared" si="45"/>
        <v>HP 200 CLR-48mm x 914m-6 rls/cs-S (208492)</v>
      </c>
    </row>
    <row r="842" spans="1:16" x14ac:dyDescent="0.25">
      <c r="A842" s="60" t="s">
        <v>674</v>
      </c>
      <c r="B842" s="60" t="s">
        <v>675</v>
      </c>
      <c r="C842" s="60" t="s">
        <v>259</v>
      </c>
      <c r="D842" s="60" t="s">
        <v>116</v>
      </c>
      <c r="E842" s="60" t="s">
        <v>1215</v>
      </c>
      <c r="F842" s="60" t="s">
        <v>1216</v>
      </c>
      <c r="G842" s="60" t="s">
        <v>1021</v>
      </c>
      <c r="H842" s="60" t="s">
        <v>1217</v>
      </c>
      <c r="I842" s="60" t="s">
        <v>1218</v>
      </c>
      <c r="J842" s="61"/>
      <c r="K842" s="61">
        <v>1066.3499999999999</v>
      </c>
      <c r="L842" s="65"/>
      <c r="M842" s="64">
        <v>144</v>
      </c>
      <c r="N842" s="17" t="str">
        <f t="shared" si="43"/>
        <v>7841 ASSOCIATED PKG/TN MEMPHIS</v>
      </c>
      <c r="O842" s="17" t="str">
        <f t="shared" si="44"/>
        <v>719067 DRUMHELLER PACKAGING</v>
      </c>
      <c r="P842" s="17" t="str">
        <f t="shared" si="45"/>
        <v>DF 065 NAT-18mm x 33m-48 rls/cs-H/A (100763)</v>
      </c>
    </row>
    <row r="843" spans="1:16" x14ac:dyDescent="0.25">
      <c r="A843" s="60" t="s">
        <v>674</v>
      </c>
      <c r="B843" s="60" t="s">
        <v>675</v>
      </c>
      <c r="C843" s="60" t="s">
        <v>259</v>
      </c>
      <c r="D843" s="60" t="s">
        <v>116</v>
      </c>
      <c r="E843" s="60" t="s">
        <v>266</v>
      </c>
      <c r="F843" s="60" t="s">
        <v>107</v>
      </c>
      <c r="G843" s="60" t="s">
        <v>19</v>
      </c>
      <c r="H843" s="60" t="s">
        <v>261</v>
      </c>
      <c r="I843" s="60" t="s">
        <v>117</v>
      </c>
      <c r="J843" s="61">
        <v>19654.740000000002</v>
      </c>
      <c r="K843" s="61">
        <v>25968.720000000001</v>
      </c>
      <c r="L843" s="65">
        <v>93002.4</v>
      </c>
      <c r="M843" s="64">
        <v>111602.88</v>
      </c>
      <c r="N843" s="17" t="str">
        <f t="shared" si="43"/>
        <v>7841 ASSOCIATED PKG/TN MEMPHIS</v>
      </c>
      <c r="O843" s="17" t="str">
        <f t="shared" si="44"/>
        <v>721581 RICH PRODUCTS</v>
      </c>
      <c r="P843" s="17" t="str">
        <f t="shared" si="45"/>
        <v>HP 100 CLR-72mm x 1500m-4 rls/cs-H/T (104315)</v>
      </c>
    </row>
    <row r="844" spans="1:16" x14ac:dyDescent="0.25">
      <c r="A844" s="60" t="s">
        <v>674</v>
      </c>
      <c r="B844" s="60" t="s">
        <v>675</v>
      </c>
      <c r="C844" s="60" t="s">
        <v>259</v>
      </c>
      <c r="D844" s="60" t="s">
        <v>116</v>
      </c>
      <c r="E844" s="60" t="s">
        <v>346</v>
      </c>
      <c r="F844" s="60" t="s">
        <v>823</v>
      </c>
      <c r="G844" s="60" t="s">
        <v>147</v>
      </c>
      <c r="H844" s="60" t="s">
        <v>595</v>
      </c>
      <c r="I844" s="60" t="s">
        <v>596</v>
      </c>
      <c r="J844" s="61">
        <v>1896.05</v>
      </c>
      <c r="K844" s="61"/>
      <c r="L844" s="65">
        <v>4133.3760000000002</v>
      </c>
      <c r="M844" s="64"/>
      <c r="N844" s="17" t="str">
        <f t="shared" si="43"/>
        <v>7841 ASSOCIATED PKG/TN MEMPHIS</v>
      </c>
      <c r="O844" s="17" t="str">
        <f t="shared" si="44"/>
        <v>733143 ASSOCIATED PKG FOR HOMEGOODS</v>
      </c>
      <c r="P844" s="17" t="str">
        <f t="shared" si="45"/>
        <v>AP 401 CLR-72mm x 100m-24 rls/cs-H (230976)</v>
      </c>
    </row>
    <row r="845" spans="1:16" x14ac:dyDescent="0.25">
      <c r="A845" s="60" t="s">
        <v>674</v>
      </c>
      <c r="B845" s="60" t="s">
        <v>675</v>
      </c>
      <c r="C845" s="60" t="s">
        <v>259</v>
      </c>
      <c r="D845" s="60" t="s">
        <v>116</v>
      </c>
      <c r="E845" s="60" t="s">
        <v>346</v>
      </c>
      <c r="F845" s="60" t="s">
        <v>823</v>
      </c>
      <c r="G845" s="60" t="s">
        <v>38</v>
      </c>
      <c r="H845" s="60" t="s">
        <v>1521</v>
      </c>
      <c r="I845" s="60" t="s">
        <v>1522</v>
      </c>
      <c r="J845" s="61">
        <v>290.11</v>
      </c>
      <c r="K845" s="61"/>
      <c r="L845" s="65">
        <v>227.304</v>
      </c>
      <c r="M845" s="64"/>
      <c r="N845" s="17" t="str">
        <f t="shared" si="43"/>
        <v>7841 ASSOCIATED PKG/TN MEMPHIS</v>
      </c>
      <c r="O845" s="17" t="str">
        <f t="shared" si="44"/>
        <v>733143 ASSOCIATED PKG FOR HOMEGOODS</v>
      </c>
      <c r="P845" s="17" t="str">
        <f t="shared" si="45"/>
        <v>CP 631 RED-48mm x 55m-24 rls/cs-H (114685)</v>
      </c>
    </row>
    <row r="846" spans="1:16" x14ac:dyDescent="0.25">
      <c r="A846" s="60" t="s">
        <v>674</v>
      </c>
      <c r="B846" s="60" t="s">
        <v>675</v>
      </c>
      <c r="C846" s="60" t="s">
        <v>259</v>
      </c>
      <c r="D846" s="60" t="s">
        <v>116</v>
      </c>
      <c r="E846" s="60" t="s">
        <v>346</v>
      </c>
      <c r="F846" s="60" t="s">
        <v>823</v>
      </c>
      <c r="G846" s="60" t="s">
        <v>18</v>
      </c>
      <c r="H846" s="60" t="s">
        <v>212</v>
      </c>
      <c r="I846" s="60" t="s">
        <v>86</v>
      </c>
      <c r="J846" s="61">
        <v>3735.07</v>
      </c>
      <c r="K846" s="61"/>
      <c r="L846" s="65">
        <v>15111.36</v>
      </c>
      <c r="M846" s="64"/>
      <c r="N846" s="17" t="str">
        <f t="shared" si="43"/>
        <v>7841 ASSOCIATED PKG/TN MEMPHIS</v>
      </c>
      <c r="O846" s="17" t="str">
        <f t="shared" si="44"/>
        <v>733143 ASSOCIATED PKG FOR HOMEGOODS</v>
      </c>
      <c r="P846" s="17" t="str">
        <f t="shared" si="45"/>
        <v>HP 200 CLR-48mm x 914m-6 rls/cs-S (208492)</v>
      </c>
    </row>
    <row r="847" spans="1:16" x14ac:dyDescent="0.25">
      <c r="A847" s="60" t="s">
        <v>674</v>
      </c>
      <c r="B847" s="60" t="s">
        <v>675</v>
      </c>
      <c r="C847" s="60" t="s">
        <v>259</v>
      </c>
      <c r="D847" s="60" t="s">
        <v>116</v>
      </c>
      <c r="E847" s="60" t="s">
        <v>346</v>
      </c>
      <c r="F847" s="60" t="s">
        <v>823</v>
      </c>
      <c r="G847" s="60" t="s">
        <v>62</v>
      </c>
      <c r="H847" s="60" t="s">
        <v>245</v>
      </c>
      <c r="I847" s="60" t="s">
        <v>118</v>
      </c>
      <c r="J847" s="61">
        <v>570.24</v>
      </c>
      <c r="K847" s="61">
        <v>7549.98</v>
      </c>
      <c r="L847" s="65">
        <v>1653.36</v>
      </c>
      <c r="M847" s="64">
        <v>19840.32</v>
      </c>
      <c r="N847" s="17" t="str">
        <f t="shared" si="43"/>
        <v>7841 ASSOCIATED PKG/TN MEMPHIS</v>
      </c>
      <c r="O847" s="17" t="str">
        <f t="shared" si="44"/>
        <v>733143 ASSOCIATED PKG FOR HOMEGOODS</v>
      </c>
      <c r="P847" s="17" t="str">
        <f t="shared" si="45"/>
        <v>HP 300 CLR-72mm x 100m-24 RLS/CS-H (207870)</v>
      </c>
    </row>
    <row r="848" spans="1:16" x14ac:dyDescent="0.25">
      <c r="A848" s="60" t="s">
        <v>674</v>
      </c>
      <c r="B848" s="60" t="s">
        <v>675</v>
      </c>
      <c r="C848" s="60" t="s">
        <v>259</v>
      </c>
      <c r="D848" s="60" t="s">
        <v>116</v>
      </c>
      <c r="E848" s="60" t="s">
        <v>712</v>
      </c>
      <c r="F848" s="60" t="s">
        <v>713</v>
      </c>
      <c r="G848" s="60" t="s">
        <v>58</v>
      </c>
      <c r="H848" s="60" t="s">
        <v>236</v>
      </c>
      <c r="I848" s="60" t="s">
        <v>129</v>
      </c>
      <c r="J848" s="61"/>
      <c r="K848" s="61">
        <v>1813.36</v>
      </c>
      <c r="L848" s="65"/>
      <c r="M848" s="64">
        <v>3306.72</v>
      </c>
      <c r="N848" s="17" t="str">
        <f t="shared" si="43"/>
        <v>7841 ASSOCIATED PKG/TN MEMPHIS</v>
      </c>
      <c r="O848" s="17" t="str">
        <f t="shared" si="44"/>
        <v>733431 GENERIC ONE TIME SHIP-TO B2B DIST P</v>
      </c>
      <c r="P848" s="17" t="str">
        <f t="shared" si="45"/>
        <v>HP 400 CLR-72mm x 100m-24 rls/cs-H/A (207845)</v>
      </c>
    </row>
    <row r="849" spans="1:16" x14ac:dyDescent="0.25">
      <c r="A849" s="60" t="s">
        <v>674</v>
      </c>
      <c r="B849" s="60" t="s">
        <v>675</v>
      </c>
      <c r="C849" s="60" t="s">
        <v>259</v>
      </c>
      <c r="D849" s="60" t="s">
        <v>116</v>
      </c>
      <c r="E849" s="60" t="s">
        <v>347</v>
      </c>
      <c r="F849" s="60" t="s">
        <v>348</v>
      </c>
      <c r="G849" s="60" t="s">
        <v>19</v>
      </c>
      <c r="H849" s="60" t="s">
        <v>222</v>
      </c>
      <c r="I849" s="60" t="s">
        <v>104</v>
      </c>
      <c r="J849" s="61"/>
      <c r="K849" s="61">
        <v>11923.72</v>
      </c>
      <c r="L849" s="65"/>
      <c r="M849" s="64">
        <v>41074.991999999998</v>
      </c>
      <c r="N849" s="17" t="str">
        <f t="shared" si="43"/>
        <v>7841 ASSOCIATED PKG/TN MEMPHIS</v>
      </c>
      <c r="O849" s="17" t="str">
        <f t="shared" si="44"/>
        <v>736340 HELENA INDUSTRIES</v>
      </c>
      <c r="P849" s="17" t="str">
        <f t="shared" si="45"/>
        <v>HP 100 CLR-53mm x 1500m-6 rls/cs-S (195553)</v>
      </c>
    </row>
    <row r="850" spans="1:16" x14ac:dyDescent="0.25">
      <c r="A850" s="60" t="s">
        <v>674</v>
      </c>
      <c r="B850" s="60" t="s">
        <v>675</v>
      </c>
      <c r="C850" s="60" t="s">
        <v>259</v>
      </c>
      <c r="D850" s="60" t="s">
        <v>116</v>
      </c>
      <c r="E850" s="60" t="s">
        <v>347</v>
      </c>
      <c r="F850" s="60" t="s">
        <v>348</v>
      </c>
      <c r="G850" s="60" t="s">
        <v>344</v>
      </c>
      <c r="H850" s="60" t="s">
        <v>345</v>
      </c>
      <c r="I850" s="60" t="s">
        <v>389</v>
      </c>
      <c r="J850" s="61"/>
      <c r="K850" s="61">
        <v>32.47</v>
      </c>
      <c r="L850" s="65"/>
      <c r="M850" s="64">
        <v>0</v>
      </c>
      <c r="N850" s="17" t="str">
        <f t="shared" si="43"/>
        <v>7841 ASSOCIATED PKG/TN MEMPHIS</v>
      </c>
      <c r="O850" s="17" t="str">
        <f t="shared" si="44"/>
        <v>736340 HELENA INDUSTRIES</v>
      </c>
      <c r="P850" s="17" t="str">
        <f t="shared" si="45"/>
        <v>SD 932  PISTOL GRIP TAPE DISP. ECONOMY-S (900617)</v>
      </c>
    </row>
    <row r="851" spans="1:16" x14ac:dyDescent="0.25">
      <c r="A851" s="60" t="s">
        <v>674</v>
      </c>
      <c r="B851" s="60" t="s">
        <v>675</v>
      </c>
      <c r="C851" s="60" t="s">
        <v>259</v>
      </c>
      <c r="D851" s="60" t="s">
        <v>116</v>
      </c>
      <c r="E851" s="60" t="s">
        <v>1219</v>
      </c>
      <c r="F851" s="60" t="s">
        <v>1220</v>
      </c>
      <c r="G851" s="60" t="s">
        <v>61</v>
      </c>
      <c r="H851" s="60" t="s">
        <v>352</v>
      </c>
      <c r="I851" s="60" t="s">
        <v>353</v>
      </c>
      <c r="J851" s="61">
        <v>102.64</v>
      </c>
      <c r="K851" s="61">
        <v>102.29</v>
      </c>
      <c r="L851" s="65">
        <v>103.33</v>
      </c>
      <c r="M851" s="64">
        <v>103.33</v>
      </c>
      <c r="N851" s="17" t="str">
        <f t="shared" si="43"/>
        <v>7841 ASSOCIATED PKG/TN MEMPHIS</v>
      </c>
      <c r="O851" s="17" t="str">
        <f t="shared" si="44"/>
        <v>738223 ALL AMERICAN LABEL</v>
      </c>
      <c r="P851" s="17" t="str">
        <f t="shared" si="45"/>
        <v>HP 500 CLR-48mm x 50m-36 rls/cs-H/A (207831)</v>
      </c>
    </row>
    <row r="852" spans="1:16" x14ac:dyDescent="0.25">
      <c r="A852" s="60" t="s">
        <v>674</v>
      </c>
      <c r="B852" s="60" t="s">
        <v>675</v>
      </c>
      <c r="C852" s="60" t="s">
        <v>259</v>
      </c>
      <c r="D852" s="60" t="s">
        <v>116</v>
      </c>
      <c r="E852" s="60" t="s">
        <v>1219</v>
      </c>
      <c r="F852" s="60" t="s">
        <v>1220</v>
      </c>
      <c r="G852" s="60" t="s">
        <v>61</v>
      </c>
      <c r="H852" s="60" t="s">
        <v>1221</v>
      </c>
      <c r="I852" s="60" t="s">
        <v>1222</v>
      </c>
      <c r="J852" s="61">
        <v>287.26</v>
      </c>
      <c r="K852" s="61">
        <v>286.54000000000002</v>
      </c>
      <c r="L852" s="65">
        <v>206.66</v>
      </c>
      <c r="M852" s="64">
        <v>206.66</v>
      </c>
      <c r="N852" s="17" t="str">
        <f t="shared" si="43"/>
        <v>7841 ASSOCIATED PKG/TN MEMPHIS</v>
      </c>
      <c r="O852" s="17" t="str">
        <f t="shared" si="44"/>
        <v>738223 ALL AMERICAN LABEL</v>
      </c>
      <c r="P852" s="17" t="str">
        <f t="shared" si="45"/>
        <v>HP 500 TAN-48mm x 50m-36 rls/cs-H (207891)</v>
      </c>
    </row>
    <row r="853" spans="1:16" x14ac:dyDescent="0.25">
      <c r="A853" s="60" t="s">
        <v>674</v>
      </c>
      <c r="B853" s="60" t="s">
        <v>675</v>
      </c>
      <c r="C853" s="60" t="s">
        <v>259</v>
      </c>
      <c r="D853" s="60" t="s">
        <v>116</v>
      </c>
      <c r="E853" s="60" t="s">
        <v>1523</v>
      </c>
      <c r="F853" s="60" t="s">
        <v>1524</v>
      </c>
      <c r="G853" s="60" t="s">
        <v>38</v>
      </c>
      <c r="H853" s="60" t="s">
        <v>1525</v>
      </c>
      <c r="I853" s="60" t="s">
        <v>1526</v>
      </c>
      <c r="J853" s="61"/>
      <c r="K853" s="61">
        <v>520.35</v>
      </c>
      <c r="L853" s="65"/>
      <c r="M853" s="64">
        <v>378.84</v>
      </c>
      <c r="N853" s="17" t="str">
        <f t="shared" si="43"/>
        <v>7841 ASSOCIATED PKG/TN MEMPHIS</v>
      </c>
      <c r="O853" s="17" t="str">
        <f t="shared" si="44"/>
        <v>741565 TBDN</v>
      </c>
      <c r="P853" s="17" t="str">
        <f t="shared" si="45"/>
        <v>CP 631 BLK-48mm x 55m-24 rls/cs-H/T (109856)</v>
      </c>
    </row>
    <row r="854" spans="1:16" x14ac:dyDescent="0.25">
      <c r="A854" s="60" t="s">
        <v>674</v>
      </c>
      <c r="B854" s="60" t="s">
        <v>675</v>
      </c>
      <c r="C854" s="60" t="s">
        <v>259</v>
      </c>
      <c r="D854" s="60" t="s">
        <v>116</v>
      </c>
      <c r="E854" s="60" t="s">
        <v>1527</v>
      </c>
      <c r="F854" s="60" t="s">
        <v>1528</v>
      </c>
      <c r="G854" s="60" t="s">
        <v>55</v>
      </c>
      <c r="H854" s="60" t="s">
        <v>229</v>
      </c>
      <c r="I854" s="60" t="s">
        <v>96</v>
      </c>
      <c r="J854" s="61"/>
      <c r="K854" s="61">
        <v>7983.36</v>
      </c>
      <c r="L854" s="65"/>
      <c r="M854" s="64">
        <v>30223.295999999998</v>
      </c>
      <c r="N854" s="17" t="str">
        <f t="shared" si="43"/>
        <v>7841 ASSOCIATED PKG/TN MEMPHIS</v>
      </c>
      <c r="O854" s="17" t="str">
        <f t="shared" si="44"/>
        <v>741630 HEARTLAND CATFISH</v>
      </c>
      <c r="P854" s="17" t="str">
        <f t="shared" si="45"/>
        <v>AP 201 CLR-48mm x 914m-6 rls/cs-H/A (230964)</v>
      </c>
    </row>
    <row r="855" spans="1:16" x14ac:dyDescent="0.25">
      <c r="A855" s="60" t="s">
        <v>674</v>
      </c>
      <c r="B855" s="60" t="s">
        <v>675</v>
      </c>
      <c r="C855" s="60" t="s">
        <v>259</v>
      </c>
      <c r="D855" s="60" t="s">
        <v>116</v>
      </c>
      <c r="E855" s="60" t="s">
        <v>1529</v>
      </c>
      <c r="F855" s="60" t="s">
        <v>1530</v>
      </c>
      <c r="G855" s="60" t="s">
        <v>61</v>
      </c>
      <c r="H855" s="60" t="s">
        <v>951</v>
      </c>
      <c r="I855" s="60" t="s">
        <v>952</v>
      </c>
      <c r="J855" s="61">
        <v>1045.5</v>
      </c>
      <c r="K855" s="61"/>
      <c r="L855" s="65">
        <v>944.46</v>
      </c>
      <c r="M855" s="64"/>
      <c r="N855" s="17" t="str">
        <f t="shared" si="43"/>
        <v>7841 ASSOCIATED PKG/TN MEMPHIS</v>
      </c>
      <c r="O855" s="17" t="str">
        <f t="shared" si="44"/>
        <v>742049 HOLLOWELL INDUSTIRES</v>
      </c>
      <c r="P855" s="17" t="str">
        <f t="shared" si="45"/>
        <v>HP 500 CLR-48mm x 914m-6 rls/cs-H (208561)</v>
      </c>
    </row>
    <row r="856" spans="1:16" x14ac:dyDescent="0.25">
      <c r="A856" s="60" t="s">
        <v>674</v>
      </c>
      <c r="B856" s="60" t="s">
        <v>675</v>
      </c>
      <c r="C856" s="60" t="s">
        <v>259</v>
      </c>
      <c r="D856" s="60" t="s">
        <v>116</v>
      </c>
      <c r="E856" s="60" t="s">
        <v>749</v>
      </c>
      <c r="F856" s="60" t="s">
        <v>750</v>
      </c>
      <c r="G856" s="60" t="s">
        <v>19</v>
      </c>
      <c r="H856" s="60" t="s">
        <v>244</v>
      </c>
      <c r="I856" s="60" t="s">
        <v>94</v>
      </c>
      <c r="J856" s="61">
        <v>7295.28</v>
      </c>
      <c r="K856" s="61">
        <v>7515.76</v>
      </c>
      <c r="L856" s="65">
        <v>30222.720000000001</v>
      </c>
      <c r="M856" s="64">
        <v>30222.720000000001</v>
      </c>
      <c r="N856" s="17" t="str">
        <f t="shared" si="43"/>
        <v>7841 ASSOCIATED PKG/TN MEMPHIS</v>
      </c>
      <c r="O856" s="17" t="str">
        <f t="shared" si="44"/>
        <v>744002 ADP DISTRIBUTORS</v>
      </c>
      <c r="P856" s="17" t="str">
        <f t="shared" si="45"/>
        <v>HP 100 CLR-72mm x 914m-4 rls/cs-S (208465)</v>
      </c>
    </row>
    <row r="857" spans="1:16" x14ac:dyDescent="0.25">
      <c r="A857" s="60" t="s">
        <v>674</v>
      </c>
      <c r="B857" s="60" t="s">
        <v>675</v>
      </c>
      <c r="C857" s="60" t="s">
        <v>259</v>
      </c>
      <c r="D857" s="60" t="s">
        <v>116</v>
      </c>
      <c r="E857" s="60" t="s">
        <v>615</v>
      </c>
      <c r="F857" s="60" t="s">
        <v>616</v>
      </c>
      <c r="G857" s="60" t="s">
        <v>79</v>
      </c>
      <c r="H857" s="60" t="s">
        <v>265</v>
      </c>
      <c r="I857" s="60" t="s">
        <v>148</v>
      </c>
      <c r="J857" s="61">
        <v>8425.2999999999993</v>
      </c>
      <c r="K857" s="61"/>
      <c r="L857" s="65">
        <v>34001.279999999999</v>
      </c>
      <c r="M857" s="64"/>
      <c r="N857" s="17" t="str">
        <f t="shared" si="43"/>
        <v>7841 ASSOCIATED PKG/TN MEMPHIS</v>
      </c>
      <c r="O857" s="17" t="str">
        <f t="shared" si="44"/>
        <v>745328 ASAP WAREHOUSE FOR PICTSWEET</v>
      </c>
      <c r="P857" s="17" t="str">
        <f t="shared" si="45"/>
        <v>HP 232 CLR-48mm x 1371m-6 rls/cs-H/T (100052)</v>
      </c>
    </row>
    <row r="858" spans="1:16" x14ac:dyDescent="0.25">
      <c r="A858" s="60" t="s">
        <v>674</v>
      </c>
      <c r="B858" s="60" t="s">
        <v>675</v>
      </c>
      <c r="C858" s="60" t="s">
        <v>259</v>
      </c>
      <c r="D858" s="60" t="s">
        <v>116</v>
      </c>
      <c r="E858" s="60" t="s">
        <v>676</v>
      </c>
      <c r="F858" s="60" t="s">
        <v>677</v>
      </c>
      <c r="G858" s="60" t="s">
        <v>56</v>
      </c>
      <c r="H858" s="60" t="s">
        <v>239</v>
      </c>
      <c r="I858" s="60" t="s">
        <v>57</v>
      </c>
      <c r="J858" s="61">
        <v>997.21</v>
      </c>
      <c r="K858" s="61">
        <v>513.57000000000005</v>
      </c>
      <c r="L858" s="65">
        <v>4339.4399999999996</v>
      </c>
      <c r="M858" s="64">
        <v>2273.04</v>
      </c>
      <c r="N858" s="17" t="str">
        <f t="shared" si="43"/>
        <v>7841 ASSOCIATED PKG/TN MEMPHIS</v>
      </c>
      <c r="O858" s="17" t="str">
        <f t="shared" si="44"/>
        <v>746667 MAHAR TOOL SUPPLY</v>
      </c>
      <c r="P858" s="17" t="str">
        <f t="shared" si="45"/>
        <v>AP 101 CLR-48mm x 100m-36 rls/cs-S (230982)</v>
      </c>
    </row>
    <row r="859" spans="1:16" x14ac:dyDescent="0.25">
      <c r="A859" s="60" t="s">
        <v>674</v>
      </c>
      <c r="B859" s="60" t="s">
        <v>675</v>
      </c>
      <c r="C859" s="60" t="s">
        <v>259</v>
      </c>
      <c r="D859" s="60" t="s">
        <v>116</v>
      </c>
      <c r="E859" s="60" t="s">
        <v>1531</v>
      </c>
      <c r="F859" s="60" t="s">
        <v>1532</v>
      </c>
      <c r="G859" s="60" t="s">
        <v>22</v>
      </c>
      <c r="H859" s="60" t="s">
        <v>1533</v>
      </c>
      <c r="I859" s="60" t="s">
        <v>1534</v>
      </c>
      <c r="J859" s="61"/>
      <c r="K859" s="61">
        <v>83.58</v>
      </c>
      <c r="L859" s="65"/>
      <c r="M859" s="64">
        <v>53.28</v>
      </c>
      <c r="N859" s="17" t="str">
        <f t="shared" ref="N859:N863" si="46">C859&amp;" "&amp;D859</f>
        <v>7841 ASSOCIATED PKG/TN MEMPHIS</v>
      </c>
      <c r="O859" s="17" t="str">
        <f t="shared" ref="O859:O863" si="47">E859&amp;" "&amp;F859</f>
        <v>751470 AWC INC</v>
      </c>
      <c r="P859" s="17" t="str">
        <f t="shared" si="45"/>
        <v>VP 410 GRN-75mm x 33m-18 rls/cs-H (100742)</v>
      </c>
    </row>
    <row r="860" spans="1:16" x14ac:dyDescent="0.25">
      <c r="A860" s="60" t="s">
        <v>674</v>
      </c>
      <c r="B860" s="60" t="s">
        <v>675</v>
      </c>
      <c r="C860" s="60" t="s">
        <v>259</v>
      </c>
      <c r="D860" s="60" t="s">
        <v>116</v>
      </c>
      <c r="E860" s="60" t="s">
        <v>1535</v>
      </c>
      <c r="F860" s="60" t="s">
        <v>1536</v>
      </c>
      <c r="G860" s="60" t="s">
        <v>65</v>
      </c>
      <c r="H860" s="60" t="s">
        <v>252</v>
      </c>
      <c r="I860" s="60" t="s">
        <v>152</v>
      </c>
      <c r="J860" s="61"/>
      <c r="K860" s="61">
        <v>2318.0300000000002</v>
      </c>
      <c r="L860" s="65"/>
      <c r="M860" s="64">
        <v>2046.06</v>
      </c>
      <c r="N860" s="17" t="str">
        <f t="shared" si="46"/>
        <v>7841 ASSOCIATED PKG/TN MEMPHIS</v>
      </c>
      <c r="O860" s="17" t="str">
        <f t="shared" si="47"/>
        <v>751546 PFS WEB</v>
      </c>
      <c r="P860" s="17" t="str">
        <f t="shared" si="45"/>
        <v>FP 097 KFT-72mm x 55m-16 rls/cs-H/A (101073)</v>
      </c>
    </row>
    <row r="861" spans="1:16" x14ac:dyDescent="0.25">
      <c r="A861" s="60" t="s">
        <v>674</v>
      </c>
      <c r="B861" s="60" t="s">
        <v>675</v>
      </c>
      <c r="C861" s="60" t="s">
        <v>259</v>
      </c>
      <c r="D861" s="60" t="s">
        <v>116</v>
      </c>
      <c r="E861" s="60" t="s">
        <v>1535</v>
      </c>
      <c r="F861" s="60" t="s">
        <v>1536</v>
      </c>
      <c r="G861" s="60" t="s">
        <v>18</v>
      </c>
      <c r="H861" s="60" t="s">
        <v>219</v>
      </c>
      <c r="I861" s="60" t="s">
        <v>60</v>
      </c>
      <c r="J861" s="61"/>
      <c r="K861" s="61">
        <v>3122.06</v>
      </c>
      <c r="L861" s="65"/>
      <c r="M861" s="64">
        <v>12399.6</v>
      </c>
      <c r="N861" s="17" t="str">
        <f t="shared" si="46"/>
        <v>7841 ASSOCIATED PKG/TN MEMPHIS</v>
      </c>
      <c r="O861" s="17" t="str">
        <f t="shared" si="47"/>
        <v>751546 PFS WEB</v>
      </c>
      <c r="P861" s="17" t="str">
        <f t="shared" si="45"/>
        <v>HP 200 CLR-72mm x 100m-24 rls/cs-S (207233)</v>
      </c>
    </row>
    <row r="862" spans="1:16" x14ac:dyDescent="0.25">
      <c r="A862" s="60" t="s">
        <v>674</v>
      </c>
      <c r="B862" s="60" t="s">
        <v>675</v>
      </c>
      <c r="C862" s="60" t="s">
        <v>259</v>
      </c>
      <c r="D862" s="60" t="s">
        <v>116</v>
      </c>
      <c r="E862" s="60" t="s">
        <v>1774</v>
      </c>
      <c r="F862" s="60" t="s">
        <v>1775</v>
      </c>
      <c r="G862" s="60" t="s">
        <v>70</v>
      </c>
      <c r="H862" s="60" t="s">
        <v>1507</v>
      </c>
      <c r="I862" s="60" t="s">
        <v>1508</v>
      </c>
      <c r="J862" s="61"/>
      <c r="K862" s="61">
        <v>15588.94</v>
      </c>
      <c r="L862" s="65"/>
      <c r="M862" s="64">
        <v>28335.599999999999</v>
      </c>
      <c r="N862" s="17" t="str">
        <f t="shared" si="46"/>
        <v>7841 ASSOCIATED PKG/TN MEMPHIS</v>
      </c>
      <c r="O862" s="17" t="str">
        <f t="shared" si="47"/>
        <v>751735 ASSOCIATED FOR EVERSANA</v>
      </c>
      <c r="P862" s="17" t="str">
        <f t="shared" si="45"/>
        <v>HP 235 CR BISTOP-72mmx914m-4 rls/cs-NS (152664)</v>
      </c>
    </row>
    <row r="863" spans="1:16" x14ac:dyDescent="0.25">
      <c r="A863" s="60" t="s">
        <v>674</v>
      </c>
      <c r="B863" s="60" t="s">
        <v>675</v>
      </c>
      <c r="C863" s="60" t="s">
        <v>259</v>
      </c>
      <c r="D863" s="60" t="s">
        <v>116</v>
      </c>
      <c r="E863" s="60" t="s">
        <v>1537</v>
      </c>
      <c r="F863" s="60" t="s">
        <v>1538</v>
      </c>
      <c r="G863" s="60" t="s">
        <v>18</v>
      </c>
      <c r="H863" s="60" t="s">
        <v>219</v>
      </c>
      <c r="I863" s="60" t="s">
        <v>60</v>
      </c>
      <c r="J863" s="61"/>
      <c r="K863" s="61">
        <v>3207.6</v>
      </c>
      <c r="L863" s="65"/>
      <c r="M863" s="64">
        <v>12399.6</v>
      </c>
      <c r="N863" s="17" t="str">
        <f t="shared" si="46"/>
        <v>7841 ASSOCIATED PKG/TN MEMPHIS</v>
      </c>
      <c r="O863" s="17" t="str">
        <f t="shared" si="47"/>
        <v>751748 COMMUNITY COFFEE CO</v>
      </c>
      <c r="P863" s="17" t="str">
        <f t="shared" si="45"/>
        <v>HP 200 CLR-72mm x 100m-24 rls/cs-S (207233)</v>
      </c>
    </row>
    <row r="864" spans="1:16" x14ac:dyDescent="0.25">
      <c r="A864" s="60"/>
      <c r="B864" s="60"/>
      <c r="C864" s="60"/>
      <c r="D864" s="60"/>
      <c r="E864" s="60"/>
      <c r="F864" s="60"/>
      <c r="G864" s="60"/>
      <c r="H864" s="60"/>
      <c r="I864" s="60"/>
      <c r="J864" s="61"/>
      <c r="K864" s="61"/>
      <c r="L864" s="65"/>
      <c r="M864" s="64"/>
      <c r="N864" s="17"/>
      <c r="O864" s="17"/>
      <c r="P864" s="17"/>
    </row>
    <row r="865" spans="1:16" x14ac:dyDescent="0.25">
      <c r="A865" s="60"/>
      <c r="B865" s="60"/>
      <c r="C865" s="60"/>
      <c r="D865" s="60"/>
      <c r="E865" s="60"/>
      <c r="F865" s="60"/>
      <c r="G865" s="60"/>
      <c r="H865" s="60"/>
      <c r="I865" s="60"/>
      <c r="J865" s="61"/>
      <c r="K865" s="61"/>
      <c r="L865" s="62"/>
      <c r="M865" s="64"/>
      <c r="N865" s="17"/>
      <c r="O865" s="17"/>
      <c r="P865" s="17"/>
    </row>
    <row r="866" spans="1:16" x14ac:dyDescent="0.25">
      <c r="A866" s="60"/>
      <c r="B866" s="60"/>
      <c r="C866" s="60"/>
      <c r="D866" s="60"/>
      <c r="E866" s="60"/>
      <c r="F866" s="60"/>
      <c r="G866" s="60"/>
      <c r="H866" s="60"/>
      <c r="I866" s="60"/>
      <c r="J866" s="61"/>
      <c r="K866" s="61"/>
      <c r="L866" s="62"/>
      <c r="M866" s="64"/>
      <c r="N866" s="17"/>
      <c r="O866" s="17"/>
      <c r="P866" s="17"/>
    </row>
    <row r="867" spans="1:16" x14ac:dyDescent="0.25">
      <c r="A867" s="60"/>
      <c r="B867" s="60"/>
      <c r="C867" s="60"/>
      <c r="D867" s="60"/>
      <c r="E867" s="60"/>
      <c r="F867" s="60"/>
      <c r="G867" s="60"/>
      <c r="H867" s="60"/>
      <c r="I867" s="60"/>
      <c r="J867" s="61"/>
      <c r="K867" s="61"/>
      <c r="L867" s="62"/>
      <c r="M867" s="64"/>
      <c r="N867" s="17"/>
      <c r="O867" s="17"/>
      <c r="P867" s="17"/>
    </row>
    <row r="868" spans="1:16" x14ac:dyDescent="0.25">
      <c r="A868" s="60"/>
      <c r="B868" s="60"/>
      <c r="C868" s="60"/>
      <c r="D868" s="60"/>
      <c r="E868" s="60"/>
      <c r="F868" s="60"/>
      <c r="G868" s="60"/>
      <c r="H868" s="60"/>
      <c r="I868" s="60"/>
      <c r="J868" s="61"/>
      <c r="K868" s="61"/>
      <c r="L868" s="62"/>
      <c r="M868" s="63"/>
      <c r="N868" s="17"/>
      <c r="O868" s="17"/>
      <c r="P868" s="17"/>
    </row>
    <row r="869" spans="1:16" x14ac:dyDescent="0.25">
      <c r="A869" s="60"/>
      <c r="B869" s="60"/>
      <c r="C869" s="60"/>
      <c r="D869" s="60"/>
      <c r="E869" s="60"/>
      <c r="F869" s="60"/>
      <c r="G869" s="60"/>
      <c r="H869" s="60"/>
      <c r="I869" s="60"/>
      <c r="J869" s="61"/>
      <c r="K869" s="61"/>
      <c r="L869" s="62"/>
      <c r="M869" s="64"/>
      <c r="N869" s="17"/>
      <c r="O869" s="17"/>
      <c r="P869" s="17"/>
    </row>
    <row r="870" spans="1:16" x14ac:dyDescent="0.25">
      <c r="A870" s="60"/>
      <c r="B870" s="60"/>
      <c r="C870" s="60"/>
      <c r="D870" s="60"/>
      <c r="E870" s="60"/>
      <c r="F870" s="60"/>
      <c r="G870" s="60"/>
      <c r="H870" s="60"/>
      <c r="I870" s="60"/>
      <c r="J870" s="61"/>
      <c r="K870" s="61"/>
      <c r="L870" s="62"/>
      <c r="M870" s="64"/>
      <c r="N870" s="17"/>
      <c r="O870" s="17"/>
      <c r="P870" s="17"/>
    </row>
    <row r="871" spans="1:16" x14ac:dyDescent="0.25">
      <c r="A871" s="60"/>
      <c r="B871" s="60"/>
      <c r="C871" s="60"/>
      <c r="D871" s="60"/>
      <c r="E871" s="60"/>
      <c r="F871" s="60"/>
      <c r="G871" s="60"/>
      <c r="H871" s="60"/>
      <c r="I871" s="60"/>
      <c r="J871" s="61"/>
      <c r="K871" s="61"/>
      <c r="L871" s="62"/>
      <c r="M871" s="64"/>
      <c r="N871" s="17"/>
      <c r="O871" s="17"/>
      <c r="P871" s="17"/>
    </row>
    <row r="872" spans="1:16" x14ac:dyDescent="0.25">
      <c r="A872" s="60"/>
      <c r="B872" s="60"/>
      <c r="C872" s="60"/>
      <c r="D872" s="60"/>
      <c r="E872" s="60"/>
      <c r="F872" s="60"/>
      <c r="G872" s="60"/>
      <c r="H872" s="60"/>
      <c r="I872" s="60"/>
      <c r="J872" s="61"/>
      <c r="K872" s="61"/>
      <c r="L872" s="62"/>
      <c r="M872" s="64"/>
      <c r="N872" s="17"/>
      <c r="O872" s="17"/>
      <c r="P872" s="17"/>
    </row>
    <row r="873" spans="1:16" x14ac:dyDescent="0.25">
      <c r="A873" s="60"/>
      <c r="B873" s="60"/>
      <c r="C873" s="60"/>
      <c r="D873" s="60"/>
      <c r="E873" s="60"/>
      <c r="F873" s="60"/>
      <c r="G873" s="60"/>
      <c r="H873" s="60"/>
      <c r="I873" s="60"/>
      <c r="J873" s="61"/>
      <c r="K873" s="61"/>
      <c r="L873" s="62"/>
      <c r="M873" s="64"/>
      <c r="N873" s="17"/>
      <c r="O873" s="17"/>
      <c r="P873" s="17"/>
    </row>
    <row r="874" spans="1:16" x14ac:dyDescent="0.25">
      <c r="A874" s="60"/>
      <c r="B874" s="60"/>
      <c r="C874" s="60"/>
      <c r="D874" s="60"/>
      <c r="E874" s="60"/>
      <c r="F874" s="60"/>
      <c r="G874" s="60"/>
      <c r="H874" s="60"/>
      <c r="I874" s="60"/>
      <c r="J874" s="61"/>
      <c r="K874" s="61"/>
      <c r="L874" s="62"/>
      <c r="M874" s="63"/>
      <c r="N874" s="17"/>
      <c r="O874" s="17"/>
      <c r="P874" s="17"/>
    </row>
    <row r="875" spans="1:16" x14ac:dyDescent="0.25">
      <c r="A875" s="60"/>
      <c r="B875" s="60"/>
      <c r="C875" s="60"/>
      <c r="D875" s="60"/>
      <c r="E875" s="60"/>
      <c r="F875" s="60"/>
      <c r="G875" s="60"/>
      <c r="H875" s="60"/>
      <c r="I875" s="60"/>
      <c r="J875" s="61"/>
      <c r="K875" s="61"/>
      <c r="L875" s="62"/>
      <c r="M875" s="64"/>
      <c r="N875" s="17"/>
      <c r="O875" s="17"/>
      <c r="P875" s="17"/>
    </row>
    <row r="876" spans="1:16" x14ac:dyDescent="0.25">
      <c r="A876" s="60"/>
      <c r="B876" s="60"/>
      <c r="C876" s="60"/>
      <c r="D876" s="60"/>
      <c r="E876" s="60"/>
      <c r="F876" s="60"/>
      <c r="G876" s="60"/>
      <c r="H876" s="60"/>
      <c r="I876" s="60"/>
      <c r="J876" s="61"/>
      <c r="K876" s="61"/>
      <c r="L876" s="62"/>
      <c r="M876" s="64"/>
      <c r="N876" s="17"/>
      <c r="O876" s="17"/>
      <c r="P876" s="17"/>
    </row>
    <row r="877" spans="1:16" x14ac:dyDescent="0.25">
      <c r="A877" s="60"/>
      <c r="B877" s="60"/>
      <c r="C877" s="60"/>
      <c r="D877" s="60"/>
      <c r="E877" s="60"/>
      <c r="F877" s="60"/>
      <c r="G877" s="60"/>
      <c r="H877" s="60"/>
      <c r="I877" s="60"/>
      <c r="J877" s="61"/>
      <c r="K877" s="61"/>
      <c r="L877" s="62"/>
      <c r="M877" s="64"/>
      <c r="N877" s="17"/>
      <c r="O877" s="17"/>
      <c r="P877" s="17"/>
    </row>
    <row r="878" spans="1:16" x14ac:dyDescent="0.25">
      <c r="A878" s="60"/>
      <c r="B878" s="60"/>
      <c r="C878" s="60"/>
      <c r="D878" s="60"/>
      <c r="E878" s="60"/>
      <c r="F878" s="60"/>
      <c r="G878" s="60"/>
      <c r="H878" s="60"/>
      <c r="I878" s="60"/>
      <c r="J878" s="61"/>
      <c r="K878" s="61"/>
      <c r="L878" s="62"/>
      <c r="M878" s="63"/>
      <c r="N878" s="17"/>
      <c r="O878" s="17"/>
      <c r="P878" s="17"/>
    </row>
    <row r="879" spans="1:16" x14ac:dyDescent="0.25">
      <c r="A879" s="60"/>
      <c r="B879" s="60"/>
      <c r="C879" s="60"/>
      <c r="D879" s="60"/>
      <c r="E879" s="60"/>
      <c r="F879" s="60"/>
      <c r="G879" s="60"/>
      <c r="H879" s="60"/>
      <c r="I879" s="60"/>
      <c r="J879" s="61"/>
      <c r="K879" s="61"/>
      <c r="L879" s="62"/>
      <c r="M879" s="63"/>
      <c r="N879" s="17"/>
      <c r="O879" s="17"/>
      <c r="P879" s="17"/>
    </row>
    <row r="880" spans="1:16" x14ac:dyDescent="0.25">
      <c r="A880" s="60"/>
      <c r="B880" s="60"/>
      <c r="C880" s="60"/>
      <c r="D880" s="60"/>
      <c r="E880" s="60"/>
      <c r="F880" s="60"/>
      <c r="G880" s="60"/>
      <c r="H880" s="60"/>
      <c r="I880" s="60"/>
      <c r="J880" s="61"/>
      <c r="K880" s="61"/>
      <c r="L880" s="62"/>
      <c r="M880" s="64"/>
      <c r="N880" s="17"/>
      <c r="O880" s="17"/>
      <c r="P880" s="17"/>
    </row>
    <row r="881" spans="1:16" x14ac:dyDescent="0.25">
      <c r="A881" s="60"/>
      <c r="B881" s="60"/>
      <c r="C881" s="60"/>
      <c r="D881" s="60"/>
      <c r="E881" s="60"/>
      <c r="F881" s="60"/>
      <c r="G881" s="60"/>
      <c r="H881" s="60"/>
      <c r="I881" s="60"/>
      <c r="J881" s="61"/>
      <c r="K881" s="61"/>
      <c r="L881" s="62"/>
      <c r="M881" s="64"/>
      <c r="N881" s="17"/>
      <c r="O881" s="17"/>
      <c r="P881" s="17"/>
    </row>
    <row r="882" spans="1:16" x14ac:dyDescent="0.25">
      <c r="A882" s="60"/>
      <c r="B882" s="60"/>
      <c r="C882" s="60"/>
      <c r="D882" s="60"/>
      <c r="E882" s="60"/>
      <c r="F882" s="60"/>
      <c r="G882" s="60"/>
      <c r="H882" s="60"/>
      <c r="I882" s="60"/>
      <c r="J882" s="61"/>
      <c r="K882" s="61"/>
      <c r="L882" s="62"/>
      <c r="M882" s="63"/>
      <c r="N882" s="17"/>
      <c r="O882" s="17"/>
      <c r="P882" s="17"/>
    </row>
    <row r="883" spans="1:16" x14ac:dyDescent="0.25">
      <c r="A883" s="60"/>
      <c r="B883" s="60"/>
      <c r="C883" s="60"/>
      <c r="D883" s="60"/>
      <c r="E883" s="60"/>
      <c r="F883" s="60"/>
      <c r="G883" s="60"/>
      <c r="H883" s="60"/>
      <c r="I883" s="60"/>
      <c r="J883" s="61"/>
      <c r="K883" s="61"/>
      <c r="L883" s="62"/>
      <c r="M883" s="64"/>
      <c r="N883" s="17"/>
      <c r="O883" s="17"/>
      <c r="P883" s="17"/>
    </row>
    <row r="884" spans="1:16" x14ac:dyDescent="0.25">
      <c r="A884" s="60"/>
      <c r="B884" s="60"/>
      <c r="C884" s="60"/>
      <c r="D884" s="60"/>
      <c r="E884" s="60"/>
      <c r="F884" s="60"/>
      <c r="G884" s="60"/>
      <c r="H884" s="60"/>
      <c r="I884" s="60"/>
      <c r="J884" s="61"/>
      <c r="K884" s="61"/>
      <c r="L884" s="65"/>
      <c r="M884" s="64"/>
      <c r="N884" s="17"/>
      <c r="O884" s="17"/>
      <c r="P884" s="17"/>
    </row>
    <row r="885" spans="1:16" x14ac:dyDescent="0.25">
      <c r="A885" s="60"/>
      <c r="B885" s="60"/>
      <c r="C885" s="60"/>
      <c r="D885" s="60"/>
      <c r="E885" s="60"/>
      <c r="F885" s="60"/>
      <c r="G885" s="60"/>
      <c r="H885" s="60"/>
      <c r="I885" s="60"/>
      <c r="J885" s="61"/>
      <c r="K885" s="61"/>
      <c r="L885" s="65"/>
      <c r="M885" s="64"/>
      <c r="N885" s="17"/>
      <c r="O885" s="17"/>
      <c r="P885" s="17"/>
    </row>
    <row r="886" spans="1:16" x14ac:dyDescent="0.25">
      <c r="A886" s="60"/>
      <c r="B886" s="60"/>
      <c r="C886" s="60"/>
      <c r="D886" s="60"/>
      <c r="E886" s="60"/>
      <c r="F886" s="60"/>
      <c r="G886" s="60"/>
      <c r="H886" s="60"/>
      <c r="I886" s="60"/>
      <c r="J886" s="61"/>
      <c r="K886" s="61"/>
      <c r="L886" s="62"/>
      <c r="M886" s="63"/>
      <c r="N886" s="17"/>
      <c r="O886" s="17"/>
      <c r="P886" s="17"/>
    </row>
    <row r="887" spans="1:16" x14ac:dyDescent="0.25">
      <c r="A887" s="60"/>
      <c r="B887" s="60"/>
      <c r="C887" s="60"/>
      <c r="D887" s="60"/>
      <c r="E887" s="60"/>
      <c r="F887" s="60"/>
      <c r="G887" s="60"/>
      <c r="H887" s="60"/>
      <c r="I887" s="60"/>
      <c r="J887" s="61"/>
      <c r="K887" s="61"/>
      <c r="L887" s="62"/>
      <c r="M887" s="63"/>
      <c r="N887" s="17"/>
      <c r="O887" s="17"/>
      <c r="P887" s="17"/>
    </row>
    <row r="888" spans="1:16" x14ac:dyDescent="0.25">
      <c r="A888" s="60"/>
      <c r="B888" s="60"/>
      <c r="C888" s="60"/>
      <c r="D888" s="60"/>
      <c r="E888" s="60"/>
      <c r="F888" s="60"/>
      <c r="G888" s="60"/>
      <c r="H888" s="60"/>
      <c r="I888" s="60"/>
      <c r="J888" s="61"/>
      <c r="K888" s="61"/>
      <c r="L888" s="62"/>
      <c r="M888" s="63"/>
      <c r="N888" s="17"/>
      <c r="O888" s="17"/>
      <c r="P888" s="17"/>
    </row>
    <row r="889" spans="1:16" x14ac:dyDescent="0.25">
      <c r="A889" s="60"/>
      <c r="B889" s="60"/>
      <c r="C889" s="60"/>
      <c r="D889" s="60"/>
      <c r="E889" s="60"/>
      <c r="F889" s="60"/>
      <c r="G889" s="60"/>
      <c r="H889" s="60"/>
      <c r="I889" s="60"/>
      <c r="J889" s="61"/>
      <c r="K889" s="61"/>
      <c r="L889" s="62"/>
      <c r="M889" s="63"/>
      <c r="N889" s="17"/>
      <c r="O889" s="17"/>
      <c r="P889" s="17"/>
    </row>
    <row r="890" spans="1:16" x14ac:dyDescent="0.25">
      <c r="A890" s="60"/>
      <c r="B890" s="60"/>
      <c r="C890" s="60"/>
      <c r="D890" s="60"/>
      <c r="E890" s="60"/>
      <c r="F890" s="60"/>
      <c r="G890" s="60"/>
      <c r="H890" s="60"/>
      <c r="I890" s="60"/>
      <c r="J890" s="61"/>
      <c r="K890" s="61"/>
      <c r="L890" s="62"/>
      <c r="M890" s="64"/>
      <c r="N890" s="17"/>
      <c r="O890" s="17"/>
      <c r="P890" s="17"/>
    </row>
    <row r="891" spans="1:16" x14ac:dyDescent="0.25">
      <c r="A891" s="60"/>
      <c r="B891" s="60"/>
      <c r="C891" s="60"/>
      <c r="D891" s="60"/>
      <c r="E891" s="60"/>
      <c r="F891" s="60"/>
      <c r="G891" s="60"/>
      <c r="H891" s="60"/>
      <c r="I891" s="60"/>
      <c r="J891" s="61"/>
      <c r="K891" s="61"/>
      <c r="L891" s="62"/>
      <c r="M891" s="64"/>
      <c r="N891" s="17"/>
      <c r="O891" s="17"/>
      <c r="P891" s="17"/>
    </row>
    <row r="892" spans="1:16" x14ac:dyDescent="0.25">
      <c r="A892" s="60"/>
      <c r="B892" s="60"/>
      <c r="C892" s="60"/>
      <c r="D892" s="60"/>
      <c r="E892" s="60"/>
      <c r="F892" s="60"/>
      <c r="G892" s="60"/>
      <c r="H892" s="60"/>
      <c r="I892" s="60"/>
      <c r="J892" s="61"/>
      <c r="K892" s="61"/>
      <c r="L892" s="62"/>
      <c r="M892" s="64"/>
      <c r="N892" s="17"/>
      <c r="O892" s="17"/>
      <c r="P892" s="17"/>
    </row>
    <row r="893" spans="1:16" x14ac:dyDescent="0.25">
      <c r="A893" s="60"/>
      <c r="B893" s="60"/>
      <c r="C893" s="60"/>
      <c r="D893" s="60"/>
      <c r="E893" s="60"/>
      <c r="F893" s="60"/>
      <c r="G893" s="60"/>
      <c r="H893" s="60"/>
      <c r="I893" s="60"/>
      <c r="J893" s="61"/>
      <c r="K893" s="61"/>
      <c r="L893" s="62"/>
      <c r="M893" s="64"/>
      <c r="N893" s="17"/>
      <c r="O893" s="17"/>
      <c r="P893" s="17"/>
    </row>
    <row r="894" spans="1:16" x14ac:dyDescent="0.25">
      <c r="A894" s="60"/>
      <c r="B894" s="60"/>
      <c r="C894" s="60"/>
      <c r="D894" s="60"/>
      <c r="E894" s="60"/>
      <c r="F894" s="60"/>
      <c r="G894" s="60"/>
      <c r="H894" s="60"/>
      <c r="I894" s="60"/>
      <c r="J894" s="61"/>
      <c r="K894" s="61"/>
      <c r="L894" s="62"/>
      <c r="M894" s="64"/>
      <c r="N894" s="17"/>
      <c r="O894" s="17"/>
      <c r="P894" s="17"/>
    </row>
    <row r="895" spans="1:16" x14ac:dyDescent="0.25">
      <c r="A895" s="60"/>
      <c r="B895" s="60"/>
      <c r="C895" s="60"/>
      <c r="D895" s="60"/>
      <c r="E895" s="60"/>
      <c r="F895" s="60"/>
      <c r="G895" s="60"/>
      <c r="H895" s="60"/>
      <c r="I895" s="60"/>
      <c r="J895" s="61"/>
      <c r="K895" s="61"/>
      <c r="L895" s="62"/>
      <c r="M895" s="63"/>
      <c r="N895" s="17"/>
      <c r="O895" s="17"/>
      <c r="P895" s="17"/>
    </row>
    <row r="896" spans="1:16" x14ac:dyDescent="0.25">
      <c r="A896" s="60"/>
      <c r="B896" s="60"/>
      <c r="C896" s="60"/>
      <c r="D896" s="60"/>
      <c r="E896" s="60"/>
      <c r="F896" s="60"/>
      <c r="G896" s="60"/>
      <c r="H896" s="60"/>
      <c r="I896" s="60"/>
      <c r="J896" s="61"/>
      <c r="K896" s="61"/>
      <c r="L896" s="62"/>
      <c r="M896" s="64"/>
      <c r="N896" s="17"/>
      <c r="O896" s="17"/>
      <c r="P896" s="17"/>
    </row>
    <row r="897" spans="1:16" x14ac:dyDescent="0.25">
      <c r="A897" s="60"/>
      <c r="B897" s="60"/>
      <c r="C897" s="60"/>
      <c r="D897" s="60"/>
      <c r="E897" s="60"/>
      <c r="F897" s="60"/>
      <c r="G897" s="60"/>
      <c r="H897" s="60"/>
      <c r="I897" s="60"/>
      <c r="J897" s="61"/>
      <c r="K897" s="61"/>
      <c r="L897" s="62"/>
      <c r="M897" s="63"/>
      <c r="N897" s="17"/>
      <c r="O897" s="17"/>
      <c r="P897" s="17"/>
    </row>
    <row r="898" spans="1:16" x14ac:dyDescent="0.25">
      <c r="A898" s="60"/>
      <c r="B898" s="60"/>
      <c r="C898" s="60"/>
      <c r="D898" s="60"/>
      <c r="E898" s="60"/>
      <c r="F898" s="60"/>
      <c r="G898" s="60"/>
      <c r="H898" s="60"/>
      <c r="I898" s="60"/>
      <c r="J898" s="61"/>
      <c r="K898" s="61"/>
      <c r="L898" s="62"/>
      <c r="M898" s="64"/>
      <c r="N898" s="17"/>
      <c r="O898" s="17"/>
      <c r="P898" s="17"/>
    </row>
    <row r="899" spans="1:16" x14ac:dyDescent="0.25">
      <c r="A899" s="60"/>
      <c r="B899" s="60"/>
      <c r="C899" s="60"/>
      <c r="D899" s="60"/>
      <c r="E899" s="60"/>
      <c r="F899" s="60"/>
      <c r="G899" s="60"/>
      <c r="H899" s="60"/>
      <c r="I899" s="60"/>
      <c r="J899" s="61"/>
      <c r="K899" s="61"/>
      <c r="L899" s="65"/>
      <c r="M899" s="64"/>
      <c r="N899" s="17"/>
      <c r="O899" s="17"/>
      <c r="P899" s="17"/>
    </row>
    <row r="900" spans="1:16" x14ac:dyDescent="0.25">
      <c r="A900" s="60"/>
      <c r="B900" s="60"/>
      <c r="C900" s="60"/>
      <c r="D900" s="60"/>
      <c r="E900" s="60"/>
      <c r="F900" s="60"/>
      <c r="G900" s="60"/>
      <c r="H900" s="60"/>
      <c r="I900" s="60"/>
      <c r="J900" s="61"/>
      <c r="K900" s="61"/>
      <c r="L900" s="62"/>
      <c r="M900" s="63"/>
      <c r="N900" s="17"/>
      <c r="O900" s="17"/>
      <c r="P900" s="17"/>
    </row>
    <row r="901" spans="1:16" x14ac:dyDescent="0.25">
      <c r="A901" s="60"/>
      <c r="B901" s="60"/>
      <c r="C901" s="60"/>
      <c r="D901" s="60"/>
      <c r="E901" s="60"/>
      <c r="F901" s="60"/>
      <c r="G901" s="60"/>
      <c r="H901" s="60"/>
      <c r="I901" s="60"/>
      <c r="J901" s="61"/>
      <c r="K901" s="61"/>
      <c r="L901" s="62"/>
      <c r="M901" s="63"/>
      <c r="N901" s="17"/>
      <c r="O901" s="17"/>
      <c r="P901" s="17"/>
    </row>
    <row r="902" spans="1:16" x14ac:dyDescent="0.25">
      <c r="A902" s="60"/>
      <c r="B902" s="60"/>
      <c r="C902" s="60"/>
      <c r="D902" s="60"/>
      <c r="E902" s="60"/>
      <c r="F902" s="60"/>
      <c r="G902" s="60"/>
      <c r="H902" s="60"/>
      <c r="I902" s="60"/>
      <c r="J902" s="61"/>
      <c r="K902" s="61"/>
      <c r="L902" s="65"/>
      <c r="M902" s="64"/>
      <c r="N902" s="17"/>
      <c r="O902" s="17"/>
      <c r="P902" s="17"/>
    </row>
    <row r="903" spans="1:16" x14ac:dyDescent="0.25">
      <c r="A903" s="60"/>
      <c r="B903" s="60"/>
      <c r="C903" s="60"/>
      <c r="D903" s="60"/>
      <c r="E903" s="60"/>
      <c r="F903" s="60"/>
      <c r="G903" s="60"/>
      <c r="H903" s="60"/>
      <c r="I903" s="60"/>
      <c r="J903" s="61"/>
      <c r="K903" s="61"/>
      <c r="L903" s="62"/>
      <c r="M903" s="64"/>
      <c r="N903" s="17"/>
      <c r="O903" s="17"/>
      <c r="P903" s="17"/>
    </row>
    <row r="904" spans="1:16" x14ac:dyDescent="0.25">
      <c r="A904" s="60"/>
      <c r="B904" s="60"/>
      <c r="C904" s="60"/>
      <c r="D904" s="60"/>
      <c r="E904" s="60"/>
      <c r="F904" s="60"/>
      <c r="G904" s="60"/>
      <c r="H904" s="60"/>
      <c r="I904" s="60"/>
      <c r="J904" s="61"/>
      <c r="K904" s="61"/>
      <c r="L904" s="62"/>
      <c r="M904" s="64"/>
      <c r="N904" s="17"/>
      <c r="O904" s="17"/>
      <c r="P904" s="17"/>
    </row>
    <row r="905" spans="1:16" x14ac:dyDescent="0.25">
      <c r="A905" s="60"/>
      <c r="B905" s="60"/>
      <c r="C905" s="60"/>
      <c r="D905" s="60"/>
      <c r="E905" s="60"/>
      <c r="F905" s="60"/>
      <c r="G905" s="60"/>
      <c r="H905" s="60"/>
      <c r="I905" s="60"/>
      <c r="J905" s="61"/>
      <c r="K905" s="61"/>
      <c r="L905" s="65"/>
      <c r="M905" s="64"/>
      <c r="N905" s="17"/>
      <c r="O905" s="17"/>
      <c r="P905" s="17"/>
    </row>
    <row r="906" spans="1:16" x14ac:dyDescent="0.25">
      <c r="A906" s="60"/>
      <c r="B906" s="60"/>
      <c r="C906" s="60"/>
      <c r="D906" s="60"/>
      <c r="E906" s="60"/>
      <c r="F906" s="60"/>
      <c r="G906" s="60"/>
      <c r="H906" s="60"/>
      <c r="I906" s="60"/>
      <c r="J906" s="61"/>
      <c r="K906" s="61"/>
      <c r="L906" s="62"/>
      <c r="M906" s="63"/>
      <c r="N906" s="17"/>
      <c r="O906" s="17"/>
      <c r="P906" s="17"/>
    </row>
    <row r="907" spans="1:16" x14ac:dyDescent="0.25">
      <c r="A907" s="60"/>
      <c r="B907" s="60"/>
      <c r="C907" s="60"/>
      <c r="D907" s="60"/>
      <c r="E907" s="60"/>
      <c r="F907" s="60"/>
      <c r="G907" s="60"/>
      <c r="H907" s="60"/>
      <c r="I907" s="60"/>
      <c r="J907" s="61"/>
      <c r="K907" s="61"/>
      <c r="L907" s="62"/>
      <c r="M907" s="63"/>
      <c r="N907" s="17"/>
      <c r="O907" s="17"/>
      <c r="P907" s="17"/>
    </row>
    <row r="908" spans="1:16" x14ac:dyDescent="0.25">
      <c r="A908" s="60"/>
      <c r="B908" s="60"/>
      <c r="C908" s="60"/>
      <c r="D908" s="60"/>
      <c r="E908" s="60"/>
      <c r="F908" s="60"/>
      <c r="G908" s="60"/>
      <c r="H908" s="60"/>
      <c r="I908" s="60"/>
      <c r="J908" s="61"/>
      <c r="K908" s="61"/>
      <c r="L908" s="65"/>
      <c r="M908" s="64"/>
      <c r="N908" s="17"/>
      <c r="O908" s="17"/>
      <c r="P908" s="17"/>
    </row>
    <row r="909" spans="1:16" x14ac:dyDescent="0.25">
      <c r="A909" s="60"/>
      <c r="B909" s="60"/>
      <c r="C909" s="60"/>
      <c r="D909" s="60"/>
      <c r="E909" s="60"/>
      <c r="F909" s="60"/>
      <c r="G909" s="60"/>
      <c r="H909" s="60"/>
      <c r="I909" s="60"/>
      <c r="J909" s="61"/>
      <c r="K909" s="61"/>
      <c r="L909" s="62"/>
      <c r="M909" s="63"/>
      <c r="N909" s="17"/>
      <c r="O909" s="17"/>
      <c r="P909" s="17"/>
    </row>
    <row r="910" spans="1:16" x14ac:dyDescent="0.25">
      <c r="A910" s="60"/>
      <c r="B910" s="60"/>
      <c r="C910" s="60"/>
      <c r="D910" s="60"/>
      <c r="E910" s="60"/>
      <c r="F910" s="60"/>
      <c r="G910" s="60"/>
      <c r="H910" s="60"/>
      <c r="I910" s="60"/>
      <c r="J910" s="61"/>
      <c r="K910" s="61"/>
      <c r="L910" s="62"/>
      <c r="M910" s="64"/>
      <c r="N910" s="17"/>
      <c r="O910" s="17"/>
      <c r="P910" s="17"/>
    </row>
    <row r="911" spans="1:16" x14ac:dyDescent="0.25">
      <c r="A911" s="60"/>
      <c r="B911" s="60"/>
      <c r="C911" s="60"/>
      <c r="D911" s="60"/>
      <c r="E911" s="60"/>
      <c r="F911" s="60"/>
      <c r="G911" s="60"/>
      <c r="H911" s="60"/>
      <c r="I911" s="60"/>
      <c r="J911" s="61"/>
      <c r="K911" s="61"/>
      <c r="L911" s="62"/>
      <c r="M911" s="63"/>
      <c r="N911" s="17"/>
      <c r="O911" s="17"/>
      <c r="P911" s="17"/>
    </row>
    <row r="912" spans="1:16" x14ac:dyDescent="0.25">
      <c r="A912" s="60"/>
      <c r="B912" s="60"/>
      <c r="C912" s="60"/>
      <c r="D912" s="60"/>
      <c r="E912" s="60"/>
      <c r="F912" s="60"/>
      <c r="G912" s="60"/>
      <c r="H912" s="60"/>
      <c r="I912" s="60"/>
      <c r="J912" s="61"/>
      <c r="K912" s="61"/>
      <c r="L912" s="62"/>
      <c r="M912" s="63"/>
      <c r="N912" s="17"/>
      <c r="O912" s="17"/>
      <c r="P912" s="17"/>
    </row>
    <row r="913" spans="1:16" x14ac:dyDescent="0.25">
      <c r="A913" s="60"/>
      <c r="B913" s="60"/>
      <c r="C913" s="60"/>
      <c r="D913" s="60"/>
      <c r="E913" s="60"/>
      <c r="F913" s="60"/>
      <c r="G913" s="60"/>
      <c r="H913" s="60"/>
      <c r="I913" s="60"/>
      <c r="J913" s="61"/>
      <c r="K913" s="61"/>
      <c r="L913" s="62"/>
      <c r="M913" s="63"/>
      <c r="N913" s="17"/>
      <c r="O913" s="17"/>
      <c r="P913" s="17"/>
    </row>
    <row r="914" spans="1:16" x14ac:dyDescent="0.25">
      <c r="A914" s="60"/>
      <c r="B914" s="60"/>
      <c r="C914" s="60"/>
      <c r="D914" s="60"/>
      <c r="E914" s="60"/>
      <c r="F914" s="60"/>
      <c r="G914" s="60"/>
      <c r="H914" s="60"/>
      <c r="I914" s="60"/>
      <c r="J914" s="61"/>
      <c r="K914" s="61"/>
      <c r="L914" s="62"/>
      <c r="M914" s="63"/>
      <c r="N914" s="17"/>
      <c r="O914" s="17"/>
      <c r="P914" s="17"/>
    </row>
    <row r="915" spans="1:16" x14ac:dyDescent="0.25">
      <c r="A915" s="60"/>
      <c r="B915" s="60"/>
      <c r="C915" s="60"/>
      <c r="D915" s="60"/>
      <c r="E915" s="60"/>
      <c r="F915" s="60"/>
      <c r="G915" s="60"/>
      <c r="H915" s="60"/>
      <c r="I915" s="60"/>
      <c r="J915" s="61"/>
      <c r="K915" s="61"/>
      <c r="L915" s="62"/>
      <c r="M915" s="64"/>
      <c r="N915" s="17"/>
      <c r="O915" s="17"/>
      <c r="P915" s="17"/>
    </row>
    <row r="916" spans="1:16" x14ac:dyDescent="0.25">
      <c r="A916" s="60"/>
      <c r="B916" s="60"/>
      <c r="C916" s="60"/>
      <c r="D916" s="60"/>
      <c r="E916" s="60"/>
      <c r="F916" s="60"/>
      <c r="G916" s="60"/>
      <c r="H916" s="60"/>
      <c r="I916" s="60"/>
      <c r="J916" s="61"/>
      <c r="K916" s="61"/>
      <c r="L916" s="62"/>
      <c r="M916" s="64"/>
      <c r="N916" s="17"/>
      <c r="O916" s="17"/>
      <c r="P916" s="17"/>
    </row>
    <row r="917" spans="1:16" x14ac:dyDescent="0.25">
      <c r="A917" s="60"/>
      <c r="B917" s="60"/>
      <c r="C917" s="60"/>
      <c r="D917" s="60"/>
      <c r="E917" s="60"/>
      <c r="F917" s="60"/>
      <c r="G917" s="60"/>
      <c r="H917" s="60"/>
      <c r="I917" s="60"/>
      <c r="J917" s="61"/>
      <c r="K917" s="61"/>
      <c r="L917" s="62"/>
      <c r="M917" s="63"/>
      <c r="N917" s="17"/>
      <c r="O917" s="17"/>
      <c r="P917" s="17"/>
    </row>
    <row r="918" spans="1:16" x14ac:dyDescent="0.25">
      <c r="A918" s="60"/>
      <c r="B918" s="60"/>
      <c r="C918" s="60"/>
      <c r="D918" s="60"/>
      <c r="E918" s="60"/>
      <c r="F918" s="60"/>
      <c r="G918" s="60"/>
      <c r="H918" s="60"/>
      <c r="I918" s="60"/>
      <c r="J918" s="61"/>
      <c r="K918" s="61"/>
      <c r="L918" s="62"/>
      <c r="M918" s="64"/>
      <c r="N918" s="17"/>
      <c r="O918" s="17"/>
      <c r="P918" s="17"/>
    </row>
    <row r="919" spans="1:16" x14ac:dyDescent="0.25">
      <c r="A919" s="60"/>
      <c r="B919" s="60"/>
      <c r="C919" s="60"/>
      <c r="D919" s="60"/>
      <c r="E919" s="60"/>
      <c r="F919" s="60"/>
      <c r="G919" s="60"/>
      <c r="H919" s="60"/>
      <c r="I919" s="60"/>
      <c r="J919" s="61"/>
      <c r="K919" s="61"/>
      <c r="L919" s="62"/>
      <c r="M919" s="64"/>
      <c r="N919" s="17"/>
      <c r="O919" s="17"/>
      <c r="P919" s="17"/>
    </row>
    <row r="920" spans="1:16" x14ac:dyDescent="0.25">
      <c r="A920" s="60"/>
      <c r="B920" s="60"/>
      <c r="C920" s="60"/>
      <c r="D920" s="60"/>
      <c r="E920" s="60"/>
      <c r="F920" s="60"/>
      <c r="G920" s="60"/>
      <c r="H920" s="60"/>
      <c r="I920" s="60"/>
      <c r="J920" s="61"/>
      <c r="K920" s="61"/>
      <c r="L920" s="62"/>
      <c r="M920" s="64"/>
      <c r="N920" s="17"/>
      <c r="O920" s="17"/>
      <c r="P920" s="17"/>
    </row>
    <row r="921" spans="1:16" x14ac:dyDescent="0.25">
      <c r="A921" s="60"/>
      <c r="B921" s="60"/>
      <c r="C921" s="60"/>
      <c r="D921" s="60"/>
      <c r="E921" s="60"/>
      <c r="F921" s="60"/>
      <c r="G921" s="60"/>
      <c r="H921" s="60"/>
      <c r="I921" s="60"/>
      <c r="J921" s="61"/>
      <c r="K921" s="61"/>
      <c r="L921" s="62"/>
      <c r="M921" s="63"/>
      <c r="N921" s="17"/>
      <c r="O921" s="17"/>
      <c r="P921" s="17"/>
    </row>
    <row r="922" spans="1:16" x14ac:dyDescent="0.25">
      <c r="A922" s="60"/>
      <c r="B922" s="60"/>
      <c r="C922" s="60"/>
      <c r="D922" s="60"/>
      <c r="E922" s="60"/>
      <c r="F922" s="60"/>
      <c r="G922" s="60"/>
      <c r="H922" s="60"/>
      <c r="I922" s="60"/>
      <c r="J922" s="61"/>
      <c r="K922" s="61"/>
      <c r="L922" s="65"/>
      <c r="M922" s="64"/>
      <c r="N922" s="17"/>
      <c r="O922" s="17"/>
      <c r="P922" s="17"/>
    </row>
    <row r="923" spans="1:16" x14ac:dyDescent="0.25">
      <c r="A923" s="60"/>
      <c r="B923" s="60"/>
      <c r="C923" s="60"/>
      <c r="D923" s="60"/>
      <c r="E923" s="60"/>
      <c r="F923" s="60"/>
      <c r="G923" s="60"/>
      <c r="H923" s="60"/>
      <c r="I923" s="60"/>
      <c r="J923" s="61"/>
      <c r="K923" s="61"/>
      <c r="L923" s="65"/>
      <c r="M923" s="64"/>
      <c r="N923" s="17"/>
      <c r="O923" s="17"/>
      <c r="P923" s="17"/>
    </row>
    <row r="924" spans="1:16" x14ac:dyDescent="0.25">
      <c r="A924" s="60"/>
      <c r="B924" s="60"/>
      <c r="C924" s="60"/>
      <c r="D924" s="60"/>
      <c r="E924" s="60"/>
      <c r="F924" s="60"/>
      <c r="G924" s="60"/>
      <c r="H924" s="60"/>
      <c r="I924" s="60"/>
      <c r="J924" s="61"/>
      <c r="K924" s="61"/>
      <c r="L924" s="62"/>
      <c r="M924" s="64"/>
      <c r="N924" s="17"/>
      <c r="O924" s="17"/>
      <c r="P924" s="17"/>
    </row>
    <row r="925" spans="1:16" x14ac:dyDescent="0.25">
      <c r="A925" s="60"/>
      <c r="B925" s="60"/>
      <c r="C925" s="60"/>
      <c r="D925" s="60"/>
      <c r="E925" s="60"/>
      <c r="F925" s="60"/>
      <c r="G925" s="60"/>
      <c r="H925" s="60"/>
      <c r="I925" s="60"/>
      <c r="J925" s="61"/>
      <c r="K925" s="61"/>
      <c r="L925" s="62"/>
      <c r="M925" s="64"/>
      <c r="N925" s="17"/>
      <c r="O925" s="17"/>
      <c r="P925" s="17"/>
    </row>
    <row r="926" spans="1:16" x14ac:dyDescent="0.25">
      <c r="A926" s="60"/>
      <c r="B926" s="60"/>
      <c r="C926" s="60"/>
      <c r="D926" s="60"/>
      <c r="E926" s="60"/>
      <c r="F926" s="60"/>
      <c r="G926" s="60"/>
      <c r="H926" s="60"/>
      <c r="I926" s="60"/>
      <c r="J926" s="61"/>
      <c r="K926" s="61"/>
      <c r="L926" s="62"/>
      <c r="M926" s="63"/>
      <c r="N926" s="17"/>
      <c r="O926" s="17"/>
      <c r="P926" s="17"/>
    </row>
    <row r="927" spans="1:16" x14ac:dyDescent="0.25">
      <c r="A927" s="60"/>
      <c r="B927" s="60"/>
      <c r="C927" s="60"/>
      <c r="D927" s="60"/>
      <c r="E927" s="60"/>
      <c r="F927" s="60"/>
      <c r="G927" s="60"/>
      <c r="H927" s="60"/>
      <c r="I927" s="60"/>
      <c r="J927" s="61"/>
      <c r="K927" s="61"/>
      <c r="L927" s="62"/>
      <c r="M927" s="63"/>
      <c r="N927" s="17"/>
      <c r="O927" s="17"/>
      <c r="P927" s="17"/>
    </row>
    <row r="928" spans="1:16" x14ac:dyDescent="0.25">
      <c r="A928" s="60"/>
      <c r="B928" s="60"/>
      <c r="C928" s="60"/>
      <c r="D928" s="60"/>
      <c r="E928" s="60"/>
      <c r="F928" s="60"/>
      <c r="G928" s="60"/>
      <c r="H928" s="60"/>
      <c r="I928" s="60"/>
      <c r="J928" s="61"/>
      <c r="K928" s="61"/>
      <c r="L928" s="62"/>
      <c r="M928" s="63"/>
      <c r="N928" s="17"/>
      <c r="O928" s="17"/>
      <c r="P928" s="17"/>
    </row>
    <row r="929" spans="1:16" x14ac:dyDescent="0.25">
      <c r="A929" s="60"/>
      <c r="B929" s="60"/>
      <c r="C929" s="60"/>
      <c r="D929" s="60"/>
      <c r="E929" s="60"/>
      <c r="F929" s="60"/>
      <c r="G929" s="60"/>
      <c r="H929" s="60"/>
      <c r="I929" s="60"/>
      <c r="J929" s="61"/>
      <c r="K929" s="61"/>
      <c r="L929" s="65"/>
      <c r="M929" s="64"/>
      <c r="N929" s="17"/>
      <c r="O929" s="17"/>
      <c r="P929" s="17"/>
    </row>
    <row r="930" spans="1:16" x14ac:dyDescent="0.25">
      <c r="A930" s="60"/>
      <c r="B930" s="60"/>
      <c r="C930" s="60"/>
      <c r="D930" s="60"/>
      <c r="E930" s="60"/>
      <c r="F930" s="60"/>
      <c r="G930" s="60"/>
      <c r="H930" s="60"/>
      <c r="I930" s="60"/>
      <c r="J930" s="61"/>
      <c r="K930" s="61"/>
      <c r="L930" s="62"/>
      <c r="M930" s="63"/>
      <c r="N930" s="17"/>
      <c r="O930" s="17"/>
      <c r="P930" s="17"/>
    </row>
    <row r="931" spans="1:16" x14ac:dyDescent="0.25">
      <c r="A931" s="60"/>
      <c r="B931" s="60"/>
      <c r="C931" s="60"/>
      <c r="D931" s="60"/>
      <c r="E931" s="60"/>
      <c r="F931" s="60"/>
      <c r="G931" s="60"/>
      <c r="H931" s="60"/>
      <c r="I931" s="60"/>
      <c r="J931" s="61"/>
      <c r="K931" s="61"/>
      <c r="L931" s="62"/>
      <c r="M931" s="64"/>
      <c r="N931" s="17"/>
      <c r="O931" s="17"/>
      <c r="P931" s="17"/>
    </row>
    <row r="932" spans="1:16" x14ac:dyDescent="0.25">
      <c r="A932" s="60"/>
      <c r="B932" s="60"/>
      <c r="C932" s="60"/>
      <c r="D932" s="60"/>
      <c r="E932" s="60"/>
      <c r="F932" s="60"/>
      <c r="G932" s="60"/>
      <c r="H932" s="60"/>
      <c r="I932" s="60"/>
      <c r="J932" s="61"/>
      <c r="K932" s="61"/>
      <c r="L932" s="62"/>
      <c r="M932" s="63"/>
      <c r="N932" s="17"/>
      <c r="O932" s="17"/>
      <c r="P932" s="17"/>
    </row>
    <row r="933" spans="1:16" x14ac:dyDescent="0.25">
      <c r="A933" s="60"/>
      <c r="B933" s="60"/>
      <c r="C933" s="60"/>
      <c r="D933" s="60"/>
      <c r="E933" s="60"/>
      <c r="F933" s="60"/>
      <c r="G933" s="60"/>
      <c r="H933" s="60"/>
      <c r="I933" s="60"/>
      <c r="J933" s="61"/>
      <c r="K933" s="61"/>
      <c r="L933" s="62"/>
      <c r="M933" s="63"/>
      <c r="N933" s="17"/>
      <c r="O933" s="17"/>
      <c r="P933" s="17"/>
    </row>
    <row r="934" spans="1:16" x14ac:dyDescent="0.25">
      <c r="A934" s="60"/>
      <c r="B934" s="60"/>
      <c r="C934" s="60"/>
      <c r="D934" s="60"/>
      <c r="E934" s="60"/>
      <c r="F934" s="60"/>
      <c r="G934" s="60"/>
      <c r="H934" s="60"/>
      <c r="I934" s="60"/>
      <c r="J934" s="61"/>
      <c r="K934" s="61"/>
      <c r="L934" s="62"/>
      <c r="M934" s="63"/>
      <c r="N934" s="17"/>
      <c r="O934" s="17"/>
      <c r="P934" s="17"/>
    </row>
    <row r="935" spans="1:16" x14ac:dyDescent="0.25">
      <c r="A935" s="60"/>
      <c r="B935" s="60"/>
      <c r="C935" s="60"/>
      <c r="D935" s="60"/>
      <c r="E935" s="60"/>
      <c r="F935" s="60"/>
      <c r="G935" s="60"/>
      <c r="H935" s="60"/>
      <c r="I935" s="60"/>
      <c r="J935" s="61"/>
      <c r="K935" s="61"/>
      <c r="L935" s="62"/>
      <c r="M935" s="64"/>
      <c r="N935" s="17"/>
      <c r="O935" s="17"/>
      <c r="P935" s="17"/>
    </row>
    <row r="936" spans="1:16" x14ac:dyDescent="0.25">
      <c r="A936" s="60"/>
      <c r="B936" s="60"/>
      <c r="C936" s="60"/>
      <c r="D936" s="60"/>
      <c r="E936" s="60"/>
      <c r="F936" s="60"/>
      <c r="G936" s="60"/>
      <c r="H936" s="60"/>
      <c r="I936" s="60"/>
      <c r="J936" s="61"/>
      <c r="K936" s="61"/>
      <c r="L936" s="62"/>
      <c r="M936" s="63"/>
      <c r="N936" s="17"/>
      <c r="O936" s="17"/>
      <c r="P936" s="17"/>
    </row>
    <row r="937" spans="1:16" x14ac:dyDescent="0.25">
      <c r="A937" s="60"/>
      <c r="B937" s="60"/>
      <c r="C937" s="60"/>
      <c r="D937" s="60"/>
      <c r="E937" s="60"/>
      <c r="F937" s="60"/>
      <c r="G937" s="60"/>
      <c r="H937" s="60"/>
      <c r="I937" s="60"/>
      <c r="J937" s="61"/>
      <c r="K937" s="61"/>
      <c r="L937" s="62"/>
      <c r="M937" s="63"/>
      <c r="N937" s="17"/>
      <c r="O937" s="17"/>
      <c r="P937" s="17"/>
    </row>
    <row r="938" spans="1:16" x14ac:dyDescent="0.25">
      <c r="A938" s="60"/>
      <c r="B938" s="60"/>
      <c r="C938" s="60"/>
      <c r="D938" s="60"/>
      <c r="E938" s="60"/>
      <c r="F938" s="60"/>
      <c r="G938" s="60"/>
      <c r="H938" s="60"/>
      <c r="I938" s="60"/>
      <c r="J938" s="61"/>
      <c r="K938" s="61"/>
      <c r="L938" s="62"/>
      <c r="M938" s="64"/>
      <c r="N938" s="17"/>
      <c r="O938" s="17"/>
      <c r="P938" s="17"/>
    </row>
    <row r="939" spans="1:16" x14ac:dyDescent="0.25">
      <c r="A939" s="60"/>
      <c r="B939" s="60"/>
      <c r="C939" s="60"/>
      <c r="D939" s="60"/>
      <c r="E939" s="60"/>
      <c r="F939" s="60"/>
      <c r="G939" s="60"/>
      <c r="H939" s="60"/>
      <c r="I939" s="60"/>
      <c r="J939" s="61"/>
      <c r="K939" s="61"/>
      <c r="L939" s="62"/>
      <c r="M939" s="64"/>
      <c r="N939" s="17"/>
      <c r="O939" s="17"/>
      <c r="P939" s="17"/>
    </row>
    <row r="940" spans="1:16" x14ac:dyDescent="0.25">
      <c r="A940" s="60"/>
      <c r="B940" s="60"/>
      <c r="C940" s="60"/>
      <c r="D940" s="60"/>
      <c r="E940" s="60"/>
      <c r="F940" s="60"/>
      <c r="G940" s="60"/>
      <c r="H940" s="60"/>
      <c r="I940" s="60"/>
      <c r="J940" s="61"/>
      <c r="K940" s="61"/>
      <c r="L940" s="62"/>
      <c r="M940" s="63"/>
      <c r="N940" s="17"/>
      <c r="O940" s="17"/>
      <c r="P940" s="17"/>
    </row>
    <row r="941" spans="1:16" x14ac:dyDescent="0.25">
      <c r="A941" s="60"/>
      <c r="B941" s="60"/>
      <c r="C941" s="60"/>
      <c r="D941" s="60"/>
      <c r="E941" s="60"/>
      <c r="F941" s="60"/>
      <c r="G941" s="60"/>
      <c r="H941" s="60"/>
      <c r="I941" s="60"/>
      <c r="J941" s="61"/>
      <c r="K941" s="61"/>
      <c r="L941" s="62"/>
      <c r="M941" s="64"/>
      <c r="N941" s="17"/>
      <c r="O941" s="17"/>
      <c r="P941" s="17"/>
    </row>
    <row r="942" spans="1:16" x14ac:dyDescent="0.25">
      <c r="A942" s="60"/>
      <c r="B942" s="60"/>
      <c r="C942" s="60"/>
      <c r="D942" s="60"/>
      <c r="E942" s="60"/>
      <c r="F942" s="60"/>
      <c r="G942" s="60"/>
      <c r="H942" s="60"/>
      <c r="I942" s="60"/>
      <c r="J942" s="61"/>
      <c r="K942" s="61"/>
      <c r="L942" s="62"/>
      <c r="M942" s="64"/>
      <c r="N942" s="17"/>
      <c r="O942" s="17"/>
      <c r="P942" s="17"/>
    </row>
    <row r="943" spans="1:16" x14ac:dyDescent="0.25">
      <c r="A943" s="60"/>
      <c r="B943" s="60"/>
      <c r="C943" s="60"/>
      <c r="D943" s="60"/>
      <c r="E943" s="60"/>
      <c r="F943" s="60"/>
      <c r="G943" s="60"/>
      <c r="H943" s="60"/>
      <c r="I943" s="60"/>
      <c r="J943" s="61"/>
      <c r="K943" s="61"/>
      <c r="L943" s="65"/>
      <c r="M943" s="64"/>
      <c r="N943" s="17"/>
      <c r="O943" s="17"/>
      <c r="P943" s="17"/>
    </row>
    <row r="944" spans="1:16" x14ac:dyDescent="0.25">
      <c r="A944" s="60"/>
      <c r="B944" s="60"/>
      <c r="C944" s="60"/>
      <c r="D944" s="60"/>
      <c r="E944" s="60"/>
      <c r="F944" s="60"/>
      <c r="G944" s="60"/>
      <c r="H944" s="60"/>
      <c r="I944" s="60"/>
      <c r="J944" s="61"/>
      <c r="K944" s="61"/>
      <c r="L944" s="62"/>
      <c r="M944" s="63"/>
      <c r="N944" s="17"/>
      <c r="O944" s="17"/>
      <c r="P944" s="17"/>
    </row>
    <row r="945" spans="1:16" x14ac:dyDescent="0.25">
      <c r="A945" s="60"/>
      <c r="B945" s="60"/>
      <c r="C945" s="60"/>
      <c r="D945" s="60"/>
      <c r="E945" s="60"/>
      <c r="F945" s="60"/>
      <c r="G945" s="60"/>
      <c r="H945" s="60"/>
      <c r="I945" s="60"/>
      <c r="J945" s="61"/>
      <c r="K945" s="61"/>
      <c r="L945" s="62"/>
      <c r="M945" s="63"/>
      <c r="N945" s="17"/>
      <c r="O945" s="17"/>
      <c r="P945" s="17"/>
    </row>
    <row r="946" spans="1:16" x14ac:dyDescent="0.25">
      <c r="A946" s="60"/>
      <c r="B946" s="60"/>
      <c r="C946" s="60"/>
      <c r="D946" s="60"/>
      <c r="E946" s="60"/>
      <c r="F946" s="60"/>
      <c r="G946" s="60"/>
      <c r="H946" s="60"/>
      <c r="I946" s="60"/>
      <c r="J946" s="61"/>
      <c r="K946" s="61"/>
      <c r="L946" s="62"/>
      <c r="M946" s="63"/>
      <c r="N946" s="17"/>
      <c r="O946" s="17"/>
      <c r="P946" s="17"/>
    </row>
    <row r="947" spans="1:16" x14ac:dyDescent="0.25">
      <c r="A947" s="60"/>
      <c r="B947" s="60"/>
      <c r="C947" s="60"/>
      <c r="D947" s="60"/>
      <c r="E947" s="60"/>
      <c r="F947" s="60"/>
      <c r="G947" s="60"/>
      <c r="H947" s="60"/>
      <c r="I947" s="60"/>
      <c r="J947" s="61"/>
      <c r="K947" s="61"/>
      <c r="L947" s="65"/>
      <c r="M947" s="64"/>
      <c r="N947" s="17"/>
      <c r="O947" s="17"/>
      <c r="P947" s="17"/>
    </row>
    <row r="948" spans="1:16" x14ac:dyDescent="0.25">
      <c r="A948" s="60"/>
      <c r="B948" s="60"/>
      <c r="C948" s="60"/>
      <c r="D948" s="60"/>
      <c r="E948" s="60"/>
      <c r="F948" s="60"/>
      <c r="G948" s="60"/>
      <c r="H948" s="60"/>
      <c r="I948" s="60"/>
      <c r="J948" s="61"/>
      <c r="K948" s="61"/>
      <c r="L948" s="62"/>
      <c r="M948" s="63"/>
      <c r="N948" s="17"/>
      <c r="O948" s="17"/>
      <c r="P948" s="17"/>
    </row>
    <row r="949" spans="1:16" x14ac:dyDescent="0.25">
      <c r="A949" s="60"/>
      <c r="B949" s="60"/>
      <c r="C949" s="60"/>
      <c r="D949" s="60"/>
      <c r="E949" s="60"/>
      <c r="F949" s="60"/>
      <c r="G949" s="60"/>
      <c r="H949" s="60"/>
      <c r="I949" s="60"/>
      <c r="J949" s="61"/>
      <c r="K949" s="61"/>
      <c r="L949" s="62"/>
      <c r="M949" s="64"/>
      <c r="N949" s="17"/>
      <c r="O949" s="17"/>
      <c r="P949" s="17"/>
    </row>
    <row r="950" spans="1:16" x14ac:dyDescent="0.25">
      <c r="A950" s="60"/>
      <c r="B950" s="60"/>
      <c r="C950" s="60"/>
      <c r="D950" s="60"/>
      <c r="E950" s="60"/>
      <c r="F950" s="60"/>
      <c r="G950" s="60"/>
      <c r="H950" s="60"/>
      <c r="I950" s="60"/>
      <c r="J950" s="61"/>
      <c r="K950" s="61"/>
      <c r="L950" s="62"/>
      <c r="M950" s="64"/>
      <c r="N950" s="17"/>
      <c r="O950" s="17"/>
      <c r="P950" s="17"/>
    </row>
    <row r="951" spans="1:16" x14ac:dyDescent="0.25">
      <c r="A951" s="60"/>
      <c r="B951" s="60"/>
      <c r="C951" s="60"/>
      <c r="D951" s="60"/>
      <c r="E951" s="60"/>
      <c r="F951" s="60"/>
      <c r="G951" s="60"/>
      <c r="H951" s="60"/>
      <c r="I951" s="60"/>
      <c r="J951" s="61"/>
      <c r="K951" s="61"/>
      <c r="L951" s="65"/>
      <c r="M951" s="64"/>
      <c r="N951" s="17"/>
      <c r="O951" s="17"/>
      <c r="P951" s="17"/>
    </row>
    <row r="952" spans="1:16" x14ac:dyDescent="0.25">
      <c r="A952" s="60"/>
      <c r="B952" s="60"/>
      <c r="C952" s="60"/>
      <c r="D952" s="60"/>
      <c r="E952" s="60"/>
      <c r="F952" s="60"/>
      <c r="G952" s="60"/>
      <c r="H952" s="60"/>
      <c r="I952" s="60"/>
      <c r="J952" s="61"/>
      <c r="K952" s="61"/>
      <c r="L952" s="62"/>
      <c r="M952" s="64"/>
      <c r="N952" s="17"/>
      <c r="O952" s="17"/>
      <c r="P952" s="17"/>
    </row>
    <row r="953" spans="1:16" x14ac:dyDescent="0.25">
      <c r="A953" s="60"/>
      <c r="B953" s="60"/>
      <c r="C953" s="60"/>
      <c r="D953" s="60"/>
      <c r="E953" s="60"/>
      <c r="F953" s="60"/>
      <c r="G953" s="60"/>
      <c r="H953" s="60"/>
      <c r="I953" s="60"/>
      <c r="J953" s="61"/>
      <c r="K953" s="61"/>
      <c r="L953" s="62"/>
      <c r="M953" s="64"/>
      <c r="N953" s="17"/>
      <c r="O953" s="17"/>
      <c r="P953" s="17"/>
    </row>
    <row r="954" spans="1:16" x14ac:dyDescent="0.25">
      <c r="A954" s="60"/>
      <c r="B954" s="60"/>
      <c r="C954" s="60"/>
      <c r="D954" s="60"/>
      <c r="E954" s="60"/>
      <c r="F954" s="60"/>
      <c r="G954" s="60"/>
      <c r="H954" s="60"/>
      <c r="I954" s="60"/>
      <c r="J954" s="61"/>
      <c r="K954" s="61"/>
      <c r="L954" s="62"/>
      <c r="M954" s="63"/>
      <c r="N954" s="17"/>
      <c r="O954" s="17"/>
      <c r="P954" s="17"/>
    </row>
    <row r="955" spans="1:16" x14ac:dyDescent="0.25">
      <c r="A955" s="60"/>
      <c r="B955" s="60"/>
      <c r="C955" s="60"/>
      <c r="D955" s="60"/>
      <c r="E955" s="60"/>
      <c r="F955" s="60"/>
      <c r="G955" s="60"/>
      <c r="H955" s="60"/>
      <c r="I955" s="60"/>
      <c r="J955" s="61"/>
      <c r="K955" s="61"/>
      <c r="L955" s="62"/>
      <c r="M955" s="63"/>
      <c r="N955" s="17"/>
      <c r="O955" s="17"/>
      <c r="P955" s="17"/>
    </row>
    <row r="956" spans="1:16" x14ac:dyDescent="0.25">
      <c r="A956" s="60"/>
      <c r="B956" s="60"/>
      <c r="C956" s="60"/>
      <c r="D956" s="60"/>
      <c r="E956" s="60"/>
      <c r="F956" s="60"/>
      <c r="G956" s="60"/>
      <c r="H956" s="60"/>
      <c r="I956" s="60"/>
      <c r="J956" s="61"/>
      <c r="K956" s="61"/>
      <c r="L956" s="62"/>
      <c r="M956" s="63"/>
      <c r="N956" s="17"/>
      <c r="O956" s="17"/>
      <c r="P956" s="17"/>
    </row>
    <row r="957" spans="1:16" x14ac:dyDescent="0.25">
      <c r="A957" s="60"/>
      <c r="B957" s="60"/>
      <c r="C957" s="60"/>
      <c r="D957" s="60"/>
      <c r="E957" s="60"/>
      <c r="F957" s="60"/>
      <c r="G957" s="60"/>
      <c r="H957" s="60"/>
      <c r="I957" s="60"/>
      <c r="J957" s="61"/>
      <c r="K957" s="61"/>
      <c r="L957" s="65"/>
      <c r="M957" s="64"/>
      <c r="N957" s="17"/>
      <c r="O957" s="17"/>
      <c r="P957" s="17"/>
    </row>
    <row r="958" spans="1:16" x14ac:dyDescent="0.25">
      <c r="A958" s="60"/>
      <c r="B958" s="60"/>
      <c r="C958" s="60"/>
      <c r="D958" s="60"/>
      <c r="E958" s="60"/>
      <c r="F958" s="60"/>
      <c r="G958" s="60"/>
      <c r="H958" s="60"/>
      <c r="I958" s="60"/>
      <c r="J958" s="61"/>
      <c r="K958" s="61"/>
      <c r="L958" s="65"/>
      <c r="M958" s="64"/>
      <c r="N958" s="17"/>
      <c r="O958" s="17"/>
      <c r="P958" s="17"/>
    </row>
    <row r="959" spans="1:16" x14ac:dyDescent="0.25">
      <c r="A959" s="60"/>
      <c r="B959" s="60"/>
      <c r="C959" s="60"/>
      <c r="D959" s="60"/>
      <c r="E959" s="60"/>
      <c r="F959" s="60"/>
      <c r="G959" s="60"/>
      <c r="H959" s="60"/>
      <c r="I959" s="60"/>
      <c r="J959" s="61"/>
      <c r="K959" s="61"/>
      <c r="L959" s="62"/>
      <c r="M959" s="63"/>
      <c r="N959" s="17"/>
      <c r="O959" s="17"/>
      <c r="P959" s="17"/>
    </row>
    <row r="960" spans="1:16" x14ac:dyDescent="0.25">
      <c r="A960" s="60"/>
      <c r="B960" s="60"/>
      <c r="C960" s="60"/>
      <c r="D960" s="60"/>
      <c r="E960" s="60"/>
      <c r="F960" s="60"/>
      <c r="G960" s="60"/>
      <c r="H960" s="60"/>
      <c r="I960" s="60"/>
      <c r="J960" s="61"/>
      <c r="K960" s="61"/>
      <c r="L960" s="62"/>
      <c r="M960" s="64"/>
      <c r="N960" s="17"/>
      <c r="O960" s="17"/>
      <c r="P960" s="17"/>
    </row>
    <row r="961" spans="1:16" x14ac:dyDescent="0.25">
      <c r="A961" s="60"/>
      <c r="B961" s="60"/>
      <c r="C961" s="60"/>
      <c r="D961" s="60"/>
      <c r="E961" s="60"/>
      <c r="F961" s="60"/>
      <c r="G961" s="60"/>
      <c r="H961" s="60"/>
      <c r="I961" s="60"/>
      <c r="J961" s="61"/>
      <c r="K961" s="61"/>
      <c r="L961" s="62"/>
      <c r="M961" s="63"/>
      <c r="N961" s="17"/>
      <c r="O961" s="17"/>
      <c r="P961" s="17"/>
    </row>
    <row r="962" spans="1:16" x14ac:dyDescent="0.25">
      <c r="A962" s="60"/>
      <c r="B962" s="60"/>
      <c r="C962" s="60"/>
      <c r="D962" s="60"/>
      <c r="E962" s="60"/>
      <c r="F962" s="60"/>
      <c r="G962" s="60"/>
      <c r="H962" s="60"/>
      <c r="I962" s="60"/>
      <c r="J962" s="61"/>
      <c r="K962" s="61"/>
      <c r="L962" s="62"/>
      <c r="M962" s="63"/>
      <c r="N962" s="17"/>
      <c r="O962" s="17"/>
      <c r="P962" s="17"/>
    </row>
    <row r="963" spans="1:16" x14ac:dyDescent="0.25">
      <c r="A963" s="60"/>
      <c r="B963" s="60"/>
      <c r="C963" s="60"/>
      <c r="D963" s="60"/>
      <c r="E963" s="60"/>
      <c r="F963" s="60"/>
      <c r="G963" s="60"/>
      <c r="H963" s="60"/>
      <c r="I963" s="60"/>
      <c r="J963" s="61"/>
      <c r="K963" s="61"/>
      <c r="L963" s="62"/>
      <c r="M963" s="63"/>
      <c r="N963" s="17"/>
      <c r="O963" s="17"/>
      <c r="P963" s="17"/>
    </row>
    <row r="964" spans="1:16" x14ac:dyDescent="0.25">
      <c r="A964" s="60"/>
      <c r="B964" s="60"/>
      <c r="C964" s="60"/>
      <c r="D964" s="60"/>
      <c r="E964" s="60"/>
      <c r="F964" s="60"/>
      <c r="G964" s="60"/>
      <c r="H964" s="60"/>
      <c r="I964" s="60"/>
      <c r="J964" s="61"/>
      <c r="K964" s="61"/>
      <c r="L964" s="62"/>
      <c r="M964" s="64"/>
      <c r="N964" s="17"/>
      <c r="O964" s="17"/>
      <c r="P964" s="17"/>
    </row>
    <row r="965" spans="1:16" x14ac:dyDescent="0.25">
      <c r="A965" s="60"/>
      <c r="B965" s="60"/>
      <c r="C965" s="60"/>
      <c r="D965" s="60"/>
      <c r="E965" s="60"/>
      <c r="F965" s="60"/>
      <c r="G965" s="60"/>
      <c r="H965" s="60"/>
      <c r="I965" s="60"/>
      <c r="J965" s="61"/>
      <c r="K965" s="61"/>
      <c r="L965" s="62"/>
      <c r="M965" s="63"/>
      <c r="N965" s="17"/>
      <c r="O965" s="17"/>
      <c r="P965" s="17"/>
    </row>
    <row r="966" spans="1:16" x14ac:dyDescent="0.25">
      <c r="A966" s="60"/>
      <c r="B966" s="60"/>
      <c r="C966" s="60"/>
      <c r="D966" s="60"/>
      <c r="E966" s="60"/>
      <c r="F966" s="60"/>
      <c r="G966" s="60"/>
      <c r="H966" s="60"/>
      <c r="I966" s="60"/>
      <c r="J966" s="61"/>
      <c r="K966" s="61"/>
      <c r="L966" s="62"/>
      <c r="M966" s="63"/>
      <c r="N966" s="17"/>
      <c r="O966" s="17"/>
      <c r="P966" s="17"/>
    </row>
    <row r="967" spans="1:16" x14ac:dyDescent="0.25">
      <c r="A967" s="60"/>
      <c r="B967" s="60"/>
      <c r="C967" s="60"/>
      <c r="D967" s="60"/>
      <c r="E967" s="60"/>
      <c r="F967" s="60"/>
      <c r="G967" s="60"/>
      <c r="H967" s="60"/>
      <c r="I967" s="60"/>
      <c r="J967" s="61"/>
      <c r="K967" s="61"/>
      <c r="L967" s="62"/>
      <c r="M967" s="63"/>
      <c r="N967" s="17"/>
      <c r="O967" s="17"/>
      <c r="P967" s="17"/>
    </row>
    <row r="968" spans="1:16" x14ac:dyDescent="0.25">
      <c r="A968" s="60"/>
      <c r="B968" s="60"/>
      <c r="C968" s="60"/>
      <c r="D968" s="60"/>
      <c r="E968" s="60"/>
      <c r="F968" s="60"/>
      <c r="G968" s="60"/>
      <c r="H968" s="60"/>
      <c r="I968" s="60"/>
      <c r="J968" s="61"/>
      <c r="K968" s="61"/>
      <c r="L968" s="62"/>
      <c r="M968" s="63"/>
      <c r="N968" s="17"/>
      <c r="O968" s="17"/>
      <c r="P968" s="17"/>
    </row>
    <row r="969" spans="1:16" x14ac:dyDescent="0.25">
      <c r="A969" s="60"/>
      <c r="B969" s="60"/>
      <c r="C969" s="60"/>
      <c r="D969" s="60"/>
      <c r="E969" s="60"/>
      <c r="F969" s="60"/>
      <c r="G969" s="60"/>
      <c r="H969" s="60"/>
      <c r="I969" s="60"/>
      <c r="J969" s="61"/>
      <c r="K969" s="61"/>
      <c r="L969" s="62"/>
      <c r="M969" s="63"/>
      <c r="N969" s="17"/>
      <c r="O969" s="17"/>
      <c r="P969" s="17"/>
    </row>
    <row r="970" spans="1:16" x14ac:dyDescent="0.25">
      <c r="A970" s="60"/>
      <c r="B970" s="60"/>
      <c r="C970" s="60"/>
      <c r="D970" s="60"/>
      <c r="E970" s="60"/>
      <c r="F970" s="60"/>
      <c r="G970" s="60"/>
      <c r="H970" s="60"/>
      <c r="I970" s="60"/>
      <c r="J970" s="61"/>
      <c r="K970" s="61"/>
      <c r="L970" s="62"/>
      <c r="M970" s="63"/>
      <c r="N970" s="17"/>
      <c r="O970" s="17"/>
      <c r="P970" s="17"/>
    </row>
    <row r="971" spans="1:16" x14ac:dyDescent="0.25">
      <c r="A971" s="60"/>
      <c r="B971" s="60"/>
      <c r="C971" s="60"/>
      <c r="D971" s="60"/>
      <c r="E971" s="60"/>
      <c r="F971" s="60"/>
      <c r="G971" s="60"/>
      <c r="H971" s="60"/>
      <c r="I971" s="60"/>
      <c r="J971" s="61"/>
      <c r="K971" s="61"/>
      <c r="L971" s="62"/>
      <c r="M971" s="64"/>
      <c r="N971" s="17"/>
      <c r="O971" s="17"/>
      <c r="P971" s="17"/>
    </row>
    <row r="972" spans="1:16" x14ac:dyDescent="0.25">
      <c r="A972" s="60"/>
      <c r="B972" s="60"/>
      <c r="C972" s="60"/>
      <c r="D972" s="60"/>
      <c r="E972" s="60"/>
      <c r="F972" s="60"/>
      <c r="G972" s="60"/>
      <c r="H972" s="60"/>
      <c r="I972" s="60"/>
      <c r="J972" s="61"/>
      <c r="K972" s="61"/>
      <c r="L972" s="62"/>
      <c r="M972" s="64"/>
      <c r="N972" s="17"/>
      <c r="O972" s="17"/>
      <c r="P972" s="17"/>
    </row>
    <row r="973" spans="1:16" x14ac:dyDescent="0.25">
      <c r="A973" s="60"/>
      <c r="B973" s="60"/>
      <c r="C973" s="60"/>
      <c r="D973" s="60"/>
      <c r="E973" s="60"/>
      <c r="F973" s="60"/>
      <c r="G973" s="60"/>
      <c r="H973" s="60"/>
      <c r="I973" s="60"/>
      <c r="J973" s="61"/>
      <c r="K973" s="61"/>
      <c r="L973" s="62"/>
      <c r="M973" s="64"/>
      <c r="N973" s="17"/>
      <c r="O973" s="17"/>
      <c r="P973" s="17"/>
    </row>
    <row r="974" spans="1:16" x14ac:dyDescent="0.25">
      <c r="A974" s="60"/>
      <c r="B974" s="60"/>
      <c r="C974" s="60"/>
      <c r="D974" s="60"/>
      <c r="E974" s="60"/>
      <c r="F974" s="60"/>
      <c r="G974" s="60"/>
      <c r="H974" s="60"/>
      <c r="I974" s="60"/>
      <c r="J974" s="61"/>
      <c r="K974" s="61"/>
      <c r="L974" s="65"/>
      <c r="M974" s="64"/>
      <c r="N974" s="17"/>
      <c r="O974" s="17"/>
      <c r="P974" s="17"/>
    </row>
    <row r="975" spans="1:16" x14ac:dyDescent="0.25">
      <c r="A975" s="60"/>
      <c r="B975" s="60"/>
      <c r="C975" s="60"/>
      <c r="D975" s="60"/>
      <c r="E975" s="60"/>
      <c r="F975" s="60"/>
      <c r="G975" s="60"/>
      <c r="H975" s="60"/>
      <c r="I975" s="60"/>
      <c r="J975" s="61"/>
      <c r="K975" s="61"/>
      <c r="L975" s="65"/>
      <c r="M975" s="64"/>
      <c r="N975" s="17"/>
      <c r="O975" s="17"/>
      <c r="P975" s="17"/>
    </row>
    <row r="976" spans="1:16" x14ac:dyDescent="0.25">
      <c r="A976" s="60"/>
      <c r="B976" s="60"/>
      <c r="C976" s="60"/>
      <c r="D976" s="60"/>
      <c r="E976" s="60"/>
      <c r="F976" s="60"/>
      <c r="G976" s="60"/>
      <c r="H976" s="60"/>
      <c r="I976" s="60"/>
      <c r="J976" s="61"/>
      <c r="K976" s="61"/>
      <c r="L976" s="65"/>
      <c r="M976" s="64"/>
      <c r="N976" s="17"/>
      <c r="O976" s="17"/>
      <c r="P976" s="17"/>
    </row>
    <row r="977" spans="1:16" x14ac:dyDescent="0.25">
      <c r="A977" s="60"/>
      <c r="B977" s="60"/>
      <c r="C977" s="60"/>
      <c r="D977" s="60"/>
      <c r="E977" s="60"/>
      <c r="F977" s="60"/>
      <c r="G977" s="60"/>
      <c r="H977" s="60"/>
      <c r="I977" s="60"/>
      <c r="J977" s="61"/>
      <c r="K977" s="61"/>
      <c r="L977" s="65"/>
      <c r="M977" s="64"/>
      <c r="N977" s="17"/>
      <c r="O977" s="17"/>
      <c r="P977" s="17"/>
    </row>
    <row r="978" spans="1:16" x14ac:dyDescent="0.25">
      <c r="A978" s="60"/>
      <c r="B978" s="60"/>
      <c r="C978" s="60"/>
      <c r="D978" s="60"/>
      <c r="E978" s="60"/>
      <c r="F978" s="60"/>
      <c r="G978" s="60"/>
      <c r="H978" s="60"/>
      <c r="I978" s="60"/>
      <c r="J978" s="61"/>
      <c r="K978" s="61"/>
      <c r="L978" s="65"/>
      <c r="M978" s="64"/>
      <c r="N978" s="17"/>
      <c r="O978" s="17"/>
      <c r="P978" s="17"/>
    </row>
    <row r="979" spans="1:16" x14ac:dyDescent="0.25">
      <c r="A979" s="60"/>
      <c r="B979" s="60"/>
      <c r="C979" s="60"/>
      <c r="D979" s="60"/>
      <c r="E979" s="60"/>
      <c r="F979" s="60"/>
      <c r="G979" s="60"/>
      <c r="H979" s="60"/>
      <c r="I979" s="60"/>
      <c r="J979" s="61"/>
      <c r="K979" s="61"/>
      <c r="L979" s="62"/>
      <c r="M979" s="64"/>
      <c r="N979" s="17"/>
      <c r="O979" s="17"/>
      <c r="P979" s="17"/>
    </row>
    <row r="980" spans="1:16" x14ac:dyDescent="0.25">
      <c r="A980" s="60"/>
      <c r="B980" s="60"/>
      <c r="C980" s="60"/>
      <c r="D980" s="60"/>
      <c r="E980" s="60"/>
      <c r="F980" s="60"/>
      <c r="G980" s="60"/>
      <c r="H980" s="60"/>
      <c r="I980" s="60"/>
      <c r="J980" s="61"/>
      <c r="K980" s="61"/>
      <c r="L980" s="65"/>
      <c r="M980" s="64"/>
      <c r="N980" s="17"/>
      <c r="O980" s="17"/>
      <c r="P980" s="17"/>
    </row>
    <row r="981" spans="1:16" x14ac:dyDescent="0.25">
      <c r="A981" s="60"/>
      <c r="B981" s="60"/>
      <c r="C981" s="60"/>
      <c r="D981" s="60"/>
      <c r="E981" s="60"/>
      <c r="F981" s="60"/>
      <c r="G981" s="60"/>
      <c r="H981" s="60"/>
      <c r="I981" s="60"/>
      <c r="J981" s="61"/>
      <c r="K981" s="61"/>
      <c r="L981" s="62"/>
      <c r="M981" s="64"/>
      <c r="N981" s="17"/>
      <c r="O981" s="17"/>
      <c r="P981" s="17"/>
    </row>
    <row r="982" spans="1:16" x14ac:dyDescent="0.25">
      <c r="A982" s="60"/>
      <c r="B982" s="60"/>
      <c r="C982" s="60"/>
      <c r="D982" s="60"/>
      <c r="E982" s="60"/>
      <c r="F982" s="60"/>
      <c r="G982" s="60"/>
      <c r="H982" s="60"/>
      <c r="I982" s="60"/>
      <c r="J982" s="61"/>
      <c r="K982" s="61"/>
      <c r="L982" s="65"/>
      <c r="M982" s="64"/>
      <c r="N982" s="17"/>
      <c r="O982" s="17"/>
      <c r="P982" s="17"/>
    </row>
    <row r="983" spans="1:16" x14ac:dyDescent="0.25">
      <c r="A983" s="60"/>
      <c r="B983" s="60"/>
      <c r="C983" s="60"/>
      <c r="D983" s="60"/>
      <c r="E983" s="60"/>
      <c r="F983" s="60"/>
      <c r="G983" s="60"/>
      <c r="H983" s="60"/>
      <c r="I983" s="60"/>
      <c r="J983" s="61"/>
      <c r="K983" s="61"/>
      <c r="L983" s="65"/>
      <c r="M983" s="64"/>
      <c r="N983" s="17"/>
      <c r="O983" s="17"/>
      <c r="P983" s="17"/>
    </row>
    <row r="984" spans="1:16" x14ac:dyDescent="0.25">
      <c r="A984" s="60"/>
      <c r="B984" s="60"/>
      <c r="C984" s="60"/>
      <c r="D984" s="60"/>
      <c r="E984" s="60"/>
      <c r="F984" s="60"/>
      <c r="G984" s="60"/>
      <c r="H984" s="60"/>
      <c r="I984" s="60"/>
      <c r="J984" s="61"/>
      <c r="K984" s="61"/>
      <c r="L984" s="65"/>
      <c r="M984" s="64"/>
      <c r="N984" s="17"/>
      <c r="O984" s="17"/>
      <c r="P984" s="17"/>
    </row>
    <row r="985" spans="1:16" x14ac:dyDescent="0.25">
      <c r="A985" s="60"/>
      <c r="B985" s="60"/>
      <c r="C985" s="60"/>
      <c r="D985" s="60"/>
      <c r="E985" s="60"/>
      <c r="F985" s="60"/>
      <c r="G985" s="60"/>
      <c r="H985" s="60"/>
      <c r="I985" s="60"/>
      <c r="J985" s="61"/>
      <c r="K985" s="61"/>
      <c r="L985" s="62"/>
      <c r="M985" s="64"/>
      <c r="N985" s="17"/>
      <c r="O985" s="17"/>
      <c r="P985" s="17"/>
    </row>
    <row r="986" spans="1:16" x14ac:dyDescent="0.25">
      <c r="A986" s="60"/>
      <c r="B986" s="60"/>
      <c r="C986" s="60"/>
      <c r="D986" s="60"/>
      <c r="E986" s="60"/>
      <c r="F986" s="60"/>
      <c r="G986" s="60"/>
      <c r="H986" s="60"/>
      <c r="I986" s="60"/>
      <c r="J986" s="61"/>
      <c r="K986" s="61"/>
      <c r="L986" s="62"/>
      <c r="M986" s="64"/>
      <c r="N986" s="17"/>
      <c r="O986" s="17"/>
      <c r="P986" s="17"/>
    </row>
    <row r="987" spans="1:16" x14ac:dyDescent="0.25">
      <c r="A987" s="60"/>
      <c r="B987" s="60"/>
      <c r="C987" s="60"/>
      <c r="D987" s="60"/>
      <c r="E987" s="60"/>
      <c r="F987" s="60"/>
      <c r="G987" s="60"/>
      <c r="H987" s="60"/>
      <c r="I987" s="60"/>
      <c r="J987" s="61"/>
      <c r="K987" s="61"/>
      <c r="L987" s="62"/>
      <c r="M987" s="63"/>
      <c r="N987" s="17"/>
      <c r="O987" s="17"/>
      <c r="P987" s="17"/>
    </row>
    <row r="988" spans="1:16" x14ac:dyDescent="0.25">
      <c r="A988" s="60"/>
      <c r="B988" s="60"/>
      <c r="C988" s="60"/>
      <c r="D988" s="60"/>
      <c r="E988" s="60"/>
      <c r="F988" s="60"/>
      <c r="G988" s="60"/>
      <c r="H988" s="60"/>
      <c r="I988" s="60"/>
      <c r="J988" s="61"/>
      <c r="K988" s="61"/>
      <c r="L988" s="62"/>
      <c r="M988" s="64"/>
      <c r="N988" s="17"/>
      <c r="O988" s="17"/>
      <c r="P988" s="17"/>
    </row>
    <row r="989" spans="1:16" x14ac:dyDescent="0.25">
      <c r="A989" s="60"/>
      <c r="B989" s="60"/>
      <c r="C989" s="60"/>
      <c r="D989" s="60"/>
      <c r="E989" s="60"/>
      <c r="F989" s="60"/>
      <c r="G989" s="60"/>
      <c r="H989" s="60"/>
      <c r="I989" s="60"/>
      <c r="J989" s="61"/>
      <c r="K989" s="61"/>
      <c r="L989" s="65"/>
      <c r="M989" s="64"/>
      <c r="N989" s="17"/>
      <c r="O989" s="17"/>
      <c r="P989" s="17"/>
    </row>
    <row r="990" spans="1:16" x14ac:dyDescent="0.25">
      <c r="A990" s="60"/>
      <c r="B990" s="60"/>
      <c r="C990" s="60"/>
      <c r="D990" s="60"/>
      <c r="E990" s="60"/>
      <c r="F990" s="60"/>
      <c r="G990" s="60"/>
      <c r="H990" s="60"/>
      <c r="I990" s="60"/>
      <c r="J990" s="61"/>
      <c r="K990" s="61"/>
      <c r="L990" s="62"/>
      <c r="M990" s="64"/>
      <c r="N990" s="17"/>
      <c r="O990" s="17"/>
      <c r="P990" s="17"/>
    </row>
    <row r="991" spans="1:16" x14ac:dyDescent="0.25">
      <c r="A991" s="60"/>
      <c r="B991" s="60"/>
      <c r="C991" s="60"/>
      <c r="D991" s="60"/>
      <c r="E991" s="60"/>
      <c r="F991" s="60"/>
      <c r="G991" s="60"/>
      <c r="H991" s="60"/>
      <c r="I991" s="60"/>
      <c r="J991" s="61"/>
      <c r="K991" s="61"/>
      <c r="L991" s="62"/>
      <c r="M991" s="64"/>
      <c r="N991" s="17"/>
      <c r="O991" s="17"/>
      <c r="P991" s="17"/>
    </row>
    <row r="992" spans="1:16" x14ac:dyDescent="0.25">
      <c r="A992" s="60"/>
      <c r="B992" s="60"/>
      <c r="C992" s="60"/>
      <c r="D992" s="60"/>
      <c r="E992" s="60"/>
      <c r="F992" s="60"/>
      <c r="G992" s="60"/>
      <c r="H992" s="60"/>
      <c r="I992" s="60"/>
      <c r="J992" s="61"/>
      <c r="K992" s="61"/>
      <c r="L992" s="62"/>
      <c r="M992" s="64"/>
      <c r="N992" s="17"/>
      <c r="O992" s="17"/>
      <c r="P992" s="17"/>
    </row>
    <row r="993" spans="1:16" x14ac:dyDescent="0.25">
      <c r="A993" s="60"/>
      <c r="B993" s="60"/>
      <c r="C993" s="60"/>
      <c r="D993" s="60"/>
      <c r="E993" s="60"/>
      <c r="F993" s="60"/>
      <c r="G993" s="60"/>
      <c r="H993" s="60"/>
      <c r="I993" s="60"/>
      <c r="J993" s="61"/>
      <c r="K993" s="61"/>
      <c r="L993" s="62"/>
      <c r="M993" s="63"/>
      <c r="N993" s="17"/>
      <c r="O993" s="17"/>
      <c r="P993" s="17"/>
    </row>
    <row r="994" spans="1:16" x14ac:dyDescent="0.25">
      <c r="A994" s="60"/>
      <c r="B994" s="60"/>
      <c r="C994" s="60"/>
      <c r="D994" s="60"/>
      <c r="E994" s="60"/>
      <c r="F994" s="60"/>
      <c r="G994" s="60"/>
      <c r="H994" s="60"/>
      <c r="I994" s="60"/>
      <c r="J994" s="61"/>
      <c r="K994" s="61"/>
      <c r="L994" s="62"/>
      <c r="M994" s="64"/>
      <c r="N994" s="17"/>
      <c r="O994" s="17"/>
      <c r="P994" s="17"/>
    </row>
    <row r="995" spans="1:16" x14ac:dyDescent="0.25">
      <c r="A995" s="60"/>
      <c r="B995" s="60"/>
      <c r="C995" s="60"/>
      <c r="D995" s="60"/>
      <c r="E995" s="60"/>
      <c r="F995" s="60"/>
      <c r="G995" s="60"/>
      <c r="H995" s="60"/>
      <c r="I995" s="60"/>
      <c r="J995" s="61"/>
      <c r="K995" s="61"/>
      <c r="L995" s="62"/>
      <c r="M995" s="64"/>
      <c r="N995" s="17"/>
      <c r="O995" s="17"/>
      <c r="P995" s="17"/>
    </row>
    <row r="996" spans="1:16" x14ac:dyDescent="0.25">
      <c r="A996" s="60"/>
      <c r="B996" s="60"/>
      <c r="C996" s="60"/>
      <c r="D996" s="60"/>
      <c r="E996" s="60"/>
      <c r="F996" s="60"/>
      <c r="G996" s="60"/>
      <c r="H996" s="60"/>
      <c r="I996" s="60"/>
      <c r="J996" s="61"/>
      <c r="K996" s="61"/>
      <c r="L996" s="62"/>
      <c r="M996" s="64"/>
      <c r="N996" s="17"/>
      <c r="O996" s="17"/>
      <c r="P996" s="17"/>
    </row>
    <row r="997" spans="1:16" x14ac:dyDescent="0.25">
      <c r="A997" s="60"/>
      <c r="B997" s="60"/>
      <c r="C997" s="60"/>
      <c r="D997" s="60"/>
      <c r="E997" s="60"/>
      <c r="F997" s="60"/>
      <c r="G997" s="60"/>
      <c r="H997" s="60"/>
      <c r="I997" s="60"/>
      <c r="J997" s="61"/>
      <c r="K997" s="61"/>
      <c r="L997" s="62"/>
      <c r="M997" s="63"/>
      <c r="N997" s="17"/>
      <c r="O997" s="17"/>
      <c r="P997" s="17"/>
    </row>
    <row r="998" spans="1:16" x14ac:dyDescent="0.25">
      <c r="A998" s="60"/>
      <c r="B998" s="60"/>
      <c r="C998" s="60"/>
      <c r="D998" s="60"/>
      <c r="E998" s="60"/>
      <c r="F998" s="60"/>
      <c r="G998" s="60"/>
      <c r="H998" s="60"/>
      <c r="I998" s="60"/>
      <c r="J998" s="61"/>
      <c r="K998" s="61"/>
      <c r="L998" s="62"/>
      <c r="M998" s="64"/>
      <c r="N998" s="17"/>
      <c r="O998" s="17"/>
      <c r="P998" s="17"/>
    </row>
    <row r="999" spans="1:16" x14ac:dyDescent="0.25">
      <c r="A999" s="60"/>
      <c r="B999" s="60"/>
      <c r="C999" s="60"/>
      <c r="D999" s="60"/>
      <c r="E999" s="60"/>
      <c r="F999" s="60"/>
      <c r="G999" s="60"/>
      <c r="H999" s="60"/>
      <c r="I999" s="60"/>
      <c r="J999" s="61"/>
      <c r="K999" s="61"/>
      <c r="L999" s="62"/>
      <c r="M999" s="63"/>
      <c r="N999" s="17"/>
      <c r="O999" s="17"/>
      <c r="P999" s="17"/>
    </row>
    <row r="1000" spans="1:16" x14ac:dyDescent="0.25">
      <c r="A1000" s="60"/>
      <c r="B1000" s="60"/>
      <c r="C1000" s="60"/>
      <c r="D1000" s="60"/>
      <c r="E1000" s="60"/>
      <c r="F1000" s="60"/>
      <c r="G1000" s="60"/>
      <c r="H1000" s="60"/>
      <c r="I1000" s="60"/>
      <c r="J1000" s="61"/>
      <c r="K1000" s="61"/>
      <c r="L1000" s="62"/>
      <c r="M1000" s="63"/>
      <c r="N1000" s="17"/>
      <c r="O1000" s="17"/>
      <c r="P1000" s="17"/>
    </row>
    <row r="1001" spans="1:16" x14ac:dyDescent="0.25">
      <c r="A1001" s="60"/>
      <c r="B1001" s="60"/>
      <c r="C1001" s="60"/>
      <c r="D1001" s="60"/>
      <c r="E1001" s="60"/>
      <c r="F1001" s="60"/>
      <c r="G1001" s="60"/>
      <c r="H1001" s="60"/>
      <c r="I1001" s="60"/>
      <c r="J1001" s="61"/>
      <c r="K1001" s="61"/>
      <c r="L1001" s="62"/>
      <c r="M1001" s="63"/>
      <c r="N1001" s="17"/>
      <c r="O1001" s="17"/>
      <c r="P1001" s="17"/>
    </row>
    <row r="1002" spans="1:16" x14ac:dyDescent="0.25">
      <c r="A1002" s="60"/>
      <c r="B1002" s="60"/>
      <c r="C1002" s="60"/>
      <c r="D1002" s="60"/>
      <c r="E1002" s="60"/>
      <c r="F1002" s="60"/>
      <c r="G1002" s="60"/>
      <c r="H1002" s="60"/>
      <c r="I1002" s="60"/>
      <c r="J1002" s="61"/>
      <c r="K1002" s="61"/>
      <c r="L1002" s="62"/>
      <c r="M1002" s="63"/>
      <c r="N1002" s="17"/>
      <c r="O1002" s="17"/>
      <c r="P1002" s="17"/>
    </row>
    <row r="1003" spans="1:16" x14ac:dyDescent="0.25">
      <c r="A1003" s="60"/>
      <c r="B1003" s="60"/>
      <c r="C1003" s="60"/>
      <c r="D1003" s="60"/>
      <c r="E1003" s="60"/>
      <c r="F1003" s="60"/>
      <c r="G1003" s="60"/>
      <c r="H1003" s="60"/>
      <c r="I1003" s="60"/>
      <c r="J1003" s="61"/>
      <c r="K1003" s="61"/>
      <c r="L1003" s="62"/>
      <c r="M1003" s="63"/>
      <c r="N1003" s="17"/>
      <c r="O1003" s="17"/>
      <c r="P1003" s="17"/>
    </row>
    <row r="1004" spans="1:16" x14ac:dyDescent="0.25">
      <c r="A1004" s="60"/>
      <c r="B1004" s="60"/>
      <c r="C1004" s="60"/>
      <c r="D1004" s="60"/>
      <c r="E1004" s="60"/>
      <c r="F1004" s="60"/>
      <c r="G1004" s="60"/>
      <c r="H1004" s="60"/>
      <c r="I1004" s="60"/>
      <c r="J1004" s="61"/>
      <c r="K1004" s="61"/>
      <c r="L1004" s="62"/>
      <c r="M1004" s="63"/>
      <c r="N1004" s="17"/>
      <c r="O1004" s="17"/>
      <c r="P1004" s="17"/>
    </row>
    <row r="1005" spans="1:16" x14ac:dyDescent="0.25">
      <c r="A1005" s="60"/>
      <c r="B1005" s="60"/>
      <c r="C1005" s="60"/>
      <c r="D1005" s="60"/>
      <c r="E1005" s="60"/>
      <c r="F1005" s="60"/>
      <c r="G1005" s="60"/>
      <c r="H1005" s="60"/>
      <c r="I1005" s="60"/>
      <c r="J1005" s="61"/>
      <c r="K1005" s="61"/>
      <c r="L1005" s="62"/>
      <c r="M1005" s="63"/>
      <c r="N1005" s="17"/>
      <c r="O1005" s="17"/>
      <c r="P1005" s="17"/>
    </row>
    <row r="1006" spans="1:16" x14ac:dyDescent="0.25">
      <c r="A1006" s="60"/>
      <c r="B1006" s="60"/>
      <c r="C1006" s="60"/>
      <c r="D1006" s="60"/>
      <c r="E1006" s="60"/>
      <c r="F1006" s="60"/>
      <c r="G1006" s="60"/>
      <c r="H1006" s="60"/>
      <c r="I1006" s="60"/>
      <c r="J1006" s="61"/>
      <c r="K1006" s="61"/>
      <c r="L1006" s="62"/>
      <c r="M1006" s="64"/>
      <c r="N1006" s="17"/>
      <c r="O1006" s="17"/>
      <c r="P1006" s="17"/>
    </row>
    <row r="1007" spans="1:16" x14ac:dyDescent="0.25">
      <c r="A1007" s="60"/>
      <c r="B1007" s="60"/>
      <c r="C1007" s="60"/>
      <c r="D1007" s="60"/>
      <c r="E1007" s="60"/>
      <c r="F1007" s="60"/>
      <c r="G1007" s="60"/>
      <c r="H1007" s="60"/>
      <c r="I1007" s="60"/>
      <c r="J1007" s="61"/>
      <c r="K1007" s="61"/>
      <c r="L1007" s="62"/>
      <c r="M1007" s="64"/>
      <c r="N1007" s="17"/>
      <c r="O1007" s="17"/>
      <c r="P1007" s="17"/>
    </row>
    <row r="1008" spans="1:16" x14ac:dyDescent="0.25">
      <c r="A1008" s="60"/>
      <c r="B1008" s="60"/>
      <c r="C1008" s="60"/>
      <c r="D1008" s="60"/>
      <c r="E1008" s="60"/>
      <c r="F1008" s="60"/>
      <c r="G1008" s="60"/>
      <c r="H1008" s="60"/>
      <c r="I1008" s="60"/>
      <c r="J1008" s="61"/>
      <c r="K1008" s="61"/>
      <c r="L1008" s="62"/>
      <c r="M1008" s="64"/>
      <c r="N1008" s="17"/>
      <c r="O1008" s="17"/>
      <c r="P1008" s="17"/>
    </row>
    <row r="1009" spans="1:16" x14ac:dyDescent="0.25">
      <c r="A1009" s="60"/>
      <c r="B1009" s="60"/>
      <c r="C1009" s="60"/>
      <c r="D1009" s="60"/>
      <c r="E1009" s="60"/>
      <c r="F1009" s="60"/>
      <c r="G1009" s="60"/>
      <c r="H1009" s="60"/>
      <c r="I1009" s="60"/>
      <c r="J1009" s="61"/>
      <c r="K1009" s="61"/>
      <c r="L1009" s="62"/>
      <c r="M1009" s="64"/>
      <c r="N1009" s="17"/>
      <c r="O1009" s="17"/>
      <c r="P1009" s="17"/>
    </row>
    <row r="1010" spans="1:16" x14ac:dyDescent="0.25">
      <c r="A1010" s="60"/>
      <c r="B1010" s="60"/>
      <c r="C1010" s="60"/>
      <c r="D1010" s="60"/>
      <c r="E1010" s="60"/>
      <c r="F1010" s="60"/>
      <c r="G1010" s="60"/>
      <c r="H1010" s="60"/>
      <c r="I1010" s="60"/>
      <c r="J1010" s="61"/>
      <c r="K1010" s="61"/>
      <c r="L1010" s="65"/>
      <c r="M1010" s="64"/>
      <c r="N1010" s="17"/>
      <c r="O1010" s="17"/>
      <c r="P1010" s="17"/>
    </row>
    <row r="1011" spans="1:16" x14ac:dyDescent="0.25">
      <c r="A1011" s="60"/>
      <c r="B1011" s="60"/>
      <c r="C1011" s="60"/>
      <c r="D1011" s="60"/>
      <c r="E1011" s="60"/>
      <c r="F1011" s="60"/>
      <c r="G1011" s="60"/>
      <c r="H1011" s="60"/>
      <c r="I1011" s="60"/>
      <c r="J1011" s="61"/>
      <c r="K1011" s="61"/>
      <c r="L1011" s="62"/>
      <c r="M1011" s="64"/>
      <c r="N1011" s="17"/>
      <c r="O1011" s="17"/>
      <c r="P1011" s="17"/>
    </row>
    <row r="1012" spans="1:16" x14ac:dyDescent="0.25">
      <c r="A1012" s="60"/>
      <c r="B1012" s="60"/>
      <c r="C1012" s="60"/>
      <c r="D1012" s="60"/>
      <c r="E1012" s="60"/>
      <c r="F1012" s="60"/>
      <c r="G1012" s="60"/>
      <c r="H1012" s="60"/>
      <c r="I1012" s="60"/>
      <c r="J1012" s="61"/>
      <c r="K1012" s="61"/>
      <c r="L1012" s="62"/>
      <c r="M1012" s="63"/>
      <c r="N1012" s="17"/>
      <c r="O1012" s="17"/>
      <c r="P1012" s="17"/>
    </row>
    <row r="1013" spans="1:16" x14ac:dyDescent="0.25">
      <c r="A1013" s="60"/>
      <c r="B1013" s="60"/>
      <c r="C1013" s="60"/>
      <c r="D1013" s="60"/>
      <c r="E1013" s="60"/>
      <c r="F1013" s="60"/>
      <c r="G1013" s="60"/>
      <c r="H1013" s="60"/>
      <c r="I1013" s="60"/>
      <c r="J1013" s="61"/>
      <c r="K1013" s="61"/>
      <c r="L1013" s="62"/>
      <c r="M1013" s="63"/>
      <c r="N1013" s="17"/>
      <c r="O1013" s="17"/>
      <c r="P1013" s="17"/>
    </row>
    <row r="1014" spans="1:16" x14ac:dyDescent="0.25">
      <c r="A1014" s="60"/>
      <c r="B1014" s="60"/>
      <c r="C1014" s="60"/>
      <c r="D1014" s="60"/>
      <c r="E1014" s="60"/>
      <c r="F1014" s="60"/>
      <c r="G1014" s="60"/>
      <c r="H1014" s="60"/>
      <c r="I1014" s="60"/>
      <c r="J1014" s="61"/>
      <c r="K1014" s="61"/>
      <c r="L1014" s="62"/>
      <c r="M1014" s="64"/>
      <c r="N1014" s="17"/>
      <c r="O1014" s="17"/>
      <c r="P1014" s="17"/>
    </row>
    <row r="1015" spans="1:16" x14ac:dyDescent="0.25">
      <c r="A1015" s="60"/>
      <c r="B1015" s="60"/>
      <c r="C1015" s="60"/>
      <c r="D1015" s="60"/>
      <c r="E1015" s="60"/>
      <c r="F1015" s="60"/>
      <c r="G1015" s="60"/>
      <c r="H1015" s="60"/>
      <c r="I1015" s="60"/>
      <c r="J1015" s="61"/>
      <c r="K1015" s="61"/>
      <c r="L1015" s="62"/>
      <c r="M1015" s="64"/>
      <c r="N1015" s="17"/>
      <c r="O1015" s="17"/>
      <c r="P1015" s="17"/>
    </row>
    <row r="1016" spans="1:16" x14ac:dyDescent="0.25">
      <c r="A1016" s="60"/>
      <c r="B1016" s="60"/>
      <c r="C1016" s="60"/>
      <c r="D1016" s="60"/>
      <c r="E1016" s="60"/>
      <c r="F1016" s="60"/>
      <c r="G1016" s="60"/>
      <c r="H1016" s="60"/>
      <c r="I1016" s="60"/>
      <c r="J1016" s="61"/>
      <c r="K1016" s="61"/>
      <c r="L1016" s="62"/>
      <c r="M1016" s="63"/>
      <c r="N1016" s="17"/>
      <c r="O1016" s="17"/>
      <c r="P1016" s="17"/>
    </row>
    <row r="1017" spans="1:16" x14ac:dyDescent="0.25">
      <c r="A1017" s="60"/>
      <c r="B1017" s="60"/>
      <c r="C1017" s="60"/>
      <c r="D1017" s="60"/>
      <c r="E1017" s="60"/>
      <c r="F1017" s="60"/>
      <c r="G1017" s="60"/>
      <c r="H1017" s="60"/>
      <c r="I1017" s="60"/>
      <c r="J1017" s="61"/>
      <c r="K1017" s="61"/>
      <c r="L1017" s="62"/>
      <c r="M1017" s="64"/>
      <c r="N1017" s="17"/>
      <c r="O1017" s="17"/>
      <c r="P1017" s="17"/>
    </row>
    <row r="1018" spans="1:16" x14ac:dyDescent="0.25">
      <c r="A1018" s="60"/>
      <c r="B1018" s="60"/>
      <c r="C1018" s="60"/>
      <c r="D1018" s="60"/>
      <c r="E1018" s="60"/>
      <c r="F1018" s="60"/>
      <c r="G1018" s="60"/>
      <c r="H1018" s="60"/>
      <c r="I1018" s="60"/>
      <c r="J1018" s="61"/>
      <c r="K1018" s="61"/>
      <c r="L1018" s="62"/>
      <c r="M1018" s="64"/>
      <c r="N1018" s="17"/>
      <c r="O1018" s="17"/>
      <c r="P1018" s="17"/>
    </row>
    <row r="1019" spans="1:16" x14ac:dyDescent="0.25">
      <c r="A1019" s="60"/>
      <c r="B1019" s="60"/>
      <c r="C1019" s="60"/>
      <c r="D1019" s="60"/>
      <c r="E1019" s="60"/>
      <c r="F1019" s="60"/>
      <c r="G1019" s="60"/>
      <c r="H1019" s="60"/>
      <c r="I1019" s="60"/>
      <c r="J1019" s="61"/>
      <c r="K1019" s="61"/>
      <c r="L1019" s="65"/>
      <c r="M1019" s="64"/>
      <c r="N1019" s="17"/>
      <c r="O1019" s="17"/>
      <c r="P1019" s="17"/>
    </row>
    <row r="1020" spans="1:16" x14ac:dyDescent="0.25">
      <c r="A1020" s="60"/>
      <c r="B1020" s="60"/>
      <c r="C1020" s="60"/>
      <c r="D1020" s="60"/>
      <c r="E1020" s="60"/>
      <c r="F1020" s="60"/>
      <c r="G1020" s="60"/>
      <c r="H1020" s="60"/>
      <c r="I1020" s="60"/>
      <c r="J1020" s="61"/>
      <c r="K1020" s="61"/>
      <c r="L1020" s="62"/>
      <c r="M1020" s="63"/>
      <c r="N1020" s="17"/>
      <c r="O1020" s="17"/>
      <c r="P1020" s="17"/>
    </row>
    <row r="1021" spans="1:16" x14ac:dyDescent="0.25">
      <c r="A1021" s="60"/>
      <c r="B1021" s="60"/>
      <c r="C1021" s="60"/>
      <c r="D1021" s="60"/>
      <c r="E1021" s="60"/>
      <c r="F1021" s="60"/>
      <c r="G1021" s="60"/>
      <c r="H1021" s="60"/>
      <c r="I1021" s="60"/>
      <c r="J1021" s="61"/>
      <c r="K1021" s="61"/>
      <c r="L1021" s="62"/>
      <c r="M1021" s="63"/>
      <c r="N1021" s="17"/>
      <c r="O1021" s="17"/>
      <c r="P1021" s="17"/>
    </row>
    <row r="1022" spans="1:16" x14ac:dyDescent="0.25">
      <c r="A1022" s="60"/>
      <c r="B1022" s="60"/>
      <c r="C1022" s="60"/>
      <c r="D1022" s="60"/>
      <c r="E1022" s="60"/>
      <c r="F1022" s="60"/>
      <c r="G1022" s="60"/>
      <c r="H1022" s="60"/>
      <c r="I1022" s="60"/>
      <c r="J1022" s="61"/>
      <c r="K1022" s="61"/>
      <c r="L1022" s="62"/>
      <c r="M1022" s="64"/>
      <c r="N1022" s="17"/>
      <c r="O1022" s="17"/>
      <c r="P1022" s="17"/>
    </row>
    <row r="1023" spans="1:16" x14ac:dyDescent="0.25">
      <c r="A1023" s="60"/>
      <c r="B1023" s="60"/>
      <c r="C1023" s="60"/>
      <c r="D1023" s="60"/>
      <c r="E1023" s="60"/>
      <c r="F1023" s="60"/>
      <c r="G1023" s="60"/>
      <c r="H1023" s="60"/>
      <c r="I1023" s="60"/>
      <c r="J1023" s="61"/>
      <c r="K1023" s="61"/>
      <c r="L1023" s="62"/>
      <c r="M1023" s="64"/>
      <c r="N1023" s="17"/>
      <c r="O1023" s="17"/>
      <c r="P1023" s="17"/>
    </row>
    <row r="1024" spans="1:16" x14ac:dyDescent="0.25">
      <c r="A1024" s="60"/>
      <c r="B1024" s="60"/>
      <c r="C1024" s="60"/>
      <c r="D1024" s="60"/>
      <c r="E1024" s="60"/>
      <c r="F1024" s="60"/>
      <c r="G1024" s="60"/>
      <c r="H1024" s="60"/>
      <c r="I1024" s="60"/>
      <c r="J1024" s="61"/>
      <c r="K1024" s="61"/>
      <c r="L1024" s="62"/>
      <c r="M1024" s="64"/>
      <c r="N1024" s="17"/>
      <c r="O1024" s="17"/>
      <c r="P1024" s="17"/>
    </row>
    <row r="1025" spans="1:16" x14ac:dyDescent="0.25">
      <c r="A1025" s="60"/>
      <c r="B1025" s="60"/>
      <c r="C1025" s="60"/>
      <c r="D1025" s="60"/>
      <c r="E1025" s="60"/>
      <c r="F1025" s="60"/>
      <c r="G1025" s="60"/>
      <c r="H1025" s="60"/>
      <c r="I1025" s="60"/>
      <c r="J1025" s="61"/>
      <c r="K1025" s="61"/>
      <c r="L1025" s="65"/>
      <c r="M1025" s="64"/>
      <c r="N1025" s="17"/>
      <c r="O1025" s="17"/>
      <c r="P1025" s="17"/>
    </row>
    <row r="1026" spans="1:16" x14ac:dyDescent="0.25">
      <c r="A1026" s="60"/>
      <c r="B1026" s="60"/>
      <c r="C1026" s="60"/>
      <c r="D1026" s="60"/>
      <c r="E1026" s="60"/>
      <c r="F1026" s="60"/>
      <c r="G1026" s="60"/>
      <c r="H1026" s="60"/>
      <c r="I1026" s="60"/>
      <c r="J1026" s="61"/>
      <c r="K1026" s="61"/>
      <c r="L1026" s="62"/>
      <c r="M1026" s="64"/>
      <c r="N1026" s="17"/>
      <c r="O1026" s="17"/>
      <c r="P1026" s="17"/>
    </row>
    <row r="1027" spans="1:16" x14ac:dyDescent="0.25">
      <c r="A1027" s="60"/>
      <c r="B1027" s="60"/>
      <c r="C1027" s="60"/>
      <c r="D1027" s="60"/>
      <c r="E1027" s="60"/>
      <c r="F1027" s="60"/>
      <c r="G1027" s="60"/>
      <c r="H1027" s="60"/>
      <c r="I1027" s="60"/>
      <c r="J1027" s="61"/>
      <c r="K1027" s="61"/>
      <c r="L1027" s="62"/>
      <c r="M1027" s="64"/>
      <c r="N1027" s="17"/>
      <c r="O1027" s="17"/>
      <c r="P1027" s="17"/>
    </row>
    <row r="1028" spans="1:16" x14ac:dyDescent="0.25">
      <c r="A1028" s="60"/>
      <c r="B1028" s="60"/>
      <c r="C1028" s="60"/>
      <c r="D1028" s="60"/>
      <c r="E1028" s="60"/>
      <c r="F1028" s="60"/>
      <c r="G1028" s="60"/>
      <c r="H1028" s="60"/>
      <c r="I1028" s="60"/>
      <c r="J1028" s="61"/>
      <c r="K1028" s="61"/>
      <c r="L1028" s="62"/>
      <c r="M1028" s="63"/>
      <c r="N1028" s="17"/>
      <c r="O1028" s="17"/>
      <c r="P1028" s="17"/>
    </row>
    <row r="1029" spans="1:16" x14ac:dyDescent="0.25">
      <c r="A1029" s="60"/>
      <c r="B1029" s="60"/>
      <c r="C1029" s="60"/>
      <c r="D1029" s="60"/>
      <c r="E1029" s="60"/>
      <c r="F1029" s="60"/>
      <c r="G1029" s="60"/>
      <c r="H1029" s="60"/>
      <c r="I1029" s="60"/>
      <c r="J1029" s="61"/>
      <c r="K1029" s="61"/>
      <c r="L1029" s="62"/>
      <c r="M1029" s="64"/>
      <c r="N1029" s="17"/>
      <c r="O1029" s="17"/>
      <c r="P1029" s="17"/>
    </row>
    <row r="1030" spans="1:16" x14ac:dyDescent="0.25">
      <c r="A1030" s="60"/>
      <c r="B1030" s="60"/>
      <c r="C1030" s="60"/>
      <c r="D1030" s="60"/>
      <c r="E1030" s="60"/>
      <c r="F1030" s="60"/>
      <c r="G1030" s="60"/>
      <c r="H1030" s="60"/>
      <c r="I1030" s="60"/>
      <c r="J1030" s="61"/>
      <c r="K1030" s="61"/>
      <c r="L1030" s="62"/>
      <c r="M1030" s="63"/>
      <c r="N1030" s="17"/>
      <c r="O1030" s="17"/>
      <c r="P1030" s="17"/>
    </row>
    <row r="1031" spans="1:16" x14ac:dyDescent="0.25">
      <c r="A1031" s="60"/>
      <c r="B1031" s="60"/>
      <c r="C1031" s="60"/>
      <c r="D1031" s="60"/>
      <c r="E1031" s="60"/>
      <c r="F1031" s="60"/>
      <c r="G1031" s="60"/>
      <c r="H1031" s="60"/>
      <c r="I1031" s="60"/>
      <c r="J1031" s="61"/>
      <c r="K1031" s="61"/>
      <c r="L1031" s="65"/>
      <c r="M1031" s="64"/>
      <c r="N1031" s="17"/>
      <c r="O1031" s="17"/>
      <c r="P1031" s="17"/>
    </row>
    <row r="1032" spans="1:16" x14ac:dyDescent="0.25">
      <c r="A1032" s="60"/>
      <c r="B1032" s="60"/>
      <c r="C1032" s="60"/>
      <c r="D1032" s="60"/>
      <c r="E1032" s="60"/>
      <c r="F1032" s="60"/>
      <c r="G1032" s="60"/>
      <c r="H1032" s="60"/>
      <c r="I1032" s="60"/>
      <c r="J1032" s="61"/>
      <c r="K1032" s="61"/>
      <c r="L1032" s="65"/>
      <c r="M1032" s="64"/>
      <c r="N1032" s="17"/>
      <c r="O1032" s="17"/>
      <c r="P1032" s="17"/>
    </row>
    <row r="1033" spans="1:16" x14ac:dyDescent="0.25">
      <c r="A1033" s="60"/>
      <c r="B1033" s="60"/>
      <c r="C1033" s="60"/>
      <c r="D1033" s="60"/>
      <c r="E1033" s="60"/>
      <c r="F1033" s="60"/>
      <c r="G1033" s="60"/>
      <c r="H1033" s="60"/>
      <c r="I1033" s="60"/>
      <c r="J1033" s="61"/>
      <c r="K1033" s="61"/>
      <c r="L1033" s="65"/>
      <c r="M1033" s="64"/>
      <c r="N1033" s="17"/>
      <c r="O1033" s="17"/>
      <c r="P1033" s="17"/>
    </row>
    <row r="1034" spans="1:16" x14ac:dyDescent="0.25">
      <c r="A1034" s="60"/>
      <c r="B1034" s="60"/>
      <c r="C1034" s="60"/>
      <c r="D1034" s="60"/>
      <c r="E1034" s="60"/>
      <c r="F1034" s="60"/>
      <c r="G1034" s="60"/>
      <c r="H1034" s="60"/>
      <c r="I1034" s="60"/>
      <c r="J1034" s="61"/>
      <c r="K1034" s="61"/>
      <c r="L1034" s="65"/>
      <c r="M1034" s="64"/>
      <c r="N1034" s="17"/>
      <c r="O1034" s="17"/>
      <c r="P1034" s="17"/>
    </row>
    <row r="1035" spans="1:16" x14ac:dyDescent="0.25">
      <c r="A1035" s="60"/>
      <c r="B1035" s="60"/>
      <c r="C1035" s="60"/>
      <c r="D1035" s="60"/>
      <c r="E1035" s="60"/>
      <c r="F1035" s="60"/>
      <c r="G1035" s="60"/>
      <c r="H1035" s="60"/>
      <c r="I1035" s="60"/>
      <c r="J1035" s="61"/>
      <c r="K1035" s="61"/>
      <c r="L1035" s="65"/>
      <c r="M1035" s="64"/>
      <c r="N1035" s="17"/>
      <c r="O1035" s="17"/>
      <c r="P1035" s="17"/>
    </row>
    <row r="1036" spans="1:16" x14ac:dyDescent="0.25">
      <c r="A1036" s="60"/>
      <c r="B1036" s="60"/>
      <c r="C1036" s="60"/>
      <c r="D1036" s="60"/>
      <c r="E1036" s="60"/>
      <c r="F1036" s="60"/>
      <c r="G1036" s="60"/>
      <c r="H1036" s="60"/>
      <c r="I1036" s="60"/>
      <c r="J1036" s="61"/>
      <c r="K1036" s="61"/>
      <c r="L1036" s="65"/>
      <c r="M1036" s="64"/>
      <c r="N1036" s="17"/>
      <c r="O1036" s="17"/>
      <c r="P1036" s="17"/>
    </row>
    <row r="1037" spans="1:16" x14ac:dyDescent="0.25">
      <c r="A1037" s="60"/>
      <c r="B1037" s="60"/>
      <c r="C1037" s="60"/>
      <c r="D1037" s="60"/>
      <c r="E1037" s="60"/>
      <c r="F1037" s="60"/>
      <c r="G1037" s="60"/>
      <c r="H1037" s="60"/>
      <c r="I1037" s="60"/>
      <c r="J1037" s="61"/>
      <c r="K1037" s="61"/>
      <c r="L1037" s="65"/>
      <c r="M1037" s="64"/>
      <c r="N1037" s="17"/>
      <c r="O1037" s="17"/>
      <c r="P1037" s="17"/>
    </row>
    <row r="1038" spans="1:16" x14ac:dyDescent="0.25">
      <c r="A1038" s="60"/>
      <c r="B1038" s="60"/>
      <c r="C1038" s="60"/>
      <c r="D1038" s="60"/>
      <c r="E1038" s="60"/>
      <c r="F1038" s="60"/>
      <c r="G1038" s="60"/>
      <c r="H1038" s="60"/>
      <c r="I1038" s="60"/>
      <c r="J1038" s="61"/>
      <c r="K1038" s="61"/>
      <c r="L1038" s="65"/>
      <c r="M1038" s="64"/>
      <c r="N1038" s="17"/>
      <c r="O1038" s="17"/>
      <c r="P1038" s="17"/>
    </row>
    <row r="1039" spans="1:16" x14ac:dyDescent="0.25">
      <c r="A1039" s="60"/>
      <c r="B1039" s="60"/>
      <c r="C1039" s="60"/>
      <c r="D1039" s="60"/>
      <c r="E1039" s="60"/>
      <c r="F1039" s="60"/>
      <c r="G1039" s="60"/>
      <c r="H1039" s="60"/>
      <c r="I1039" s="60"/>
      <c r="J1039" s="61"/>
      <c r="K1039" s="61"/>
      <c r="L1039" s="65"/>
      <c r="M1039" s="64"/>
      <c r="N1039" s="17"/>
      <c r="O1039" s="17"/>
      <c r="P1039" s="17"/>
    </row>
    <row r="1040" spans="1:16" x14ac:dyDescent="0.25">
      <c r="A1040" s="60"/>
      <c r="B1040" s="60"/>
      <c r="C1040" s="60"/>
      <c r="D1040" s="60"/>
      <c r="E1040" s="60"/>
      <c r="F1040" s="60"/>
      <c r="G1040" s="60"/>
      <c r="H1040" s="60"/>
      <c r="I1040" s="60"/>
      <c r="J1040" s="61"/>
      <c r="K1040" s="61"/>
      <c r="L1040" s="62"/>
      <c r="M1040" s="64"/>
      <c r="N1040" s="17"/>
      <c r="O1040" s="17"/>
      <c r="P1040" s="17"/>
    </row>
    <row r="1041" spans="1:16" x14ac:dyDescent="0.25">
      <c r="A1041" s="60"/>
      <c r="B1041" s="60"/>
      <c r="C1041" s="60"/>
      <c r="D1041" s="60"/>
      <c r="E1041" s="60"/>
      <c r="F1041" s="60"/>
      <c r="G1041" s="60"/>
      <c r="H1041" s="60"/>
      <c r="I1041" s="60"/>
      <c r="J1041" s="61"/>
      <c r="K1041" s="61"/>
      <c r="L1041" s="62"/>
      <c r="M1041" s="64"/>
      <c r="N1041" s="17"/>
      <c r="O1041" s="17"/>
      <c r="P1041" s="17"/>
    </row>
    <row r="1042" spans="1:16" x14ac:dyDescent="0.25">
      <c r="A1042" s="60"/>
      <c r="B1042" s="60"/>
      <c r="C1042" s="60"/>
      <c r="D1042" s="60"/>
      <c r="E1042" s="60"/>
      <c r="F1042" s="60"/>
      <c r="G1042" s="60"/>
      <c r="H1042" s="60"/>
      <c r="I1042" s="60"/>
      <c r="J1042" s="61"/>
      <c r="K1042" s="61"/>
      <c r="L1042" s="62"/>
      <c r="M1042" s="64"/>
      <c r="N1042" s="17"/>
      <c r="O1042" s="17"/>
      <c r="P1042" s="17"/>
    </row>
    <row r="1043" spans="1:16" x14ac:dyDescent="0.25">
      <c r="A1043" s="60"/>
      <c r="B1043" s="60"/>
      <c r="C1043" s="60"/>
      <c r="D1043" s="60"/>
      <c r="E1043" s="60"/>
      <c r="F1043" s="60"/>
      <c r="G1043" s="60"/>
      <c r="H1043" s="60"/>
      <c r="I1043" s="60"/>
      <c r="J1043" s="61"/>
      <c r="K1043" s="61"/>
      <c r="L1043" s="62"/>
      <c r="M1043" s="63"/>
      <c r="N1043" s="17"/>
      <c r="O1043" s="17"/>
      <c r="P1043" s="17"/>
    </row>
    <row r="1044" spans="1:16" x14ac:dyDescent="0.25">
      <c r="A1044" s="60"/>
      <c r="B1044" s="60"/>
      <c r="C1044" s="60"/>
      <c r="D1044" s="60"/>
      <c r="E1044" s="60"/>
      <c r="F1044" s="60"/>
      <c r="G1044" s="60"/>
      <c r="H1044" s="60"/>
      <c r="I1044" s="60"/>
      <c r="J1044" s="61"/>
      <c r="K1044" s="61"/>
      <c r="L1044" s="65"/>
      <c r="M1044" s="64"/>
      <c r="N1044" s="17"/>
      <c r="O1044" s="17"/>
      <c r="P1044" s="17"/>
    </row>
    <row r="1045" spans="1:16" x14ac:dyDescent="0.25">
      <c r="A1045" s="60"/>
      <c r="B1045" s="60"/>
      <c r="C1045" s="60"/>
      <c r="D1045" s="60"/>
      <c r="E1045" s="60"/>
      <c r="F1045" s="60"/>
      <c r="G1045" s="60"/>
      <c r="H1045" s="60"/>
      <c r="I1045" s="60"/>
      <c r="J1045" s="61"/>
      <c r="K1045" s="61"/>
      <c r="L1045" s="62"/>
      <c r="M1045" s="64"/>
      <c r="N1045" s="17"/>
      <c r="O1045" s="17"/>
      <c r="P1045" s="17"/>
    </row>
    <row r="1046" spans="1:16" x14ac:dyDescent="0.25">
      <c r="A1046" s="60"/>
      <c r="B1046" s="60"/>
      <c r="C1046" s="60"/>
      <c r="D1046" s="60"/>
      <c r="E1046" s="60"/>
      <c r="F1046" s="60"/>
      <c r="G1046" s="60"/>
      <c r="H1046" s="60"/>
      <c r="I1046" s="60"/>
      <c r="J1046" s="61"/>
      <c r="K1046" s="61"/>
      <c r="L1046" s="62"/>
      <c r="M1046" s="64"/>
      <c r="N1046" s="17"/>
      <c r="O1046" s="17"/>
      <c r="P1046" s="17"/>
    </row>
    <row r="1047" spans="1:16" x14ac:dyDescent="0.25">
      <c r="A1047" s="60"/>
      <c r="B1047" s="60"/>
      <c r="C1047" s="60"/>
      <c r="D1047" s="60"/>
      <c r="E1047" s="60"/>
      <c r="F1047" s="60"/>
      <c r="G1047" s="60"/>
      <c r="H1047" s="60"/>
      <c r="I1047" s="60"/>
      <c r="J1047" s="61"/>
      <c r="K1047" s="61"/>
      <c r="L1047" s="62"/>
      <c r="M1047" s="64"/>
      <c r="N1047" s="17"/>
      <c r="O1047" s="17"/>
      <c r="P1047" s="17"/>
    </row>
    <row r="1048" spans="1:16" x14ac:dyDescent="0.25">
      <c r="A1048" s="60"/>
      <c r="B1048" s="60"/>
      <c r="C1048" s="60"/>
      <c r="D1048" s="60"/>
      <c r="E1048" s="60"/>
      <c r="F1048" s="60"/>
      <c r="G1048" s="60"/>
      <c r="H1048" s="60"/>
      <c r="I1048" s="60"/>
      <c r="J1048" s="61"/>
      <c r="K1048" s="61"/>
      <c r="L1048" s="62"/>
      <c r="M1048" s="64"/>
      <c r="N1048" s="17"/>
      <c r="O1048" s="17"/>
      <c r="P1048" s="17"/>
    </row>
    <row r="1049" spans="1:16" x14ac:dyDescent="0.25">
      <c r="A1049" s="60"/>
      <c r="B1049" s="60"/>
      <c r="C1049" s="60"/>
      <c r="D1049" s="60"/>
      <c r="E1049" s="60"/>
      <c r="F1049" s="60"/>
      <c r="G1049" s="60"/>
      <c r="H1049" s="60"/>
      <c r="I1049" s="60"/>
      <c r="J1049" s="61"/>
      <c r="K1049" s="61"/>
      <c r="L1049" s="62"/>
      <c r="M1049" s="64"/>
      <c r="N1049" s="17"/>
      <c r="O1049" s="17"/>
      <c r="P1049" s="17"/>
    </row>
    <row r="1050" spans="1:16" x14ac:dyDescent="0.25">
      <c r="A1050" s="60"/>
      <c r="B1050" s="60"/>
      <c r="C1050" s="60"/>
      <c r="D1050" s="60"/>
      <c r="E1050" s="60"/>
      <c r="F1050" s="60"/>
      <c r="G1050" s="60"/>
      <c r="H1050" s="60"/>
      <c r="I1050" s="60"/>
      <c r="J1050" s="61"/>
      <c r="K1050" s="61"/>
      <c r="L1050" s="62"/>
      <c r="M1050" s="64"/>
      <c r="N1050" s="17"/>
      <c r="O1050" s="17"/>
      <c r="P1050" s="17"/>
    </row>
    <row r="1051" spans="1:16" x14ac:dyDescent="0.25">
      <c r="A1051" s="60"/>
      <c r="B1051" s="60"/>
      <c r="C1051" s="60"/>
      <c r="D1051" s="60"/>
      <c r="E1051" s="60"/>
      <c r="F1051" s="60"/>
      <c r="G1051" s="60"/>
      <c r="H1051" s="60"/>
      <c r="I1051" s="60"/>
      <c r="J1051" s="61"/>
      <c r="K1051" s="61"/>
      <c r="L1051" s="62"/>
      <c r="M1051" s="64"/>
      <c r="N1051" s="17"/>
      <c r="O1051" s="17"/>
      <c r="P1051" s="17"/>
    </row>
    <row r="1052" spans="1:16" x14ac:dyDescent="0.25">
      <c r="A1052" s="60"/>
      <c r="B1052" s="60"/>
      <c r="C1052" s="60"/>
      <c r="D1052" s="60"/>
      <c r="E1052" s="60"/>
      <c r="F1052" s="60"/>
      <c r="G1052" s="60"/>
      <c r="H1052" s="60"/>
      <c r="I1052" s="60"/>
      <c r="J1052" s="61"/>
      <c r="K1052" s="61"/>
      <c r="L1052" s="62"/>
      <c r="M1052" s="63"/>
      <c r="N1052" s="17"/>
      <c r="O1052" s="17"/>
      <c r="P1052" s="17"/>
    </row>
    <row r="1053" spans="1:16" x14ac:dyDescent="0.25">
      <c r="A1053" s="60"/>
      <c r="B1053" s="60"/>
      <c r="C1053" s="60"/>
      <c r="D1053" s="60"/>
      <c r="E1053" s="60"/>
      <c r="F1053" s="60"/>
      <c r="G1053" s="60"/>
      <c r="H1053" s="60"/>
      <c r="I1053" s="60"/>
      <c r="J1053" s="61"/>
      <c r="K1053" s="61"/>
      <c r="L1053" s="62"/>
      <c r="M1053" s="64"/>
      <c r="N1053" s="17"/>
      <c r="O1053" s="17"/>
      <c r="P1053" s="17"/>
    </row>
    <row r="1054" spans="1:16" x14ac:dyDescent="0.25">
      <c r="A1054" s="60"/>
      <c r="B1054" s="60"/>
      <c r="C1054" s="60"/>
      <c r="D1054" s="60"/>
      <c r="E1054" s="60"/>
      <c r="F1054" s="60"/>
      <c r="G1054" s="60"/>
      <c r="H1054" s="60"/>
      <c r="I1054" s="60"/>
      <c r="J1054" s="61"/>
      <c r="K1054" s="61"/>
      <c r="L1054" s="62"/>
      <c r="M1054" s="64"/>
      <c r="N1054" s="17"/>
      <c r="O1054" s="17"/>
      <c r="P1054" s="17"/>
    </row>
    <row r="1055" spans="1:16" x14ac:dyDescent="0.25">
      <c r="A1055" s="60"/>
      <c r="B1055" s="60"/>
      <c r="C1055" s="60"/>
      <c r="D1055" s="60"/>
      <c r="E1055" s="60"/>
      <c r="F1055" s="60"/>
      <c r="G1055" s="60"/>
      <c r="H1055" s="60"/>
      <c r="I1055" s="60"/>
      <c r="J1055" s="61"/>
      <c r="K1055" s="61"/>
      <c r="L1055" s="65"/>
      <c r="M1055" s="64"/>
      <c r="N1055" s="17"/>
      <c r="O1055" s="17"/>
      <c r="P1055" s="17"/>
    </row>
    <row r="1056" spans="1:16" x14ac:dyDescent="0.25">
      <c r="A1056" s="60"/>
      <c r="B1056" s="60"/>
      <c r="C1056" s="60"/>
      <c r="D1056" s="60"/>
      <c r="E1056" s="60"/>
      <c r="F1056" s="60"/>
      <c r="G1056" s="60"/>
      <c r="H1056" s="60"/>
      <c r="I1056" s="60"/>
      <c r="J1056" s="61"/>
      <c r="K1056" s="61"/>
      <c r="L1056" s="62"/>
      <c r="M1056" s="64"/>
      <c r="N1056" s="17"/>
      <c r="O1056" s="17"/>
      <c r="P1056" s="17"/>
    </row>
    <row r="1057" spans="1:16" x14ac:dyDescent="0.25">
      <c r="A1057" s="60"/>
      <c r="B1057" s="60"/>
      <c r="C1057" s="60"/>
      <c r="D1057" s="60"/>
      <c r="E1057" s="60"/>
      <c r="F1057" s="60"/>
      <c r="G1057" s="60"/>
      <c r="H1057" s="60"/>
      <c r="I1057" s="60"/>
      <c r="J1057" s="61"/>
      <c r="K1057" s="61"/>
      <c r="L1057" s="62"/>
      <c r="M1057" s="64"/>
      <c r="N1057" s="17"/>
      <c r="O1057" s="17"/>
      <c r="P1057" s="17"/>
    </row>
    <row r="1058" spans="1:16" x14ac:dyDescent="0.25">
      <c r="A1058" s="60"/>
      <c r="B1058" s="60"/>
      <c r="C1058" s="60"/>
      <c r="D1058" s="60"/>
      <c r="E1058" s="60"/>
      <c r="F1058" s="60"/>
      <c r="G1058" s="60"/>
      <c r="H1058" s="60"/>
      <c r="I1058" s="60"/>
      <c r="J1058" s="61"/>
      <c r="K1058" s="61"/>
      <c r="L1058" s="62"/>
      <c r="M1058" s="64"/>
      <c r="N1058" s="17"/>
      <c r="O1058" s="17"/>
      <c r="P1058" s="17"/>
    </row>
    <row r="1059" spans="1:16" x14ac:dyDescent="0.25">
      <c r="A1059" s="60"/>
      <c r="B1059" s="60"/>
      <c r="C1059" s="60"/>
      <c r="D1059" s="60"/>
      <c r="E1059" s="60"/>
      <c r="F1059" s="60"/>
      <c r="G1059" s="60"/>
      <c r="H1059" s="60"/>
      <c r="I1059" s="60"/>
      <c r="J1059" s="61"/>
      <c r="K1059" s="61"/>
      <c r="L1059" s="62"/>
      <c r="M1059" s="63"/>
      <c r="N1059" s="17"/>
      <c r="O1059" s="17"/>
      <c r="P1059" s="17"/>
    </row>
    <row r="1060" spans="1:16" x14ac:dyDescent="0.25">
      <c r="A1060" s="60"/>
      <c r="B1060" s="60"/>
      <c r="C1060" s="60"/>
      <c r="D1060" s="60"/>
      <c r="E1060" s="60"/>
      <c r="F1060" s="60"/>
      <c r="G1060" s="60"/>
      <c r="H1060" s="60"/>
      <c r="I1060" s="60"/>
      <c r="J1060" s="61"/>
      <c r="K1060" s="61"/>
      <c r="L1060" s="62"/>
      <c r="M1060" s="64"/>
      <c r="N1060" s="17"/>
      <c r="O1060" s="17"/>
      <c r="P1060" s="17"/>
    </row>
    <row r="1061" spans="1:16" x14ac:dyDescent="0.25">
      <c r="A1061" s="60"/>
      <c r="B1061" s="60"/>
      <c r="C1061" s="60"/>
      <c r="D1061" s="60"/>
      <c r="E1061" s="60"/>
      <c r="F1061" s="60"/>
      <c r="G1061" s="60"/>
      <c r="H1061" s="60"/>
      <c r="I1061" s="60"/>
      <c r="J1061" s="61"/>
      <c r="K1061" s="61"/>
      <c r="L1061" s="65"/>
      <c r="M1061" s="64"/>
      <c r="N1061" s="17"/>
      <c r="O1061" s="17"/>
      <c r="P1061" s="17"/>
    </row>
    <row r="1062" spans="1:16" x14ac:dyDescent="0.25">
      <c r="A1062" s="60"/>
      <c r="B1062" s="60"/>
      <c r="C1062" s="60"/>
      <c r="D1062" s="60"/>
      <c r="E1062" s="60"/>
      <c r="F1062" s="60"/>
      <c r="G1062" s="60"/>
      <c r="H1062" s="60"/>
      <c r="I1062" s="60"/>
      <c r="J1062" s="61"/>
      <c r="K1062" s="61"/>
      <c r="L1062" s="62"/>
      <c r="M1062" s="63"/>
      <c r="N1062" s="17"/>
      <c r="O1062" s="17"/>
      <c r="P1062" s="17"/>
    </row>
    <row r="1063" spans="1:16" x14ac:dyDescent="0.25">
      <c r="A1063" s="60"/>
      <c r="B1063" s="60"/>
      <c r="C1063" s="60"/>
      <c r="D1063" s="60"/>
      <c r="E1063" s="60"/>
      <c r="F1063" s="60"/>
      <c r="G1063" s="60"/>
      <c r="H1063" s="60"/>
      <c r="I1063" s="60"/>
      <c r="J1063" s="61"/>
      <c r="K1063" s="61"/>
      <c r="L1063" s="62"/>
      <c r="M1063" s="64"/>
      <c r="N1063" s="17"/>
      <c r="O1063" s="17"/>
      <c r="P1063" s="17"/>
    </row>
    <row r="1064" spans="1:16" x14ac:dyDescent="0.25">
      <c r="A1064" s="60"/>
      <c r="B1064" s="60"/>
      <c r="C1064" s="60"/>
      <c r="D1064" s="60"/>
      <c r="E1064" s="60"/>
      <c r="F1064" s="60"/>
      <c r="G1064" s="60"/>
      <c r="H1064" s="60"/>
      <c r="I1064" s="60"/>
      <c r="J1064" s="61"/>
      <c r="K1064" s="61"/>
      <c r="L1064" s="62"/>
      <c r="M1064" s="64"/>
      <c r="N1064" s="17"/>
      <c r="O1064" s="17"/>
      <c r="P1064" s="17"/>
    </row>
    <row r="1065" spans="1:16" x14ac:dyDescent="0.25">
      <c r="A1065" s="60"/>
      <c r="B1065" s="60"/>
      <c r="C1065" s="60"/>
      <c r="D1065" s="60"/>
      <c r="E1065" s="60"/>
      <c r="F1065" s="60"/>
      <c r="G1065" s="60"/>
      <c r="H1065" s="60"/>
      <c r="I1065" s="60"/>
      <c r="J1065" s="61"/>
      <c r="K1065" s="61"/>
      <c r="L1065" s="62"/>
      <c r="M1065" s="63"/>
      <c r="N1065" s="17"/>
      <c r="O1065" s="17"/>
      <c r="P1065" s="17"/>
    </row>
    <row r="1066" spans="1:16" x14ac:dyDescent="0.25">
      <c r="A1066" s="60"/>
      <c r="B1066" s="60"/>
      <c r="C1066" s="60"/>
      <c r="D1066" s="60"/>
      <c r="E1066" s="60"/>
      <c r="F1066" s="60"/>
      <c r="G1066" s="60"/>
      <c r="H1066" s="60"/>
      <c r="I1066" s="60"/>
      <c r="J1066" s="61"/>
      <c r="K1066" s="61"/>
      <c r="L1066" s="62"/>
      <c r="M1066" s="64"/>
      <c r="N1066" s="17"/>
      <c r="O1066" s="17"/>
      <c r="P1066" s="17"/>
    </row>
    <row r="1067" spans="1:16" x14ac:dyDescent="0.25">
      <c r="A1067" s="60"/>
      <c r="B1067" s="60"/>
      <c r="C1067" s="60"/>
      <c r="D1067" s="60"/>
      <c r="E1067" s="60"/>
      <c r="F1067" s="60"/>
      <c r="G1067" s="60"/>
      <c r="H1067" s="60"/>
      <c r="I1067" s="60"/>
      <c r="J1067" s="61"/>
      <c r="K1067" s="61"/>
      <c r="L1067" s="62"/>
      <c r="M1067" s="63"/>
      <c r="N1067" s="17"/>
      <c r="O1067" s="17"/>
      <c r="P1067" s="17"/>
    </row>
    <row r="1068" spans="1:16" x14ac:dyDescent="0.25">
      <c r="A1068" s="60"/>
      <c r="B1068" s="60"/>
      <c r="C1068" s="60"/>
      <c r="D1068" s="60"/>
      <c r="E1068" s="60"/>
      <c r="F1068" s="60"/>
      <c r="G1068" s="60"/>
      <c r="H1068" s="60"/>
      <c r="I1068" s="60"/>
      <c r="J1068" s="61"/>
      <c r="K1068" s="61"/>
      <c r="L1068" s="62"/>
      <c r="M1068" s="64"/>
      <c r="N1068" s="17"/>
      <c r="O1068" s="17"/>
      <c r="P1068" s="17"/>
    </row>
    <row r="1069" spans="1:16" x14ac:dyDescent="0.25">
      <c r="A1069" s="60"/>
      <c r="B1069" s="60"/>
      <c r="C1069" s="60"/>
      <c r="D1069" s="60"/>
      <c r="E1069" s="60"/>
      <c r="F1069" s="60"/>
      <c r="G1069" s="60"/>
      <c r="H1069" s="60"/>
      <c r="I1069" s="60"/>
      <c r="J1069" s="61"/>
      <c r="K1069" s="61"/>
      <c r="L1069" s="62"/>
      <c r="M1069" s="64"/>
      <c r="N1069" s="17"/>
      <c r="O1069" s="17"/>
      <c r="P1069" s="17"/>
    </row>
    <row r="1070" spans="1:16" x14ac:dyDescent="0.25">
      <c r="A1070" s="60"/>
      <c r="B1070" s="60"/>
      <c r="C1070" s="60"/>
      <c r="D1070" s="60"/>
      <c r="E1070" s="60"/>
      <c r="F1070" s="60"/>
      <c r="G1070" s="60"/>
      <c r="H1070" s="60"/>
      <c r="I1070" s="60"/>
      <c r="J1070" s="61"/>
      <c r="K1070" s="61"/>
      <c r="L1070" s="62"/>
      <c r="M1070" s="63"/>
      <c r="N1070" s="17"/>
      <c r="O1070" s="17"/>
      <c r="P1070" s="17"/>
    </row>
    <row r="1071" spans="1:16" x14ac:dyDescent="0.25">
      <c r="A1071" s="60"/>
      <c r="B1071" s="60"/>
      <c r="C1071" s="60"/>
      <c r="D1071" s="60"/>
      <c r="E1071" s="60"/>
      <c r="F1071" s="60"/>
      <c r="G1071" s="60"/>
      <c r="H1071" s="60"/>
      <c r="I1071" s="60"/>
      <c r="J1071" s="61"/>
      <c r="K1071" s="61"/>
      <c r="L1071" s="62"/>
      <c r="M1071" s="64"/>
      <c r="N1071" s="17"/>
      <c r="O1071" s="17"/>
      <c r="P1071" s="17"/>
    </row>
    <row r="1072" spans="1:16" x14ac:dyDescent="0.25">
      <c r="A1072" s="60"/>
      <c r="B1072" s="60"/>
      <c r="C1072" s="60"/>
      <c r="D1072" s="60"/>
      <c r="E1072" s="60"/>
      <c r="F1072" s="60"/>
      <c r="G1072" s="60"/>
      <c r="H1072" s="60"/>
      <c r="I1072" s="60"/>
      <c r="J1072" s="61"/>
      <c r="K1072" s="61"/>
      <c r="L1072" s="62"/>
      <c r="M1072" s="64"/>
      <c r="N1072" s="17"/>
      <c r="O1072" s="17"/>
      <c r="P1072" s="17"/>
    </row>
    <row r="1073" spans="1:16" x14ac:dyDescent="0.25">
      <c r="A1073" s="60"/>
      <c r="B1073" s="60"/>
      <c r="C1073" s="60"/>
      <c r="D1073" s="60"/>
      <c r="E1073" s="60"/>
      <c r="F1073" s="60"/>
      <c r="G1073" s="60"/>
      <c r="H1073" s="60"/>
      <c r="I1073" s="60"/>
      <c r="J1073" s="61"/>
      <c r="K1073" s="61"/>
      <c r="L1073" s="62"/>
      <c r="M1073" s="64"/>
      <c r="N1073" s="17"/>
      <c r="O1073" s="17"/>
      <c r="P1073" s="17"/>
    </row>
    <row r="1074" spans="1:16" x14ac:dyDescent="0.25">
      <c r="A1074" s="60"/>
      <c r="B1074" s="60"/>
      <c r="C1074" s="60"/>
      <c r="D1074" s="60"/>
      <c r="E1074" s="60"/>
      <c r="F1074" s="60"/>
      <c r="G1074" s="60"/>
      <c r="H1074" s="60"/>
      <c r="I1074" s="60"/>
      <c r="J1074" s="61"/>
      <c r="K1074" s="61"/>
      <c r="L1074" s="62"/>
      <c r="M1074" s="63"/>
      <c r="N1074" s="17"/>
      <c r="O1074" s="17"/>
      <c r="P1074" s="17"/>
    </row>
    <row r="1075" spans="1:16" x14ac:dyDescent="0.25">
      <c r="A1075" s="60"/>
      <c r="B1075" s="60"/>
      <c r="C1075" s="60"/>
      <c r="D1075" s="60"/>
      <c r="E1075" s="60"/>
      <c r="F1075" s="60"/>
      <c r="G1075" s="60"/>
      <c r="H1075" s="60"/>
      <c r="I1075" s="60"/>
      <c r="J1075" s="61"/>
      <c r="K1075" s="61"/>
      <c r="L1075" s="62"/>
      <c r="M1075" s="63"/>
      <c r="N1075" s="17"/>
      <c r="O1075" s="17"/>
      <c r="P1075" s="17"/>
    </row>
    <row r="1076" spans="1:16" x14ac:dyDescent="0.25">
      <c r="A1076" s="60"/>
      <c r="B1076" s="60"/>
      <c r="C1076" s="60"/>
      <c r="D1076" s="60"/>
      <c r="E1076" s="60"/>
      <c r="F1076" s="60"/>
      <c r="G1076" s="60"/>
      <c r="H1076" s="60"/>
      <c r="I1076" s="60"/>
      <c r="J1076" s="61"/>
      <c r="K1076" s="61"/>
      <c r="L1076" s="62"/>
      <c r="M1076" s="64"/>
      <c r="N1076" s="17"/>
      <c r="O1076" s="17"/>
      <c r="P1076" s="17"/>
    </row>
    <row r="1077" spans="1:16" x14ac:dyDescent="0.25">
      <c r="A1077" s="60"/>
      <c r="B1077" s="60"/>
      <c r="C1077" s="60"/>
      <c r="D1077" s="60"/>
      <c r="E1077" s="60"/>
      <c r="F1077" s="60"/>
      <c r="G1077" s="60"/>
      <c r="H1077" s="60"/>
      <c r="I1077" s="60"/>
      <c r="J1077" s="61"/>
      <c r="K1077" s="61"/>
      <c r="L1077" s="65"/>
      <c r="M1077" s="64"/>
      <c r="N1077" s="17"/>
      <c r="O1077" s="17"/>
      <c r="P1077" s="17"/>
    </row>
    <row r="1078" spans="1:16" x14ac:dyDescent="0.25">
      <c r="A1078" s="60"/>
      <c r="B1078" s="60"/>
      <c r="C1078" s="60"/>
      <c r="D1078" s="60"/>
      <c r="E1078" s="60"/>
      <c r="F1078" s="60"/>
      <c r="G1078" s="60"/>
      <c r="H1078" s="60"/>
      <c r="I1078" s="60"/>
      <c r="J1078" s="61"/>
      <c r="K1078" s="61"/>
      <c r="L1078" s="62"/>
      <c r="M1078" s="64"/>
      <c r="N1078" s="17"/>
      <c r="O1078" s="17"/>
      <c r="P1078" s="17"/>
    </row>
    <row r="1079" spans="1:16" x14ac:dyDescent="0.25">
      <c r="A1079" s="60"/>
      <c r="B1079" s="60"/>
      <c r="C1079" s="60"/>
      <c r="D1079" s="60"/>
      <c r="E1079" s="60"/>
      <c r="F1079" s="60"/>
      <c r="G1079" s="60"/>
      <c r="H1079" s="60"/>
      <c r="I1079" s="60"/>
      <c r="J1079" s="61"/>
      <c r="K1079" s="61"/>
      <c r="L1079" s="62"/>
      <c r="M1079" s="63"/>
      <c r="N1079" s="17"/>
      <c r="O1079" s="17"/>
      <c r="P1079" s="17"/>
    </row>
    <row r="1080" spans="1:16" x14ac:dyDescent="0.25">
      <c r="A1080" s="60"/>
      <c r="B1080" s="60"/>
      <c r="C1080" s="60"/>
      <c r="D1080" s="60"/>
      <c r="E1080" s="60"/>
      <c r="F1080" s="60"/>
      <c r="G1080" s="60"/>
      <c r="H1080" s="60"/>
      <c r="I1080" s="60"/>
      <c r="J1080" s="61"/>
      <c r="K1080" s="61"/>
      <c r="L1080" s="62"/>
      <c r="M1080" s="64"/>
      <c r="N1080" s="17"/>
      <c r="O1080" s="17"/>
      <c r="P1080" s="17"/>
    </row>
    <row r="1081" spans="1:16" x14ac:dyDescent="0.25">
      <c r="A1081" s="60"/>
      <c r="B1081" s="60"/>
      <c r="C1081" s="60"/>
      <c r="D1081" s="60"/>
      <c r="E1081" s="60"/>
      <c r="F1081" s="60"/>
      <c r="G1081" s="60"/>
      <c r="H1081" s="60"/>
      <c r="I1081" s="60"/>
      <c r="J1081" s="61"/>
      <c r="K1081" s="61"/>
      <c r="L1081" s="62"/>
      <c r="M1081" s="64"/>
      <c r="N1081" s="17"/>
      <c r="O1081" s="17"/>
      <c r="P1081" s="17"/>
    </row>
    <row r="1082" spans="1:16" x14ac:dyDescent="0.25">
      <c r="A1082" s="60"/>
      <c r="B1082" s="60"/>
      <c r="C1082" s="60"/>
      <c r="D1082" s="60"/>
      <c r="E1082" s="60"/>
      <c r="F1082" s="60"/>
      <c r="G1082" s="60"/>
      <c r="H1082" s="60"/>
      <c r="I1082" s="60"/>
      <c r="J1082" s="61"/>
      <c r="K1082" s="61"/>
      <c r="L1082" s="62"/>
      <c r="M1082" s="64"/>
      <c r="N1082" s="17"/>
      <c r="O1082" s="17"/>
      <c r="P1082" s="17"/>
    </row>
    <row r="1083" spans="1:16" x14ac:dyDescent="0.25">
      <c r="A1083" s="60"/>
      <c r="B1083" s="60"/>
      <c r="C1083" s="60"/>
      <c r="D1083" s="60"/>
      <c r="E1083" s="60"/>
      <c r="F1083" s="60"/>
      <c r="G1083" s="60"/>
      <c r="H1083" s="60"/>
      <c r="I1083" s="60"/>
      <c r="J1083" s="61"/>
      <c r="K1083" s="61"/>
      <c r="L1083" s="62"/>
      <c r="M1083" s="64"/>
      <c r="N1083" s="17"/>
      <c r="O1083" s="17"/>
      <c r="P1083" s="17"/>
    </row>
    <row r="1084" spans="1:16" x14ac:dyDescent="0.25">
      <c r="A1084" s="60"/>
      <c r="B1084" s="60"/>
      <c r="C1084" s="60"/>
      <c r="D1084" s="60"/>
      <c r="E1084" s="60"/>
      <c r="F1084" s="60"/>
      <c r="G1084" s="60"/>
      <c r="H1084" s="60"/>
      <c r="I1084" s="60"/>
      <c r="J1084" s="61"/>
      <c r="K1084" s="61"/>
      <c r="L1084" s="62"/>
      <c r="M1084" s="64"/>
      <c r="N1084" s="17"/>
      <c r="O1084" s="17"/>
      <c r="P1084" s="17"/>
    </row>
    <row r="1085" spans="1:16" x14ac:dyDescent="0.25">
      <c r="A1085" s="60"/>
      <c r="B1085" s="60"/>
      <c r="C1085" s="60"/>
      <c r="D1085" s="60"/>
      <c r="E1085" s="60"/>
      <c r="F1085" s="60"/>
      <c r="G1085" s="60"/>
      <c r="H1085" s="60"/>
      <c r="I1085" s="60"/>
      <c r="J1085" s="61"/>
      <c r="K1085" s="61"/>
      <c r="L1085" s="62"/>
      <c r="M1085" s="64"/>
      <c r="N1085" s="17"/>
      <c r="O1085" s="17"/>
      <c r="P1085" s="17"/>
    </row>
    <row r="1086" spans="1:16" x14ac:dyDescent="0.25">
      <c r="A1086" s="60"/>
      <c r="B1086" s="60"/>
      <c r="C1086" s="60"/>
      <c r="D1086" s="60"/>
      <c r="E1086" s="60"/>
      <c r="F1086" s="60"/>
      <c r="G1086" s="60"/>
      <c r="H1086" s="60"/>
      <c r="I1086" s="60"/>
      <c r="J1086" s="61"/>
      <c r="K1086" s="61"/>
      <c r="L1086" s="62"/>
      <c r="M1086" s="64"/>
      <c r="N1086" s="17"/>
      <c r="O1086" s="17"/>
      <c r="P1086" s="17"/>
    </row>
    <row r="1087" spans="1:16" x14ac:dyDescent="0.25">
      <c r="A1087" s="60"/>
      <c r="B1087" s="60"/>
      <c r="C1087" s="60"/>
      <c r="D1087" s="60"/>
      <c r="E1087" s="60"/>
      <c r="F1087" s="60"/>
      <c r="G1087" s="60"/>
      <c r="H1087" s="60"/>
      <c r="I1087" s="60"/>
      <c r="J1087" s="61"/>
      <c r="K1087" s="61"/>
      <c r="L1087" s="62"/>
      <c r="M1087" s="64"/>
      <c r="N1087" s="17"/>
      <c r="O1087" s="17"/>
      <c r="P1087" s="17"/>
    </row>
    <row r="1088" spans="1:16" x14ac:dyDescent="0.25">
      <c r="A1088" s="60"/>
      <c r="B1088" s="60"/>
      <c r="C1088" s="60"/>
      <c r="D1088" s="60"/>
      <c r="E1088" s="60"/>
      <c r="F1088" s="60"/>
      <c r="G1088" s="60"/>
      <c r="H1088" s="60"/>
      <c r="I1088" s="60"/>
      <c r="J1088" s="61"/>
      <c r="K1088" s="61"/>
      <c r="L1088" s="62"/>
      <c r="M1088" s="64"/>
      <c r="N1088" s="17"/>
      <c r="O1088" s="17"/>
      <c r="P1088" s="17"/>
    </row>
    <row r="1089" spans="1:16" x14ac:dyDescent="0.25">
      <c r="A1089" s="60"/>
      <c r="B1089" s="60"/>
      <c r="C1089" s="60"/>
      <c r="D1089" s="60"/>
      <c r="E1089" s="60"/>
      <c r="F1089" s="60"/>
      <c r="G1089" s="60"/>
      <c r="H1089" s="60"/>
      <c r="I1089" s="60"/>
      <c r="J1089" s="61"/>
      <c r="K1089" s="61"/>
      <c r="L1089" s="62"/>
      <c r="M1089" s="63"/>
      <c r="N1089" s="17"/>
      <c r="O1089" s="17"/>
      <c r="P1089" s="17"/>
    </row>
    <row r="1090" spans="1:16" x14ac:dyDescent="0.25">
      <c r="A1090" s="60"/>
      <c r="B1090" s="60"/>
      <c r="C1090" s="60"/>
      <c r="D1090" s="60"/>
      <c r="E1090" s="60"/>
      <c r="F1090" s="60"/>
      <c r="G1090" s="60"/>
      <c r="H1090" s="60"/>
      <c r="I1090" s="60"/>
      <c r="J1090" s="61"/>
      <c r="K1090" s="61"/>
      <c r="L1090" s="65"/>
      <c r="M1090" s="64"/>
      <c r="N1090" s="17"/>
      <c r="O1090" s="17"/>
      <c r="P1090" s="17"/>
    </row>
    <row r="1091" spans="1:16" x14ac:dyDescent="0.25">
      <c r="A1091" s="60"/>
      <c r="B1091" s="60"/>
      <c r="C1091" s="60"/>
      <c r="D1091" s="60"/>
      <c r="E1091" s="60"/>
      <c r="F1091" s="60"/>
      <c r="G1091" s="60"/>
      <c r="H1091" s="60"/>
      <c r="I1091" s="60"/>
      <c r="J1091" s="61"/>
      <c r="K1091" s="61"/>
      <c r="L1091" s="62"/>
      <c r="M1091" s="64"/>
      <c r="N1091" s="17"/>
      <c r="O1091" s="17"/>
      <c r="P1091" s="17"/>
    </row>
    <row r="1092" spans="1:16" x14ac:dyDescent="0.25">
      <c r="A1092" s="60"/>
      <c r="B1092" s="60"/>
      <c r="C1092" s="60"/>
      <c r="D1092" s="60"/>
      <c r="E1092" s="60"/>
      <c r="F1092" s="60"/>
      <c r="G1092" s="60"/>
      <c r="H1092" s="60"/>
      <c r="I1092" s="60"/>
      <c r="J1092" s="61"/>
      <c r="K1092" s="61"/>
      <c r="L1092" s="62"/>
      <c r="M1092" s="63"/>
      <c r="N1092" s="17"/>
      <c r="O1092" s="17"/>
      <c r="P1092" s="17"/>
    </row>
    <row r="1093" spans="1:16" x14ac:dyDescent="0.25">
      <c r="A1093" s="60"/>
      <c r="B1093" s="60"/>
      <c r="C1093" s="60"/>
      <c r="D1093" s="60"/>
      <c r="E1093" s="60"/>
      <c r="F1093" s="60"/>
      <c r="G1093" s="60"/>
      <c r="H1093" s="60"/>
      <c r="I1093" s="60"/>
      <c r="J1093" s="61"/>
      <c r="K1093" s="61"/>
      <c r="L1093" s="62"/>
      <c r="M1093" s="64"/>
      <c r="N1093" s="17"/>
      <c r="O1093" s="17"/>
      <c r="P1093" s="17"/>
    </row>
    <row r="1094" spans="1:16" x14ac:dyDescent="0.25">
      <c r="A1094" s="60"/>
      <c r="B1094" s="60"/>
      <c r="C1094" s="60"/>
      <c r="D1094" s="60"/>
      <c r="E1094" s="60"/>
      <c r="F1094" s="60"/>
      <c r="G1094" s="60"/>
      <c r="H1094" s="60"/>
      <c r="I1094" s="60"/>
      <c r="J1094" s="61"/>
      <c r="K1094" s="61"/>
      <c r="L1094" s="62"/>
      <c r="M1094" s="63"/>
      <c r="N1094" s="17"/>
      <c r="O1094" s="17"/>
      <c r="P1094" s="17"/>
    </row>
    <row r="1095" spans="1:16" x14ac:dyDescent="0.25">
      <c r="A1095" s="60"/>
      <c r="B1095" s="60"/>
      <c r="C1095" s="60"/>
      <c r="D1095" s="60"/>
      <c r="E1095" s="60"/>
      <c r="F1095" s="60"/>
      <c r="G1095" s="60"/>
      <c r="H1095" s="60"/>
      <c r="I1095" s="60"/>
      <c r="J1095" s="61"/>
      <c r="K1095" s="61"/>
      <c r="L1095" s="62"/>
      <c r="M1095" s="63"/>
      <c r="N1095" s="17"/>
      <c r="O1095" s="17"/>
      <c r="P1095" s="17"/>
    </row>
    <row r="1096" spans="1:16" x14ac:dyDescent="0.25">
      <c r="A1096" s="60"/>
      <c r="B1096" s="60"/>
      <c r="C1096" s="60"/>
      <c r="D1096" s="60"/>
      <c r="E1096" s="60"/>
      <c r="F1096" s="60"/>
      <c r="G1096" s="60"/>
      <c r="H1096" s="60"/>
      <c r="I1096" s="60"/>
      <c r="J1096" s="61"/>
      <c r="K1096" s="61"/>
      <c r="L1096" s="62"/>
      <c r="M1096" s="64"/>
      <c r="N1096" s="17"/>
      <c r="O1096" s="17"/>
      <c r="P1096" s="17"/>
    </row>
    <row r="1097" spans="1:16" x14ac:dyDescent="0.25">
      <c r="A1097" s="60"/>
      <c r="B1097" s="60"/>
      <c r="C1097" s="60"/>
      <c r="D1097" s="60"/>
      <c r="E1097" s="60"/>
      <c r="F1097" s="60"/>
      <c r="G1097" s="60"/>
      <c r="H1097" s="60"/>
      <c r="I1097" s="60"/>
      <c r="J1097" s="61"/>
      <c r="K1097" s="61"/>
      <c r="L1097" s="62"/>
      <c r="M1097" s="63"/>
      <c r="N1097" s="17"/>
      <c r="O1097" s="17"/>
      <c r="P1097" s="17"/>
    </row>
    <row r="1098" spans="1:16" x14ac:dyDescent="0.25">
      <c r="A1098" s="60"/>
      <c r="B1098" s="60"/>
      <c r="C1098" s="60"/>
      <c r="D1098" s="60"/>
      <c r="E1098" s="60"/>
      <c r="F1098" s="60"/>
      <c r="G1098" s="60"/>
      <c r="H1098" s="60"/>
      <c r="I1098" s="60"/>
      <c r="J1098" s="61"/>
      <c r="K1098" s="61"/>
      <c r="L1098" s="62"/>
      <c r="M1098" s="64"/>
      <c r="N1098" s="17"/>
      <c r="O1098" s="17"/>
      <c r="P1098" s="17"/>
    </row>
    <row r="1099" spans="1:16" x14ac:dyDescent="0.25">
      <c r="A1099" s="60"/>
      <c r="B1099" s="60"/>
      <c r="C1099" s="60"/>
      <c r="D1099" s="60"/>
      <c r="E1099" s="60"/>
      <c r="F1099" s="60"/>
      <c r="G1099" s="60"/>
      <c r="H1099" s="60"/>
      <c r="I1099" s="60"/>
      <c r="J1099" s="61"/>
      <c r="K1099" s="61"/>
      <c r="L1099" s="62"/>
      <c r="M1099" s="63"/>
      <c r="N1099" s="17"/>
      <c r="O1099" s="17"/>
      <c r="P1099" s="17"/>
    </row>
    <row r="1100" spans="1:16" x14ac:dyDescent="0.25">
      <c r="A1100" s="60"/>
      <c r="B1100" s="60"/>
      <c r="C1100" s="60"/>
      <c r="D1100" s="60"/>
      <c r="E1100" s="60"/>
      <c r="F1100" s="60"/>
      <c r="G1100" s="60"/>
      <c r="H1100" s="60"/>
      <c r="I1100" s="60"/>
      <c r="J1100" s="61"/>
      <c r="K1100" s="61"/>
      <c r="L1100" s="62"/>
      <c r="M1100" s="63"/>
      <c r="N1100" s="17"/>
      <c r="O1100" s="17"/>
      <c r="P1100" s="17"/>
    </row>
    <row r="1101" spans="1:16" x14ac:dyDescent="0.25">
      <c r="A1101" s="60"/>
      <c r="B1101" s="60"/>
      <c r="C1101" s="60"/>
      <c r="D1101" s="60"/>
      <c r="E1101" s="60"/>
      <c r="F1101" s="60"/>
      <c r="G1101" s="60"/>
      <c r="H1101" s="60"/>
      <c r="I1101" s="60"/>
      <c r="J1101" s="61"/>
      <c r="K1101" s="61"/>
      <c r="L1101" s="62"/>
      <c r="M1101" s="63"/>
      <c r="N1101" s="17"/>
      <c r="O1101" s="17"/>
      <c r="P1101" s="17"/>
    </row>
    <row r="1102" spans="1:16" x14ac:dyDescent="0.25">
      <c r="A1102" s="60"/>
      <c r="B1102" s="60"/>
      <c r="C1102" s="60"/>
      <c r="D1102" s="60"/>
      <c r="E1102" s="60"/>
      <c r="F1102" s="60"/>
      <c r="G1102" s="60"/>
      <c r="H1102" s="60"/>
      <c r="I1102" s="60"/>
      <c r="J1102" s="61"/>
      <c r="K1102" s="61"/>
      <c r="L1102" s="62"/>
      <c r="M1102" s="63"/>
      <c r="N1102" s="17"/>
      <c r="O1102" s="17"/>
      <c r="P1102" s="17"/>
    </row>
    <row r="1103" spans="1:16" x14ac:dyDescent="0.25">
      <c r="A1103" s="60"/>
      <c r="B1103" s="60"/>
      <c r="C1103" s="60"/>
      <c r="D1103" s="60"/>
      <c r="E1103" s="60"/>
      <c r="F1103" s="60"/>
      <c r="G1103" s="60"/>
      <c r="H1103" s="60"/>
      <c r="I1103" s="60"/>
      <c r="J1103" s="61"/>
      <c r="K1103" s="61"/>
      <c r="L1103" s="62"/>
      <c r="M1103" s="64"/>
      <c r="N1103" s="17"/>
      <c r="O1103" s="17"/>
      <c r="P1103" s="17"/>
    </row>
    <row r="1104" spans="1:16" x14ac:dyDescent="0.25">
      <c r="A1104" s="60"/>
      <c r="B1104" s="60"/>
      <c r="C1104" s="60"/>
      <c r="D1104" s="60"/>
      <c r="E1104" s="60"/>
      <c r="F1104" s="60"/>
      <c r="G1104" s="60"/>
      <c r="H1104" s="60"/>
      <c r="I1104" s="60"/>
      <c r="J1104" s="61"/>
      <c r="K1104" s="61"/>
      <c r="L1104" s="62"/>
      <c r="M1104" s="63"/>
      <c r="N1104" s="17"/>
      <c r="O1104" s="17"/>
      <c r="P1104" s="17"/>
    </row>
    <row r="1105" spans="1:16" x14ac:dyDescent="0.25">
      <c r="A1105" s="60"/>
      <c r="B1105" s="60"/>
      <c r="C1105" s="60"/>
      <c r="D1105" s="60"/>
      <c r="E1105" s="60"/>
      <c r="F1105" s="60"/>
      <c r="G1105" s="60"/>
      <c r="H1105" s="60"/>
      <c r="I1105" s="60"/>
      <c r="J1105" s="61"/>
      <c r="K1105" s="61"/>
      <c r="L1105" s="62"/>
      <c r="M1105" s="63"/>
      <c r="N1105" s="17"/>
      <c r="O1105" s="17"/>
      <c r="P1105" s="17"/>
    </row>
    <row r="1106" spans="1:16" x14ac:dyDescent="0.25">
      <c r="A1106" s="60"/>
      <c r="B1106" s="60"/>
      <c r="C1106" s="60"/>
      <c r="D1106" s="60"/>
      <c r="E1106" s="60"/>
      <c r="F1106" s="60"/>
      <c r="G1106" s="60"/>
      <c r="H1106" s="60"/>
      <c r="I1106" s="60"/>
      <c r="J1106" s="61"/>
      <c r="K1106" s="61"/>
      <c r="L1106" s="62"/>
      <c r="M1106" s="63"/>
      <c r="N1106" s="17"/>
      <c r="O1106" s="17"/>
      <c r="P1106" s="17"/>
    </row>
    <row r="1107" spans="1:16" x14ac:dyDescent="0.25">
      <c r="A1107" s="60"/>
      <c r="B1107" s="60"/>
      <c r="C1107" s="60"/>
      <c r="D1107" s="60"/>
      <c r="E1107" s="60"/>
      <c r="F1107" s="60"/>
      <c r="G1107" s="60"/>
      <c r="H1107" s="60"/>
      <c r="I1107" s="60"/>
      <c r="J1107" s="61"/>
      <c r="K1107" s="61"/>
      <c r="L1107" s="62"/>
      <c r="M1107" s="63"/>
      <c r="N1107" s="17"/>
      <c r="O1107" s="17"/>
      <c r="P1107" s="17"/>
    </row>
    <row r="1108" spans="1:16" x14ac:dyDescent="0.25">
      <c r="A1108" s="60"/>
      <c r="B1108" s="60"/>
      <c r="C1108" s="60"/>
      <c r="D1108" s="60"/>
      <c r="E1108" s="60"/>
      <c r="F1108" s="60"/>
      <c r="G1108" s="60"/>
      <c r="H1108" s="60"/>
      <c r="I1108" s="60"/>
      <c r="J1108" s="61"/>
      <c r="K1108" s="61"/>
      <c r="L1108" s="65"/>
      <c r="M1108" s="64"/>
      <c r="N1108" s="17"/>
      <c r="O1108" s="17"/>
      <c r="P1108" s="17"/>
    </row>
    <row r="1109" spans="1:16" x14ac:dyDescent="0.25">
      <c r="A1109" s="60"/>
      <c r="B1109" s="60"/>
      <c r="C1109" s="60"/>
      <c r="D1109" s="60"/>
      <c r="E1109" s="60"/>
      <c r="F1109" s="60"/>
      <c r="G1109" s="60"/>
      <c r="H1109" s="60"/>
      <c r="I1109" s="60"/>
      <c r="J1109" s="61"/>
      <c r="K1109" s="61"/>
      <c r="L1109" s="65"/>
      <c r="M1109" s="64"/>
      <c r="N1109" s="17"/>
      <c r="O1109" s="17"/>
      <c r="P1109" s="17"/>
    </row>
    <row r="1110" spans="1:16" x14ac:dyDescent="0.25">
      <c r="A1110" s="60"/>
      <c r="B1110" s="60"/>
      <c r="C1110" s="60"/>
      <c r="D1110" s="60"/>
      <c r="E1110" s="60"/>
      <c r="F1110" s="60"/>
      <c r="G1110" s="60"/>
      <c r="H1110" s="60"/>
      <c r="I1110" s="60"/>
      <c r="J1110" s="61"/>
      <c r="K1110" s="61"/>
      <c r="L1110" s="65"/>
      <c r="M1110" s="64"/>
      <c r="N1110" s="17"/>
      <c r="O1110" s="17"/>
      <c r="P1110" s="17"/>
    </row>
    <row r="1111" spans="1:16" x14ac:dyDescent="0.25">
      <c r="A1111" s="60"/>
      <c r="B1111" s="60"/>
      <c r="C1111" s="60"/>
      <c r="D1111" s="60"/>
      <c r="E1111" s="60"/>
      <c r="F1111" s="60"/>
      <c r="G1111" s="60"/>
      <c r="H1111" s="60"/>
      <c r="I1111" s="60"/>
      <c r="J1111" s="61"/>
      <c r="K1111" s="61"/>
      <c r="L1111" s="65"/>
      <c r="M1111" s="64"/>
      <c r="N1111" s="17"/>
      <c r="O1111" s="17"/>
      <c r="P1111" s="17"/>
    </row>
    <row r="1112" spans="1:16" x14ac:dyDescent="0.25">
      <c r="A1112" s="60"/>
      <c r="B1112" s="60"/>
      <c r="C1112" s="60"/>
      <c r="D1112" s="60"/>
      <c r="E1112" s="60"/>
      <c r="F1112" s="60"/>
      <c r="G1112" s="60"/>
      <c r="H1112" s="60"/>
      <c r="I1112" s="60"/>
      <c r="J1112" s="61"/>
      <c r="K1112" s="61"/>
      <c r="L1112" s="62"/>
      <c r="M1112" s="64"/>
      <c r="N1112" s="17"/>
      <c r="O1112" s="17"/>
      <c r="P1112" s="17"/>
    </row>
    <row r="1113" spans="1:16" x14ac:dyDescent="0.25">
      <c r="A1113" s="60"/>
      <c r="B1113" s="60"/>
      <c r="C1113" s="60"/>
      <c r="D1113" s="60"/>
      <c r="E1113" s="60"/>
      <c r="F1113" s="60"/>
      <c r="G1113" s="60"/>
      <c r="H1113" s="60"/>
      <c r="I1113" s="60"/>
      <c r="J1113" s="61"/>
      <c r="K1113" s="61"/>
      <c r="L1113" s="65"/>
      <c r="M1113" s="64"/>
      <c r="N1113" s="17"/>
      <c r="O1113" s="17"/>
      <c r="P1113" s="17"/>
    </row>
    <row r="1114" spans="1:16" x14ac:dyDescent="0.25">
      <c r="A1114" s="60"/>
      <c r="B1114" s="60"/>
      <c r="C1114" s="60"/>
      <c r="D1114" s="60"/>
      <c r="E1114" s="60"/>
      <c r="F1114" s="60"/>
      <c r="G1114" s="60"/>
      <c r="H1114" s="60"/>
      <c r="I1114" s="60"/>
      <c r="J1114" s="61"/>
      <c r="K1114" s="61"/>
      <c r="L1114" s="65"/>
      <c r="M1114" s="64"/>
      <c r="N1114" s="17"/>
      <c r="O1114" s="17"/>
      <c r="P1114" s="17"/>
    </row>
    <row r="1115" spans="1:16" x14ac:dyDescent="0.25">
      <c r="A1115" s="60"/>
      <c r="B1115" s="60"/>
      <c r="C1115" s="60"/>
      <c r="D1115" s="60"/>
      <c r="E1115" s="60"/>
      <c r="F1115" s="60"/>
      <c r="G1115" s="60"/>
      <c r="H1115" s="60"/>
      <c r="I1115" s="60"/>
      <c r="J1115" s="61"/>
      <c r="K1115" s="61"/>
      <c r="L1115" s="65"/>
      <c r="M1115" s="64"/>
      <c r="N1115" s="17"/>
      <c r="O1115" s="17"/>
      <c r="P1115" s="17"/>
    </row>
    <row r="1116" spans="1:16" x14ac:dyDescent="0.25">
      <c r="A1116" s="60"/>
      <c r="B1116" s="60"/>
      <c r="C1116" s="60"/>
      <c r="D1116" s="60"/>
      <c r="E1116" s="60"/>
      <c r="F1116" s="60"/>
      <c r="G1116" s="60"/>
      <c r="H1116" s="60"/>
      <c r="I1116" s="60"/>
      <c r="J1116" s="61"/>
      <c r="K1116" s="61"/>
      <c r="L1116" s="65"/>
      <c r="M1116" s="64"/>
      <c r="N1116" s="17"/>
      <c r="O1116" s="17"/>
      <c r="P1116" s="17"/>
    </row>
    <row r="1117" spans="1:16" x14ac:dyDescent="0.25">
      <c r="A1117" s="60"/>
      <c r="B1117" s="60"/>
      <c r="C1117" s="60"/>
      <c r="D1117" s="60"/>
      <c r="E1117" s="60"/>
      <c r="F1117" s="60"/>
      <c r="G1117" s="60"/>
      <c r="H1117" s="60"/>
      <c r="I1117" s="60"/>
      <c r="J1117" s="61"/>
      <c r="K1117" s="61"/>
      <c r="L1117" s="65"/>
      <c r="M1117" s="64"/>
      <c r="N1117" s="17"/>
      <c r="O1117" s="17"/>
      <c r="P1117" s="17"/>
    </row>
    <row r="1118" spans="1:16" x14ac:dyDescent="0.25">
      <c r="A1118" s="60"/>
      <c r="B1118" s="60"/>
      <c r="C1118" s="60"/>
      <c r="D1118" s="60"/>
      <c r="E1118" s="60"/>
      <c r="F1118" s="60"/>
      <c r="G1118" s="60"/>
      <c r="H1118" s="60"/>
      <c r="I1118" s="60"/>
      <c r="J1118" s="61"/>
      <c r="K1118" s="61"/>
      <c r="L1118" s="65"/>
      <c r="M1118" s="64"/>
      <c r="N1118" s="17"/>
      <c r="O1118" s="17"/>
      <c r="P1118" s="17"/>
    </row>
    <row r="1119" spans="1:16" x14ac:dyDescent="0.25">
      <c r="A1119" s="60"/>
      <c r="B1119" s="60"/>
      <c r="C1119" s="60"/>
      <c r="D1119" s="60"/>
      <c r="E1119" s="60"/>
      <c r="F1119" s="60"/>
      <c r="G1119" s="60"/>
      <c r="H1119" s="60"/>
      <c r="I1119" s="60"/>
      <c r="J1119" s="61"/>
      <c r="K1119" s="61"/>
      <c r="L1119" s="65"/>
      <c r="M1119" s="64"/>
      <c r="N1119" s="17"/>
      <c r="O1119" s="17"/>
      <c r="P1119" s="17"/>
    </row>
    <row r="1120" spans="1:16" x14ac:dyDescent="0.25">
      <c r="A1120" s="60"/>
      <c r="B1120" s="60"/>
      <c r="C1120" s="60"/>
      <c r="D1120" s="60"/>
      <c r="E1120" s="60"/>
      <c r="F1120" s="60"/>
      <c r="G1120" s="60"/>
      <c r="H1120" s="60"/>
      <c r="I1120" s="60"/>
      <c r="J1120" s="61"/>
      <c r="K1120" s="61"/>
      <c r="L1120" s="62"/>
      <c r="M1120" s="64"/>
      <c r="N1120" s="17"/>
      <c r="O1120" s="17"/>
      <c r="P1120" s="17"/>
    </row>
    <row r="1121" spans="1:16" x14ac:dyDescent="0.25">
      <c r="A1121" s="60"/>
      <c r="B1121" s="60"/>
      <c r="C1121" s="60"/>
      <c r="D1121" s="60"/>
      <c r="E1121" s="60"/>
      <c r="F1121" s="60"/>
      <c r="G1121" s="60"/>
      <c r="H1121" s="60"/>
      <c r="I1121" s="60"/>
      <c r="J1121" s="61"/>
      <c r="K1121" s="61"/>
      <c r="L1121" s="62"/>
      <c r="M1121" s="64"/>
      <c r="N1121" s="17"/>
      <c r="O1121" s="17"/>
      <c r="P1121" s="17"/>
    </row>
    <row r="1122" spans="1:16" x14ac:dyDescent="0.25">
      <c r="A1122" s="60"/>
      <c r="B1122" s="60"/>
      <c r="C1122" s="60"/>
      <c r="D1122" s="60"/>
      <c r="E1122" s="60"/>
      <c r="F1122" s="60"/>
      <c r="G1122" s="60"/>
      <c r="H1122" s="60"/>
      <c r="I1122" s="60"/>
      <c r="J1122" s="61"/>
      <c r="K1122" s="61"/>
      <c r="L1122" s="62"/>
      <c r="M1122" s="64"/>
      <c r="N1122" s="17"/>
      <c r="O1122" s="17"/>
      <c r="P1122" s="17"/>
    </row>
    <row r="1123" spans="1:16" x14ac:dyDescent="0.25">
      <c r="A1123" s="60"/>
      <c r="B1123" s="60"/>
      <c r="C1123" s="60"/>
      <c r="D1123" s="60"/>
      <c r="E1123" s="60"/>
      <c r="F1123" s="60"/>
      <c r="G1123" s="60"/>
      <c r="H1123" s="60"/>
      <c r="I1123" s="60"/>
      <c r="J1123" s="61"/>
      <c r="K1123" s="61"/>
      <c r="L1123" s="62"/>
      <c r="M1123" s="64"/>
      <c r="N1123" s="17"/>
      <c r="O1123" s="17"/>
      <c r="P1123" s="17"/>
    </row>
    <row r="1124" spans="1:16" x14ac:dyDescent="0.25">
      <c r="A1124" s="60"/>
      <c r="B1124" s="60"/>
      <c r="C1124" s="60"/>
      <c r="D1124" s="60"/>
      <c r="E1124" s="60"/>
      <c r="F1124" s="60"/>
      <c r="G1124" s="60"/>
      <c r="H1124" s="60"/>
      <c r="I1124" s="60"/>
      <c r="J1124" s="61"/>
      <c r="K1124" s="61"/>
      <c r="L1124" s="62"/>
      <c r="M1124" s="63"/>
      <c r="N1124" s="17"/>
      <c r="O1124" s="17"/>
      <c r="P1124" s="17"/>
    </row>
    <row r="1125" spans="1:16" x14ac:dyDescent="0.25">
      <c r="A1125" s="60"/>
      <c r="B1125" s="60"/>
      <c r="C1125" s="60"/>
      <c r="D1125" s="60"/>
      <c r="E1125" s="60"/>
      <c r="F1125" s="60"/>
      <c r="G1125" s="60"/>
      <c r="H1125" s="60"/>
      <c r="I1125" s="60"/>
      <c r="J1125" s="61"/>
      <c r="K1125" s="61"/>
      <c r="L1125" s="62"/>
      <c r="M1125" s="63"/>
      <c r="N1125" s="17"/>
      <c r="O1125" s="17"/>
      <c r="P1125" s="17"/>
    </row>
    <row r="1126" spans="1:16" x14ac:dyDescent="0.25">
      <c r="A1126" s="60"/>
      <c r="B1126" s="60"/>
      <c r="C1126" s="60"/>
      <c r="D1126" s="60"/>
      <c r="E1126" s="60"/>
      <c r="F1126" s="60"/>
      <c r="G1126" s="60"/>
      <c r="H1126" s="60"/>
      <c r="I1126" s="60"/>
      <c r="J1126" s="61"/>
      <c r="K1126" s="61"/>
      <c r="L1126" s="62"/>
      <c r="M1126" s="63"/>
      <c r="N1126" s="17"/>
      <c r="O1126" s="17"/>
      <c r="P1126" s="17"/>
    </row>
    <row r="1127" spans="1:16" x14ac:dyDescent="0.25">
      <c r="A1127" s="60"/>
      <c r="B1127" s="60"/>
      <c r="C1127" s="60"/>
      <c r="D1127" s="60"/>
      <c r="E1127" s="60"/>
      <c r="F1127" s="60"/>
      <c r="G1127" s="60"/>
      <c r="H1127" s="60"/>
      <c r="I1127" s="60"/>
      <c r="J1127" s="61"/>
      <c r="K1127" s="61"/>
      <c r="L1127" s="65"/>
      <c r="M1127" s="64"/>
      <c r="N1127" s="17"/>
      <c r="O1127" s="17"/>
      <c r="P1127" s="17"/>
    </row>
    <row r="1128" spans="1:16" x14ac:dyDescent="0.25">
      <c r="A1128" s="60"/>
      <c r="B1128" s="60"/>
      <c r="C1128" s="60"/>
      <c r="D1128" s="60"/>
      <c r="E1128" s="60"/>
      <c r="F1128" s="60"/>
      <c r="G1128" s="60"/>
      <c r="H1128" s="60"/>
      <c r="I1128" s="60"/>
      <c r="J1128" s="61"/>
      <c r="K1128" s="61"/>
      <c r="L1128" s="65"/>
      <c r="M1128" s="64"/>
      <c r="N1128" s="17"/>
      <c r="O1128" s="17"/>
      <c r="P1128" s="17"/>
    </row>
    <row r="1129" spans="1:16" x14ac:dyDescent="0.25">
      <c r="A1129" s="60"/>
      <c r="B1129" s="60"/>
      <c r="C1129" s="60"/>
      <c r="D1129" s="60"/>
      <c r="E1129" s="60"/>
      <c r="F1129" s="60"/>
      <c r="G1129" s="60"/>
      <c r="H1129" s="60"/>
      <c r="I1129" s="60"/>
      <c r="J1129" s="61"/>
      <c r="K1129" s="61"/>
      <c r="L1129" s="62"/>
      <c r="M1129" s="64"/>
      <c r="N1129" s="17"/>
      <c r="O1129" s="17"/>
      <c r="P1129" s="17"/>
    </row>
    <row r="1130" spans="1:16" x14ac:dyDescent="0.25">
      <c r="A1130" s="60"/>
      <c r="B1130" s="60"/>
      <c r="C1130" s="60"/>
      <c r="D1130" s="60"/>
      <c r="E1130" s="60"/>
      <c r="F1130" s="60"/>
      <c r="G1130" s="60"/>
      <c r="H1130" s="60"/>
      <c r="I1130" s="60"/>
      <c r="J1130" s="61"/>
      <c r="K1130" s="61"/>
      <c r="L1130" s="62"/>
      <c r="M1130" s="64"/>
      <c r="N1130" s="17"/>
      <c r="O1130" s="17"/>
      <c r="P1130" s="17"/>
    </row>
    <row r="1131" spans="1:16" x14ac:dyDescent="0.25">
      <c r="A1131" s="60"/>
      <c r="B1131" s="60"/>
      <c r="C1131" s="60"/>
      <c r="D1131" s="60"/>
      <c r="E1131" s="60"/>
      <c r="F1131" s="60"/>
      <c r="G1131" s="60"/>
      <c r="H1131" s="60"/>
      <c r="I1131" s="60"/>
      <c r="J1131" s="61"/>
      <c r="K1131" s="61"/>
      <c r="L1131" s="62"/>
      <c r="M1131" s="64"/>
      <c r="N1131" s="17"/>
      <c r="O1131" s="17"/>
      <c r="P1131" s="17"/>
    </row>
    <row r="1132" spans="1:16" x14ac:dyDescent="0.25">
      <c r="A1132" s="60"/>
      <c r="B1132" s="60"/>
      <c r="C1132" s="60"/>
      <c r="D1132" s="60"/>
      <c r="E1132" s="60"/>
      <c r="F1132" s="60"/>
      <c r="G1132" s="60"/>
      <c r="H1132" s="60"/>
      <c r="I1132" s="60"/>
      <c r="J1132" s="61"/>
      <c r="K1132" s="61"/>
      <c r="L1132" s="62"/>
      <c r="M1132" s="64"/>
      <c r="N1132" s="17"/>
      <c r="O1132" s="17"/>
      <c r="P1132" s="17"/>
    </row>
    <row r="1133" spans="1:16" x14ac:dyDescent="0.25">
      <c r="A1133" s="60"/>
      <c r="B1133" s="60"/>
      <c r="C1133" s="60"/>
      <c r="D1133" s="60"/>
      <c r="E1133" s="60"/>
      <c r="F1133" s="60"/>
      <c r="G1133" s="60"/>
      <c r="H1133" s="60"/>
      <c r="I1133" s="60"/>
      <c r="J1133" s="61"/>
      <c r="K1133" s="61"/>
      <c r="L1133" s="62"/>
      <c r="M1133" s="64"/>
      <c r="N1133" s="17"/>
      <c r="O1133" s="17"/>
      <c r="P1133" s="17"/>
    </row>
    <row r="1134" spans="1:16" x14ac:dyDescent="0.25">
      <c r="A1134" s="60"/>
      <c r="B1134" s="60"/>
      <c r="C1134" s="60"/>
      <c r="D1134" s="60"/>
      <c r="E1134" s="60"/>
      <c r="F1134" s="60"/>
      <c r="G1134" s="60"/>
      <c r="H1134" s="60"/>
      <c r="I1134" s="60"/>
      <c r="J1134" s="61"/>
      <c r="K1134" s="61"/>
      <c r="L1134" s="62"/>
      <c r="M1134" s="64"/>
      <c r="N1134" s="17"/>
      <c r="O1134" s="17"/>
      <c r="P1134" s="17"/>
    </row>
    <row r="1135" spans="1:16" x14ac:dyDescent="0.25">
      <c r="A1135" s="60"/>
      <c r="B1135" s="60"/>
      <c r="C1135" s="60"/>
      <c r="D1135" s="60"/>
      <c r="E1135" s="60"/>
      <c r="F1135" s="60"/>
      <c r="G1135" s="60"/>
      <c r="H1135" s="60"/>
      <c r="I1135" s="60"/>
      <c r="J1135" s="61"/>
      <c r="K1135" s="61"/>
      <c r="L1135" s="62"/>
      <c r="M1135" s="64"/>
      <c r="N1135" s="17"/>
      <c r="O1135" s="17"/>
      <c r="P1135" s="17"/>
    </row>
    <row r="1136" spans="1:16" x14ac:dyDescent="0.25">
      <c r="A1136" s="60"/>
      <c r="B1136" s="60"/>
      <c r="C1136" s="60"/>
      <c r="D1136" s="60"/>
      <c r="E1136" s="60"/>
      <c r="F1136" s="60"/>
      <c r="G1136" s="60"/>
      <c r="H1136" s="60"/>
      <c r="I1136" s="60"/>
      <c r="J1136" s="61"/>
      <c r="K1136" s="61"/>
      <c r="L1136" s="62"/>
      <c r="M1136" s="64"/>
      <c r="N1136" s="17"/>
      <c r="O1136" s="17"/>
      <c r="P1136" s="17"/>
    </row>
    <row r="1137" spans="1:16" x14ac:dyDescent="0.25">
      <c r="A1137" s="60"/>
      <c r="B1137" s="60"/>
      <c r="C1137" s="60"/>
      <c r="D1137" s="60"/>
      <c r="E1137" s="60"/>
      <c r="F1137" s="60"/>
      <c r="G1137" s="60"/>
      <c r="H1137" s="60"/>
      <c r="I1137" s="60"/>
      <c r="J1137" s="61"/>
      <c r="K1137" s="61"/>
      <c r="L1137" s="62"/>
      <c r="M1137" s="64"/>
      <c r="N1137" s="17"/>
      <c r="O1137" s="17"/>
      <c r="P1137" s="17"/>
    </row>
    <row r="1138" spans="1:16" x14ac:dyDescent="0.25">
      <c r="A1138" s="60"/>
      <c r="B1138" s="60"/>
      <c r="C1138" s="60"/>
      <c r="D1138" s="60"/>
      <c r="E1138" s="60"/>
      <c r="F1138" s="60"/>
      <c r="G1138" s="60"/>
      <c r="H1138" s="60"/>
      <c r="I1138" s="60"/>
      <c r="J1138" s="61"/>
      <c r="K1138" s="61"/>
      <c r="L1138" s="65"/>
      <c r="M1138" s="64"/>
      <c r="N1138" s="17"/>
      <c r="O1138" s="17"/>
      <c r="P1138" s="17"/>
    </row>
    <row r="1139" spans="1:16" x14ac:dyDescent="0.25">
      <c r="A1139" s="60"/>
      <c r="B1139" s="60"/>
      <c r="C1139" s="60"/>
      <c r="D1139" s="60"/>
      <c r="E1139" s="60"/>
      <c r="F1139" s="60"/>
      <c r="G1139" s="60"/>
      <c r="H1139" s="60"/>
      <c r="I1139" s="60"/>
      <c r="J1139" s="61"/>
      <c r="K1139" s="61"/>
      <c r="L1139" s="62"/>
      <c r="M1139" s="63"/>
      <c r="N1139" s="17"/>
      <c r="O1139" s="17"/>
      <c r="P1139" s="17"/>
    </row>
    <row r="1140" spans="1:16" x14ac:dyDescent="0.25">
      <c r="A1140" s="60"/>
      <c r="B1140" s="60"/>
      <c r="C1140" s="60"/>
      <c r="D1140" s="60"/>
      <c r="E1140" s="60"/>
      <c r="F1140" s="60"/>
      <c r="G1140" s="60"/>
      <c r="H1140" s="60"/>
      <c r="I1140" s="60"/>
      <c r="J1140" s="61"/>
      <c r="K1140" s="61"/>
      <c r="L1140" s="65"/>
      <c r="M1140" s="64"/>
      <c r="N1140" s="17"/>
      <c r="O1140" s="17"/>
      <c r="P1140" s="17"/>
    </row>
    <row r="1141" spans="1:16" x14ac:dyDescent="0.25">
      <c r="A1141" s="60"/>
      <c r="B1141" s="60"/>
      <c r="C1141" s="60"/>
      <c r="D1141" s="60"/>
      <c r="E1141" s="60"/>
      <c r="F1141" s="60"/>
      <c r="G1141" s="60"/>
      <c r="H1141" s="60"/>
      <c r="I1141" s="60"/>
      <c r="J1141" s="61"/>
      <c r="K1141" s="61"/>
      <c r="L1141" s="65"/>
      <c r="M1141" s="64"/>
      <c r="N1141" s="17"/>
      <c r="O1141" s="17"/>
      <c r="P1141" s="17"/>
    </row>
    <row r="1142" spans="1:16" x14ac:dyDescent="0.25">
      <c r="A1142" s="60"/>
      <c r="B1142" s="60"/>
      <c r="C1142" s="60"/>
      <c r="D1142" s="60"/>
      <c r="E1142" s="60"/>
      <c r="F1142" s="60"/>
      <c r="G1142" s="60"/>
      <c r="H1142" s="60"/>
      <c r="I1142" s="60"/>
      <c r="J1142" s="61"/>
      <c r="K1142" s="61"/>
      <c r="L1142" s="65"/>
      <c r="M1142" s="64"/>
      <c r="N1142" s="17"/>
      <c r="O1142" s="17"/>
      <c r="P1142" s="17"/>
    </row>
    <row r="1143" spans="1:16" x14ac:dyDescent="0.25">
      <c r="A1143" s="60"/>
      <c r="B1143" s="60"/>
      <c r="C1143" s="60"/>
      <c r="D1143" s="60"/>
      <c r="E1143" s="60"/>
      <c r="F1143" s="60"/>
      <c r="G1143" s="60"/>
      <c r="H1143" s="60"/>
      <c r="I1143" s="60"/>
      <c r="J1143" s="61"/>
      <c r="K1143" s="61"/>
      <c r="L1143" s="65"/>
      <c r="M1143" s="64"/>
      <c r="N1143" s="17"/>
      <c r="O1143" s="17"/>
      <c r="P1143" s="17"/>
    </row>
    <row r="1144" spans="1:16" x14ac:dyDescent="0.25">
      <c r="A1144" s="60"/>
      <c r="B1144" s="60"/>
      <c r="C1144" s="60"/>
      <c r="D1144" s="60"/>
      <c r="E1144" s="60"/>
      <c r="F1144" s="60"/>
      <c r="G1144" s="60"/>
      <c r="H1144" s="60"/>
      <c r="I1144" s="60"/>
      <c r="J1144" s="61"/>
      <c r="K1144" s="61"/>
      <c r="L1144" s="62"/>
      <c r="M1144" s="63"/>
      <c r="N1144" s="17"/>
      <c r="O1144" s="17"/>
      <c r="P1144" s="17"/>
    </row>
    <row r="1145" spans="1:16" x14ac:dyDescent="0.25">
      <c r="A1145" s="60"/>
      <c r="B1145" s="60"/>
      <c r="C1145" s="60"/>
      <c r="D1145" s="60"/>
      <c r="E1145" s="60"/>
      <c r="F1145" s="60"/>
      <c r="G1145" s="60"/>
      <c r="H1145" s="60"/>
      <c r="I1145" s="60"/>
      <c r="J1145" s="61"/>
      <c r="K1145" s="61"/>
      <c r="L1145" s="62"/>
      <c r="M1145" s="64"/>
      <c r="N1145" s="17"/>
      <c r="O1145" s="17"/>
      <c r="P1145" s="17"/>
    </row>
    <row r="1146" spans="1:16" x14ac:dyDescent="0.25">
      <c r="A1146" s="60"/>
      <c r="B1146" s="60"/>
      <c r="C1146" s="60"/>
      <c r="D1146" s="60"/>
      <c r="E1146" s="60"/>
      <c r="F1146" s="60"/>
      <c r="G1146" s="60"/>
      <c r="H1146" s="60"/>
      <c r="I1146" s="60"/>
      <c r="J1146" s="61"/>
      <c r="K1146" s="61"/>
      <c r="L1146" s="62"/>
      <c r="M1146" s="63"/>
      <c r="N1146" s="17"/>
      <c r="O1146" s="17"/>
      <c r="P1146" s="17"/>
    </row>
    <row r="1147" spans="1:16" x14ac:dyDescent="0.25">
      <c r="A1147" s="60"/>
      <c r="B1147" s="60"/>
      <c r="C1147" s="60"/>
      <c r="D1147" s="60"/>
      <c r="E1147" s="60"/>
      <c r="F1147" s="60"/>
      <c r="G1147" s="60"/>
      <c r="H1147" s="60"/>
      <c r="I1147" s="60"/>
      <c r="J1147" s="61"/>
      <c r="K1147" s="61"/>
      <c r="L1147" s="62"/>
      <c r="M1147" s="64"/>
      <c r="N1147" s="17"/>
      <c r="O1147" s="17"/>
      <c r="P1147" s="17"/>
    </row>
    <row r="1148" spans="1:16" x14ac:dyDescent="0.25">
      <c r="A1148" s="60"/>
      <c r="B1148" s="60"/>
      <c r="C1148" s="60"/>
      <c r="D1148" s="60"/>
      <c r="E1148" s="60"/>
      <c r="F1148" s="60"/>
      <c r="G1148" s="60"/>
      <c r="H1148" s="60"/>
      <c r="I1148" s="60"/>
      <c r="J1148" s="61"/>
      <c r="K1148" s="61"/>
      <c r="L1148" s="65"/>
      <c r="M1148" s="64"/>
      <c r="N1148" s="17"/>
      <c r="O1148" s="17"/>
      <c r="P1148" s="17"/>
    </row>
    <row r="1149" spans="1:16" x14ac:dyDescent="0.25">
      <c r="A1149" s="60"/>
      <c r="B1149" s="60"/>
      <c r="C1149" s="60"/>
      <c r="D1149" s="60"/>
      <c r="E1149" s="60"/>
      <c r="F1149" s="60"/>
      <c r="G1149" s="60"/>
      <c r="H1149" s="60"/>
      <c r="I1149" s="60"/>
      <c r="J1149" s="61"/>
      <c r="K1149" s="61"/>
      <c r="L1149" s="65"/>
      <c r="M1149" s="64"/>
      <c r="N1149" s="17"/>
      <c r="O1149" s="17"/>
      <c r="P1149" s="17"/>
    </row>
    <row r="1150" spans="1:16" x14ac:dyDescent="0.25">
      <c r="A1150" s="60"/>
      <c r="B1150" s="60"/>
      <c r="C1150" s="60"/>
      <c r="D1150" s="60"/>
      <c r="E1150" s="60"/>
      <c r="F1150" s="60"/>
      <c r="G1150" s="60"/>
      <c r="H1150" s="60"/>
      <c r="I1150" s="60"/>
      <c r="J1150" s="61"/>
      <c r="K1150" s="61"/>
      <c r="L1150" s="65"/>
      <c r="M1150" s="64"/>
      <c r="N1150" s="17"/>
      <c r="O1150" s="17"/>
      <c r="P1150" s="17"/>
    </row>
    <row r="1151" spans="1:16" x14ac:dyDescent="0.25">
      <c r="A1151" s="60"/>
      <c r="B1151" s="60"/>
      <c r="C1151" s="60"/>
      <c r="D1151" s="60"/>
      <c r="E1151" s="60"/>
      <c r="F1151" s="60"/>
      <c r="G1151" s="60"/>
      <c r="H1151" s="60"/>
      <c r="I1151" s="60"/>
      <c r="J1151" s="61"/>
      <c r="K1151" s="61"/>
      <c r="L1151" s="62"/>
      <c r="M1151" s="64"/>
      <c r="N1151" s="17"/>
      <c r="O1151" s="17"/>
      <c r="P1151" s="17"/>
    </row>
    <row r="1152" spans="1:16" x14ac:dyDescent="0.25">
      <c r="A1152" s="60"/>
      <c r="B1152" s="60"/>
      <c r="C1152" s="60"/>
      <c r="D1152" s="60"/>
      <c r="E1152" s="60"/>
      <c r="F1152" s="60"/>
      <c r="G1152" s="60"/>
      <c r="H1152" s="60"/>
      <c r="I1152" s="60"/>
      <c r="J1152" s="61"/>
      <c r="K1152" s="61"/>
      <c r="L1152" s="62"/>
      <c r="M1152" s="64"/>
      <c r="N1152" s="17"/>
      <c r="O1152" s="17"/>
      <c r="P1152" s="17"/>
    </row>
    <row r="1153" spans="1:16" x14ac:dyDescent="0.25">
      <c r="A1153" s="60"/>
      <c r="B1153" s="60"/>
      <c r="C1153" s="60"/>
      <c r="D1153" s="60"/>
      <c r="E1153" s="60"/>
      <c r="F1153" s="60"/>
      <c r="G1153" s="60"/>
      <c r="H1153" s="60"/>
      <c r="I1153" s="60"/>
      <c r="J1153" s="61"/>
      <c r="K1153" s="61"/>
      <c r="L1153" s="62"/>
      <c r="M1153" s="64"/>
      <c r="N1153" s="17"/>
      <c r="O1153" s="17"/>
      <c r="P1153" s="17"/>
    </row>
    <row r="1154" spans="1:16" x14ac:dyDescent="0.25">
      <c r="A1154" s="60"/>
      <c r="B1154" s="60"/>
      <c r="C1154" s="60"/>
      <c r="D1154" s="60"/>
      <c r="E1154" s="60"/>
      <c r="F1154" s="60"/>
      <c r="G1154" s="60"/>
      <c r="H1154" s="60"/>
      <c r="I1154" s="60"/>
      <c r="J1154" s="61"/>
      <c r="K1154" s="61"/>
      <c r="L1154" s="62"/>
      <c r="M1154" s="64"/>
      <c r="N1154" s="17"/>
      <c r="O1154" s="17"/>
      <c r="P1154" s="17"/>
    </row>
    <row r="1155" spans="1:16" x14ac:dyDescent="0.25">
      <c r="A1155" s="60"/>
      <c r="B1155" s="60"/>
      <c r="C1155" s="60"/>
      <c r="D1155" s="60"/>
      <c r="E1155" s="60"/>
      <c r="F1155" s="60"/>
      <c r="G1155" s="60"/>
      <c r="H1155" s="60"/>
      <c r="I1155" s="60"/>
      <c r="J1155" s="61"/>
      <c r="K1155" s="61"/>
      <c r="L1155" s="62"/>
      <c r="M1155" s="64"/>
      <c r="N1155" s="17"/>
      <c r="O1155" s="17"/>
      <c r="P1155" s="17"/>
    </row>
    <row r="1156" spans="1:16" x14ac:dyDescent="0.25">
      <c r="A1156" s="60"/>
      <c r="B1156" s="60"/>
      <c r="C1156" s="60"/>
      <c r="D1156" s="60"/>
      <c r="E1156" s="60"/>
      <c r="F1156" s="60"/>
      <c r="G1156" s="60"/>
      <c r="H1156" s="60"/>
      <c r="I1156" s="60"/>
      <c r="J1156" s="61"/>
      <c r="K1156" s="61"/>
      <c r="L1156" s="62"/>
      <c r="M1156" s="64"/>
      <c r="N1156" s="17"/>
      <c r="O1156" s="17"/>
      <c r="P1156" s="17"/>
    </row>
    <row r="1157" spans="1:16" x14ac:dyDescent="0.25">
      <c r="A1157" s="60"/>
      <c r="B1157" s="60"/>
      <c r="C1157" s="60"/>
      <c r="D1157" s="60"/>
      <c r="E1157" s="60"/>
      <c r="F1157" s="60"/>
      <c r="G1157" s="60"/>
      <c r="H1157" s="60"/>
      <c r="I1157" s="60"/>
      <c r="J1157" s="61"/>
      <c r="K1157" s="61"/>
      <c r="L1157" s="65"/>
      <c r="M1157" s="64"/>
      <c r="N1157" s="17"/>
      <c r="O1157" s="17"/>
      <c r="P1157" s="17"/>
    </row>
    <row r="1158" spans="1:16" x14ac:dyDescent="0.25">
      <c r="A1158" s="60"/>
      <c r="B1158" s="60"/>
      <c r="C1158" s="60"/>
      <c r="D1158" s="60"/>
      <c r="E1158" s="60"/>
      <c r="F1158" s="60"/>
      <c r="G1158" s="60"/>
      <c r="H1158" s="60"/>
      <c r="I1158" s="60"/>
      <c r="J1158" s="61"/>
      <c r="K1158" s="61"/>
      <c r="L1158" s="62"/>
      <c r="M1158" s="63"/>
      <c r="N1158" s="17"/>
      <c r="O1158" s="17"/>
      <c r="P1158" s="17"/>
    </row>
    <row r="1159" spans="1:16" x14ac:dyDescent="0.25">
      <c r="A1159" s="60"/>
      <c r="B1159" s="60"/>
      <c r="C1159" s="60"/>
      <c r="D1159" s="60"/>
      <c r="E1159" s="60"/>
      <c r="F1159" s="60"/>
      <c r="G1159" s="60"/>
      <c r="H1159" s="60"/>
      <c r="I1159" s="60"/>
      <c r="J1159" s="61"/>
      <c r="K1159" s="61"/>
      <c r="L1159" s="62"/>
      <c r="M1159" s="64"/>
      <c r="N1159" s="17"/>
      <c r="O1159" s="17"/>
      <c r="P1159" s="17"/>
    </row>
    <row r="1160" spans="1:16" x14ac:dyDescent="0.25">
      <c r="A1160" s="60"/>
      <c r="B1160" s="60"/>
      <c r="C1160" s="60"/>
      <c r="D1160" s="60"/>
      <c r="E1160" s="60"/>
      <c r="F1160" s="60"/>
      <c r="G1160" s="60"/>
      <c r="H1160" s="60"/>
      <c r="I1160" s="60"/>
      <c r="J1160" s="61"/>
      <c r="K1160" s="61"/>
      <c r="L1160" s="62"/>
      <c r="M1160" s="63"/>
      <c r="N1160" s="17"/>
      <c r="O1160" s="17"/>
      <c r="P1160" s="17"/>
    </row>
    <row r="1161" spans="1:16" x14ac:dyDescent="0.25">
      <c r="A1161" s="60"/>
      <c r="B1161" s="60"/>
      <c r="C1161" s="60"/>
      <c r="D1161" s="60"/>
      <c r="E1161" s="60"/>
      <c r="F1161" s="60"/>
      <c r="G1161" s="60"/>
      <c r="H1161" s="60"/>
      <c r="I1161" s="60"/>
      <c r="J1161" s="61"/>
      <c r="K1161" s="61"/>
      <c r="L1161" s="62"/>
      <c r="M1161" s="63"/>
      <c r="N1161" s="17"/>
      <c r="O1161" s="17"/>
      <c r="P1161" s="17"/>
    </row>
    <row r="1162" spans="1:16" x14ac:dyDescent="0.25">
      <c r="A1162" s="60"/>
      <c r="B1162" s="60"/>
      <c r="C1162" s="60"/>
      <c r="D1162" s="60"/>
      <c r="E1162" s="60"/>
      <c r="F1162" s="60"/>
      <c r="G1162" s="60"/>
      <c r="H1162" s="60"/>
      <c r="I1162" s="60"/>
      <c r="J1162" s="61"/>
      <c r="K1162" s="61"/>
      <c r="L1162" s="62"/>
      <c r="M1162" s="64"/>
      <c r="N1162" s="17"/>
      <c r="O1162" s="17"/>
      <c r="P1162" s="17"/>
    </row>
    <row r="1163" spans="1:16" x14ac:dyDescent="0.25">
      <c r="A1163" s="60"/>
      <c r="B1163" s="60"/>
      <c r="C1163" s="60"/>
      <c r="D1163" s="60"/>
      <c r="E1163" s="60"/>
      <c r="F1163" s="60"/>
      <c r="G1163" s="60"/>
      <c r="H1163" s="60"/>
      <c r="I1163" s="60"/>
      <c r="J1163" s="61"/>
      <c r="K1163" s="61"/>
      <c r="L1163" s="62"/>
      <c r="M1163" s="63"/>
      <c r="N1163" s="17"/>
      <c r="O1163" s="17"/>
      <c r="P1163" s="17"/>
    </row>
    <row r="1164" spans="1:16" x14ac:dyDescent="0.25">
      <c r="A1164" s="60"/>
      <c r="B1164" s="60"/>
      <c r="C1164" s="60"/>
      <c r="D1164" s="60"/>
      <c r="E1164" s="60"/>
      <c r="F1164" s="60"/>
      <c r="G1164" s="60"/>
      <c r="H1164" s="60"/>
      <c r="I1164" s="60"/>
      <c r="J1164" s="61"/>
      <c r="K1164" s="61"/>
      <c r="L1164" s="62"/>
      <c r="M1164" s="63"/>
      <c r="N1164" s="17"/>
      <c r="O1164" s="17"/>
      <c r="P1164" s="17"/>
    </row>
    <row r="1165" spans="1:16" x14ac:dyDescent="0.25">
      <c r="A1165" s="60"/>
      <c r="B1165" s="60"/>
      <c r="C1165" s="60"/>
      <c r="D1165" s="60"/>
      <c r="E1165" s="60"/>
      <c r="F1165" s="60"/>
      <c r="G1165" s="60"/>
      <c r="H1165" s="60"/>
      <c r="I1165" s="60"/>
      <c r="J1165" s="61"/>
      <c r="K1165" s="61"/>
      <c r="L1165" s="62"/>
      <c r="M1165" s="64"/>
      <c r="N1165" s="17"/>
      <c r="O1165" s="17"/>
      <c r="P1165" s="17"/>
    </row>
    <row r="1166" spans="1:16" x14ac:dyDescent="0.25">
      <c r="A1166" s="60"/>
      <c r="B1166" s="60"/>
      <c r="C1166" s="60"/>
      <c r="D1166" s="60"/>
      <c r="E1166" s="60"/>
      <c r="F1166" s="60"/>
      <c r="G1166" s="60"/>
      <c r="H1166" s="60"/>
      <c r="I1166" s="60"/>
      <c r="J1166" s="61"/>
      <c r="K1166" s="61"/>
      <c r="L1166" s="62"/>
      <c r="M1166" s="63"/>
      <c r="N1166" s="17"/>
      <c r="O1166" s="17"/>
      <c r="P1166" s="17"/>
    </row>
    <row r="1167" spans="1:16" x14ac:dyDescent="0.25">
      <c r="A1167" s="60"/>
      <c r="B1167" s="60"/>
      <c r="C1167" s="60"/>
      <c r="D1167" s="60"/>
      <c r="E1167" s="60"/>
      <c r="F1167" s="60"/>
      <c r="G1167" s="60"/>
      <c r="H1167" s="60"/>
      <c r="I1167" s="60"/>
      <c r="J1167" s="61"/>
      <c r="K1167" s="61"/>
      <c r="L1167" s="62"/>
      <c r="M1167" s="64"/>
      <c r="N1167" s="17"/>
      <c r="O1167" s="17"/>
      <c r="P1167" s="17"/>
    </row>
    <row r="1168" spans="1:16" x14ac:dyDescent="0.25">
      <c r="A1168" s="60"/>
      <c r="B1168" s="60"/>
      <c r="C1168" s="60"/>
      <c r="D1168" s="60"/>
      <c r="E1168" s="60"/>
      <c r="F1168" s="60"/>
      <c r="G1168" s="60"/>
      <c r="H1168" s="60"/>
      <c r="I1168" s="60"/>
      <c r="J1168" s="61"/>
      <c r="K1168" s="61"/>
      <c r="L1168" s="62"/>
      <c r="M1168" s="64"/>
      <c r="N1168" s="17"/>
      <c r="O1168" s="17"/>
      <c r="P1168" s="17"/>
    </row>
    <row r="1169" spans="1:16" x14ac:dyDescent="0.25">
      <c r="A1169" s="60"/>
      <c r="B1169" s="60"/>
      <c r="C1169" s="60"/>
      <c r="D1169" s="60"/>
      <c r="E1169" s="60"/>
      <c r="F1169" s="60"/>
      <c r="G1169" s="60"/>
      <c r="H1169" s="60"/>
      <c r="I1169" s="60"/>
      <c r="J1169" s="61"/>
      <c r="K1169" s="61"/>
      <c r="L1169" s="62"/>
      <c r="M1169" s="64"/>
      <c r="N1169" s="17"/>
      <c r="O1169" s="17"/>
      <c r="P1169" s="17"/>
    </row>
    <row r="1170" spans="1:16" x14ac:dyDescent="0.25">
      <c r="A1170" s="60"/>
      <c r="B1170" s="60"/>
      <c r="C1170" s="60"/>
      <c r="D1170" s="60"/>
      <c r="E1170" s="60"/>
      <c r="F1170" s="60"/>
      <c r="G1170" s="60"/>
      <c r="H1170" s="60"/>
      <c r="I1170" s="60"/>
      <c r="J1170" s="61"/>
      <c r="K1170" s="61"/>
      <c r="L1170" s="62"/>
      <c r="M1170" s="63"/>
      <c r="N1170" s="17"/>
      <c r="O1170" s="17"/>
      <c r="P1170" s="17"/>
    </row>
    <row r="1171" spans="1:16" x14ac:dyDescent="0.25">
      <c r="A1171" s="60"/>
      <c r="B1171" s="60"/>
      <c r="C1171" s="60"/>
      <c r="D1171" s="60"/>
      <c r="E1171" s="60"/>
      <c r="F1171" s="60"/>
      <c r="G1171" s="60"/>
      <c r="H1171" s="60"/>
      <c r="I1171" s="60"/>
      <c r="J1171" s="61"/>
      <c r="K1171" s="61"/>
      <c r="L1171" s="62"/>
      <c r="M1171" s="63"/>
      <c r="N1171" s="17"/>
      <c r="O1171" s="17"/>
      <c r="P1171" s="17"/>
    </row>
    <row r="1172" spans="1:16" x14ac:dyDescent="0.25">
      <c r="A1172" s="60"/>
      <c r="B1172" s="60"/>
      <c r="C1172" s="60"/>
      <c r="D1172" s="60"/>
      <c r="E1172" s="60"/>
      <c r="F1172" s="60"/>
      <c r="G1172" s="60"/>
      <c r="H1172" s="60"/>
      <c r="I1172" s="60"/>
      <c r="J1172" s="61"/>
      <c r="K1172" s="61"/>
      <c r="L1172" s="65"/>
      <c r="M1172" s="64"/>
      <c r="N1172" s="17"/>
      <c r="O1172" s="17"/>
      <c r="P1172" s="17"/>
    </row>
    <row r="1173" spans="1:16" x14ac:dyDescent="0.25">
      <c r="A1173" s="60"/>
      <c r="B1173" s="60"/>
      <c r="C1173" s="60"/>
      <c r="D1173" s="60"/>
      <c r="E1173" s="60"/>
      <c r="F1173" s="60"/>
      <c r="G1173" s="60"/>
      <c r="H1173" s="60"/>
      <c r="I1173" s="60"/>
      <c r="J1173" s="61"/>
      <c r="K1173" s="61"/>
      <c r="L1173" s="65"/>
      <c r="M1173" s="64"/>
      <c r="N1173" s="17"/>
      <c r="O1173" s="17"/>
      <c r="P1173" s="17"/>
    </row>
    <row r="1174" spans="1:16" x14ac:dyDescent="0.25">
      <c r="A1174" s="60"/>
      <c r="B1174" s="60"/>
      <c r="C1174" s="60"/>
      <c r="D1174" s="60"/>
      <c r="E1174" s="60"/>
      <c r="F1174" s="60"/>
      <c r="G1174" s="60"/>
      <c r="H1174" s="60"/>
      <c r="I1174" s="60"/>
      <c r="J1174" s="61"/>
      <c r="K1174" s="61"/>
      <c r="L1174" s="65"/>
      <c r="M1174" s="64"/>
      <c r="N1174" s="17"/>
      <c r="O1174" s="17"/>
      <c r="P1174" s="17"/>
    </row>
    <row r="1175" spans="1:16" x14ac:dyDescent="0.25">
      <c r="A1175" s="60"/>
      <c r="B1175" s="60"/>
      <c r="C1175" s="60"/>
      <c r="D1175" s="60"/>
      <c r="E1175" s="60"/>
      <c r="F1175" s="60"/>
      <c r="G1175" s="60"/>
      <c r="H1175" s="60"/>
      <c r="I1175" s="60"/>
      <c r="J1175" s="61"/>
      <c r="K1175" s="61"/>
      <c r="L1175" s="62"/>
      <c r="M1175" s="63"/>
      <c r="N1175" s="17"/>
      <c r="O1175" s="17"/>
      <c r="P1175" s="17"/>
    </row>
    <row r="1176" spans="1:16" x14ac:dyDescent="0.25">
      <c r="A1176" s="60"/>
      <c r="B1176" s="60"/>
      <c r="C1176" s="60"/>
      <c r="D1176" s="60"/>
      <c r="E1176" s="60"/>
      <c r="F1176" s="60"/>
      <c r="G1176" s="60"/>
      <c r="H1176" s="60"/>
      <c r="I1176" s="60"/>
      <c r="J1176" s="61"/>
      <c r="K1176" s="61"/>
      <c r="L1176" s="62"/>
      <c r="M1176" s="64"/>
      <c r="N1176" s="17"/>
      <c r="O1176" s="17"/>
      <c r="P1176" s="17"/>
    </row>
    <row r="1177" spans="1:16" x14ac:dyDescent="0.25">
      <c r="A1177" s="60"/>
      <c r="B1177" s="60"/>
      <c r="C1177" s="60"/>
      <c r="D1177" s="60"/>
      <c r="E1177" s="60"/>
      <c r="F1177" s="60"/>
      <c r="G1177" s="60"/>
      <c r="H1177" s="60"/>
      <c r="I1177" s="60"/>
      <c r="J1177" s="61"/>
      <c r="K1177" s="61"/>
      <c r="L1177" s="65"/>
      <c r="M1177" s="64"/>
      <c r="N1177" s="17"/>
      <c r="O1177" s="17"/>
      <c r="P1177" s="17"/>
    </row>
    <row r="1178" spans="1:16" x14ac:dyDescent="0.25">
      <c r="A1178" s="60"/>
      <c r="B1178" s="60"/>
      <c r="C1178" s="60"/>
      <c r="D1178" s="60"/>
      <c r="E1178" s="60"/>
      <c r="F1178" s="60"/>
      <c r="G1178" s="60"/>
      <c r="H1178" s="60"/>
      <c r="I1178" s="60"/>
      <c r="J1178" s="61"/>
      <c r="K1178" s="61"/>
      <c r="L1178" s="65"/>
      <c r="M1178" s="64"/>
      <c r="N1178" s="17"/>
      <c r="O1178" s="17"/>
      <c r="P1178" s="17"/>
    </row>
    <row r="1179" spans="1:16" x14ac:dyDescent="0.25">
      <c r="A1179" s="60"/>
      <c r="B1179" s="60"/>
      <c r="C1179" s="60"/>
      <c r="D1179" s="60"/>
      <c r="E1179" s="60"/>
      <c r="F1179" s="60"/>
      <c r="G1179" s="60"/>
      <c r="H1179" s="60"/>
      <c r="I1179" s="60"/>
      <c r="J1179" s="61"/>
      <c r="K1179" s="61"/>
      <c r="L1179" s="65"/>
      <c r="M1179" s="64"/>
      <c r="N1179" s="17"/>
      <c r="O1179" s="17"/>
      <c r="P1179" s="17"/>
    </row>
    <row r="1180" spans="1:16" x14ac:dyDescent="0.25">
      <c r="A1180" s="60"/>
      <c r="B1180" s="60"/>
      <c r="C1180" s="60"/>
      <c r="D1180" s="60"/>
      <c r="E1180" s="60"/>
      <c r="F1180" s="60"/>
      <c r="G1180" s="60"/>
      <c r="H1180" s="60"/>
      <c r="I1180" s="60"/>
      <c r="J1180" s="61"/>
      <c r="K1180" s="61"/>
      <c r="L1180" s="65"/>
      <c r="M1180" s="64"/>
      <c r="N1180" s="17"/>
      <c r="O1180" s="17"/>
      <c r="P1180" s="17"/>
    </row>
    <row r="1181" spans="1:16" x14ac:dyDescent="0.25">
      <c r="A1181" s="60"/>
      <c r="B1181" s="60"/>
      <c r="C1181" s="60"/>
      <c r="D1181" s="60"/>
      <c r="E1181" s="60"/>
      <c r="F1181" s="60"/>
      <c r="G1181" s="60"/>
      <c r="H1181" s="60"/>
      <c r="I1181" s="60"/>
      <c r="J1181" s="61"/>
      <c r="K1181" s="61"/>
      <c r="L1181" s="62"/>
      <c r="M1181" s="63"/>
      <c r="N1181" s="17"/>
      <c r="O1181" s="17"/>
      <c r="P1181" s="17"/>
    </row>
    <row r="1182" spans="1:16" x14ac:dyDescent="0.25">
      <c r="A1182" s="60"/>
      <c r="B1182" s="60"/>
      <c r="C1182" s="60"/>
      <c r="D1182" s="60"/>
      <c r="E1182" s="60"/>
      <c r="F1182" s="60"/>
      <c r="G1182" s="60"/>
      <c r="H1182" s="60"/>
      <c r="I1182" s="60"/>
      <c r="J1182" s="61"/>
      <c r="K1182" s="61"/>
      <c r="L1182" s="65"/>
      <c r="M1182" s="64"/>
      <c r="N1182" s="17"/>
      <c r="O1182" s="17"/>
      <c r="P1182" s="17"/>
    </row>
    <row r="1183" spans="1:16" x14ac:dyDescent="0.25">
      <c r="A1183" s="60"/>
      <c r="B1183" s="60"/>
      <c r="C1183" s="60"/>
      <c r="D1183" s="60"/>
      <c r="E1183" s="60"/>
      <c r="F1183" s="60"/>
      <c r="G1183" s="60"/>
      <c r="H1183" s="60"/>
      <c r="I1183" s="60"/>
      <c r="J1183" s="61"/>
      <c r="K1183" s="61"/>
      <c r="L1183" s="62"/>
      <c r="M1183" s="64"/>
      <c r="N1183" s="17"/>
      <c r="O1183" s="17"/>
      <c r="P1183" s="17"/>
    </row>
    <row r="1184" spans="1:16" x14ac:dyDescent="0.25">
      <c r="A1184" s="60"/>
      <c r="B1184" s="60"/>
      <c r="C1184" s="60"/>
      <c r="D1184" s="60"/>
      <c r="E1184" s="60"/>
      <c r="F1184" s="60"/>
      <c r="G1184" s="60"/>
      <c r="H1184" s="60"/>
      <c r="I1184" s="60"/>
      <c r="J1184" s="61"/>
      <c r="K1184" s="61"/>
      <c r="L1184" s="62"/>
      <c r="M1184" s="64"/>
      <c r="N1184" s="17"/>
      <c r="O1184" s="17"/>
      <c r="P1184" s="17"/>
    </row>
    <row r="1185" spans="1:16" x14ac:dyDescent="0.25">
      <c r="A1185" s="60"/>
      <c r="B1185" s="60"/>
      <c r="C1185" s="60"/>
      <c r="D1185" s="60"/>
      <c r="E1185" s="60"/>
      <c r="F1185" s="60"/>
      <c r="G1185" s="60"/>
      <c r="H1185" s="60"/>
      <c r="I1185" s="60"/>
      <c r="J1185" s="61"/>
      <c r="K1185" s="61"/>
      <c r="L1185" s="62"/>
      <c r="M1185" s="64"/>
      <c r="N1185" s="17"/>
      <c r="O1185" s="17"/>
      <c r="P1185" s="17"/>
    </row>
    <row r="1186" spans="1:16" x14ac:dyDescent="0.25">
      <c r="A1186" s="60"/>
      <c r="B1186" s="60"/>
      <c r="C1186" s="60"/>
      <c r="D1186" s="60"/>
      <c r="E1186" s="60"/>
      <c r="F1186" s="60"/>
      <c r="G1186" s="60"/>
      <c r="H1186" s="60"/>
      <c r="I1186" s="60"/>
      <c r="J1186" s="61"/>
      <c r="K1186" s="61"/>
      <c r="L1186" s="62"/>
      <c r="M1186" s="64"/>
      <c r="N1186" s="17"/>
      <c r="O1186" s="17"/>
      <c r="P1186" s="17"/>
    </row>
    <row r="1187" spans="1:16" x14ac:dyDescent="0.25">
      <c r="A1187" s="60"/>
      <c r="B1187" s="60"/>
      <c r="C1187" s="60"/>
      <c r="D1187" s="60"/>
      <c r="E1187" s="60"/>
      <c r="F1187" s="60"/>
      <c r="G1187" s="60"/>
      <c r="H1187" s="60"/>
      <c r="I1187" s="60"/>
      <c r="J1187" s="61"/>
      <c r="K1187" s="61"/>
      <c r="L1187" s="62"/>
      <c r="M1187" s="64"/>
      <c r="N1187" s="17"/>
      <c r="O1187" s="17"/>
      <c r="P1187" s="17"/>
    </row>
    <row r="1188" spans="1:16" x14ac:dyDescent="0.25">
      <c r="A1188" s="60"/>
      <c r="B1188" s="60"/>
      <c r="C1188" s="60"/>
      <c r="D1188" s="60"/>
      <c r="E1188" s="60"/>
      <c r="F1188" s="60"/>
      <c r="G1188" s="60"/>
      <c r="H1188" s="60"/>
      <c r="I1188" s="60"/>
      <c r="J1188" s="61"/>
      <c r="K1188" s="61"/>
      <c r="L1188" s="62"/>
      <c r="M1188" s="64"/>
      <c r="N1188" s="17"/>
      <c r="O1188" s="17"/>
      <c r="P1188" s="17"/>
    </row>
    <row r="1189" spans="1:16" x14ac:dyDescent="0.25">
      <c r="A1189" s="60"/>
      <c r="B1189" s="60"/>
      <c r="C1189" s="60"/>
      <c r="D1189" s="60"/>
      <c r="E1189" s="60"/>
      <c r="F1189" s="60"/>
      <c r="G1189" s="60"/>
      <c r="H1189" s="60"/>
      <c r="I1189" s="60"/>
      <c r="J1189" s="61"/>
      <c r="K1189" s="61"/>
      <c r="L1189" s="62"/>
      <c r="M1189" s="64"/>
      <c r="N1189" s="17"/>
      <c r="O1189" s="17"/>
      <c r="P1189" s="17"/>
    </row>
    <row r="1190" spans="1:16" x14ac:dyDescent="0.25">
      <c r="A1190" s="60"/>
      <c r="B1190" s="60"/>
      <c r="C1190" s="60"/>
      <c r="D1190" s="60"/>
      <c r="E1190" s="60"/>
      <c r="F1190" s="60"/>
      <c r="G1190" s="60"/>
      <c r="H1190" s="60"/>
      <c r="I1190" s="60"/>
      <c r="J1190" s="61"/>
      <c r="K1190" s="61"/>
      <c r="L1190" s="62"/>
      <c r="M1190" s="64"/>
      <c r="N1190" s="17"/>
      <c r="O1190" s="17"/>
      <c r="P1190" s="17"/>
    </row>
    <row r="1191" spans="1:16" x14ac:dyDescent="0.25">
      <c r="A1191" s="60"/>
      <c r="B1191" s="60"/>
      <c r="C1191" s="60"/>
      <c r="D1191" s="60"/>
      <c r="E1191" s="60"/>
      <c r="F1191" s="60"/>
      <c r="G1191" s="60"/>
      <c r="H1191" s="60"/>
      <c r="I1191" s="60"/>
      <c r="J1191" s="61"/>
      <c r="K1191" s="61"/>
      <c r="L1191" s="65"/>
      <c r="M1191" s="64"/>
      <c r="N1191" s="17"/>
      <c r="O1191" s="17"/>
      <c r="P1191" s="17"/>
    </row>
    <row r="1192" spans="1:16" x14ac:dyDescent="0.25">
      <c r="A1192" s="60"/>
      <c r="B1192" s="60"/>
      <c r="C1192" s="60"/>
      <c r="D1192" s="60"/>
      <c r="E1192" s="60"/>
      <c r="F1192" s="60"/>
      <c r="G1192" s="60"/>
      <c r="H1192" s="60"/>
      <c r="I1192" s="60"/>
      <c r="J1192" s="61"/>
      <c r="K1192" s="61"/>
      <c r="L1192" s="62"/>
      <c r="M1192" s="63"/>
      <c r="N1192" s="17"/>
      <c r="O1192" s="17"/>
      <c r="P1192" s="17"/>
    </row>
    <row r="1193" spans="1:16" x14ac:dyDescent="0.25">
      <c r="A1193" s="60"/>
      <c r="B1193" s="60"/>
      <c r="C1193" s="60"/>
      <c r="D1193" s="60"/>
      <c r="E1193" s="60"/>
      <c r="F1193" s="60"/>
      <c r="G1193" s="60"/>
      <c r="H1193" s="60"/>
      <c r="I1193" s="60"/>
      <c r="J1193" s="61"/>
      <c r="K1193" s="61"/>
      <c r="L1193" s="62"/>
      <c r="M1193" s="64"/>
      <c r="N1193" s="17"/>
      <c r="O1193" s="17"/>
      <c r="P1193" s="17"/>
    </row>
    <row r="1194" spans="1:16" x14ac:dyDescent="0.25">
      <c r="A1194" s="60"/>
      <c r="B1194" s="60"/>
      <c r="C1194" s="60"/>
      <c r="D1194" s="60"/>
      <c r="E1194" s="60"/>
      <c r="F1194" s="60"/>
      <c r="G1194" s="60"/>
      <c r="H1194" s="60"/>
      <c r="I1194" s="60"/>
      <c r="J1194" s="61"/>
      <c r="K1194" s="61"/>
      <c r="L1194" s="62"/>
      <c r="M1194" s="63"/>
      <c r="N1194" s="17"/>
      <c r="O1194" s="17"/>
      <c r="P1194" s="17"/>
    </row>
    <row r="1195" spans="1:16" x14ac:dyDescent="0.25">
      <c r="A1195" s="60"/>
      <c r="B1195" s="60"/>
      <c r="C1195" s="60"/>
      <c r="D1195" s="60"/>
      <c r="E1195" s="60"/>
      <c r="F1195" s="60"/>
      <c r="G1195" s="60"/>
      <c r="H1195" s="60"/>
      <c r="I1195" s="60"/>
      <c r="J1195" s="61"/>
      <c r="K1195" s="61"/>
      <c r="L1195" s="62"/>
      <c r="M1195" s="63"/>
      <c r="N1195" s="17"/>
      <c r="O1195" s="17"/>
      <c r="P1195" s="17"/>
    </row>
    <row r="1196" spans="1:16" x14ac:dyDescent="0.25">
      <c r="A1196" s="60"/>
      <c r="B1196" s="60"/>
      <c r="C1196" s="60"/>
      <c r="D1196" s="60"/>
      <c r="E1196" s="60"/>
      <c r="F1196" s="60"/>
      <c r="G1196" s="60"/>
      <c r="H1196" s="60"/>
      <c r="I1196" s="60"/>
      <c r="J1196" s="61"/>
      <c r="K1196" s="61"/>
      <c r="L1196" s="62"/>
      <c r="M1196" s="64"/>
      <c r="N1196" s="17"/>
      <c r="O1196" s="17"/>
      <c r="P1196" s="17"/>
    </row>
    <row r="1197" spans="1:16" x14ac:dyDescent="0.25">
      <c r="A1197" s="60"/>
      <c r="B1197" s="60"/>
      <c r="C1197" s="60"/>
      <c r="D1197" s="60"/>
      <c r="E1197" s="60"/>
      <c r="F1197" s="60"/>
      <c r="G1197" s="60"/>
      <c r="H1197" s="60"/>
      <c r="I1197" s="60"/>
      <c r="J1197" s="61"/>
      <c r="K1197" s="61"/>
      <c r="L1197" s="62"/>
      <c r="M1197" s="63"/>
      <c r="N1197" s="17"/>
      <c r="O1197" s="17"/>
      <c r="P1197" s="17"/>
    </row>
    <row r="1198" spans="1:16" x14ac:dyDescent="0.25">
      <c r="A1198" s="60"/>
      <c r="B1198" s="60"/>
      <c r="C1198" s="60"/>
      <c r="D1198" s="60"/>
      <c r="E1198" s="60"/>
      <c r="F1198" s="60"/>
      <c r="G1198" s="60"/>
      <c r="H1198" s="60"/>
      <c r="I1198" s="60"/>
      <c r="J1198" s="61"/>
      <c r="K1198" s="61"/>
      <c r="L1198" s="62"/>
      <c r="M1198" s="63"/>
      <c r="N1198" s="17"/>
      <c r="O1198" s="17"/>
      <c r="P1198" s="17"/>
    </row>
    <row r="1199" spans="1:16" x14ac:dyDescent="0.25">
      <c r="A1199" s="60"/>
      <c r="B1199" s="60"/>
      <c r="C1199" s="60"/>
      <c r="D1199" s="60"/>
      <c r="E1199" s="60"/>
      <c r="F1199" s="60"/>
      <c r="G1199" s="60"/>
      <c r="H1199" s="60"/>
      <c r="I1199" s="60"/>
      <c r="J1199" s="61"/>
      <c r="K1199" s="61"/>
      <c r="L1199" s="62"/>
      <c r="M1199" s="64"/>
      <c r="N1199" s="17"/>
      <c r="O1199" s="17"/>
      <c r="P1199" s="17"/>
    </row>
    <row r="1200" spans="1:16" x14ac:dyDescent="0.25">
      <c r="A1200" s="60"/>
      <c r="B1200" s="60"/>
      <c r="C1200" s="60"/>
      <c r="D1200" s="60"/>
      <c r="E1200" s="60"/>
      <c r="F1200" s="60"/>
      <c r="G1200" s="60"/>
      <c r="H1200" s="60"/>
      <c r="I1200" s="60"/>
      <c r="J1200" s="61"/>
      <c r="K1200" s="61"/>
      <c r="L1200" s="62"/>
      <c r="M1200" s="63"/>
      <c r="N1200" s="17"/>
      <c r="O1200" s="17"/>
      <c r="P1200" s="17"/>
    </row>
    <row r="1201" spans="1:16" x14ac:dyDescent="0.25">
      <c r="A1201" s="60"/>
      <c r="B1201" s="60"/>
      <c r="C1201" s="60"/>
      <c r="D1201" s="60"/>
      <c r="E1201" s="60"/>
      <c r="F1201" s="60"/>
      <c r="G1201" s="60"/>
      <c r="H1201" s="60"/>
      <c r="I1201" s="60"/>
      <c r="J1201" s="61"/>
      <c r="K1201" s="61"/>
      <c r="L1201" s="62"/>
      <c r="M1201" s="64"/>
      <c r="N1201" s="17"/>
      <c r="O1201" s="17"/>
      <c r="P1201" s="17"/>
    </row>
    <row r="1202" spans="1:16" x14ac:dyDescent="0.25">
      <c r="A1202" s="60"/>
      <c r="B1202" s="60"/>
      <c r="C1202" s="60"/>
      <c r="D1202" s="60"/>
      <c r="E1202" s="60"/>
      <c r="F1202" s="60"/>
      <c r="G1202" s="60"/>
      <c r="H1202" s="60"/>
      <c r="I1202" s="60"/>
      <c r="J1202" s="61"/>
      <c r="K1202" s="61"/>
      <c r="L1202" s="62"/>
      <c r="M1202" s="64"/>
      <c r="N1202" s="17"/>
      <c r="O1202" s="17"/>
      <c r="P1202" s="17"/>
    </row>
    <row r="1203" spans="1:16" x14ac:dyDescent="0.25">
      <c r="A1203" s="60"/>
      <c r="B1203" s="60"/>
      <c r="C1203" s="60"/>
      <c r="D1203" s="60"/>
      <c r="E1203" s="60"/>
      <c r="F1203" s="60"/>
      <c r="G1203" s="60"/>
      <c r="H1203" s="60"/>
      <c r="I1203" s="60"/>
      <c r="J1203" s="61"/>
      <c r="K1203" s="61"/>
      <c r="L1203" s="62"/>
      <c r="M1203" s="64"/>
      <c r="N1203" s="17"/>
      <c r="O1203" s="17"/>
      <c r="P1203" s="17"/>
    </row>
    <row r="1204" spans="1:16" x14ac:dyDescent="0.25">
      <c r="A1204" s="60"/>
      <c r="B1204" s="60"/>
      <c r="C1204" s="60"/>
      <c r="D1204" s="60"/>
      <c r="E1204" s="60"/>
      <c r="F1204" s="60"/>
      <c r="G1204" s="60"/>
      <c r="H1204" s="60"/>
      <c r="I1204" s="60"/>
      <c r="J1204" s="61"/>
      <c r="K1204" s="61"/>
      <c r="L1204" s="62"/>
      <c r="M1204" s="63"/>
      <c r="N1204" s="17"/>
      <c r="O1204" s="17"/>
      <c r="P1204" s="17"/>
    </row>
    <row r="1205" spans="1:16" x14ac:dyDescent="0.25">
      <c r="A1205" s="60"/>
      <c r="B1205" s="60"/>
      <c r="C1205" s="60"/>
      <c r="D1205" s="60"/>
      <c r="E1205" s="60"/>
      <c r="F1205" s="60"/>
      <c r="G1205" s="60"/>
      <c r="H1205" s="60"/>
      <c r="I1205" s="60"/>
      <c r="J1205" s="61"/>
      <c r="K1205" s="61"/>
      <c r="L1205" s="62"/>
      <c r="M1205" s="64"/>
      <c r="N1205" s="17"/>
      <c r="O1205" s="17"/>
      <c r="P1205" s="17"/>
    </row>
    <row r="1206" spans="1:16" x14ac:dyDescent="0.25">
      <c r="A1206" s="60"/>
      <c r="B1206" s="60"/>
      <c r="C1206" s="60"/>
      <c r="D1206" s="60"/>
      <c r="E1206" s="60"/>
      <c r="F1206" s="60"/>
      <c r="G1206" s="60"/>
      <c r="H1206" s="60"/>
      <c r="I1206" s="60"/>
      <c r="J1206" s="61"/>
      <c r="K1206" s="61"/>
      <c r="L1206" s="65"/>
      <c r="M1206" s="64"/>
      <c r="N1206" s="17"/>
      <c r="O1206" s="17"/>
      <c r="P1206" s="17"/>
    </row>
    <row r="1207" spans="1:16" x14ac:dyDescent="0.25">
      <c r="A1207" s="60"/>
      <c r="B1207" s="60"/>
      <c r="C1207" s="60"/>
      <c r="D1207" s="60"/>
      <c r="E1207" s="60"/>
      <c r="F1207" s="60"/>
      <c r="G1207" s="60"/>
      <c r="H1207" s="60"/>
      <c r="I1207" s="60"/>
      <c r="J1207" s="61"/>
      <c r="K1207" s="61"/>
      <c r="L1207" s="65"/>
      <c r="M1207" s="64"/>
      <c r="N1207" s="17"/>
      <c r="O1207" s="17"/>
      <c r="P1207" s="17"/>
    </row>
    <row r="1208" spans="1:16" x14ac:dyDescent="0.25">
      <c r="A1208" s="60"/>
      <c r="B1208" s="60"/>
      <c r="C1208" s="60"/>
      <c r="D1208" s="60"/>
      <c r="E1208" s="60"/>
      <c r="F1208" s="60"/>
      <c r="G1208" s="60"/>
      <c r="H1208" s="60"/>
      <c r="I1208" s="60"/>
      <c r="J1208" s="61"/>
      <c r="K1208" s="61"/>
      <c r="L1208" s="62"/>
      <c r="M1208" s="64"/>
      <c r="N1208" s="17"/>
      <c r="O1208" s="17"/>
      <c r="P1208" s="17"/>
    </row>
    <row r="1209" spans="1:16" x14ac:dyDescent="0.25">
      <c r="A1209" s="60"/>
      <c r="B1209" s="60"/>
      <c r="C1209" s="60"/>
      <c r="D1209" s="60"/>
      <c r="E1209" s="60"/>
      <c r="F1209" s="60"/>
      <c r="G1209" s="60"/>
      <c r="H1209" s="60"/>
      <c r="I1209" s="60"/>
      <c r="J1209" s="61"/>
      <c r="K1209" s="61"/>
      <c r="L1209" s="62"/>
      <c r="M1209" s="64"/>
      <c r="N1209" s="17"/>
      <c r="O1209" s="17"/>
      <c r="P1209" s="17"/>
    </row>
    <row r="1210" spans="1:16" x14ac:dyDescent="0.25">
      <c r="A1210" s="60"/>
      <c r="B1210" s="60"/>
      <c r="C1210" s="60"/>
      <c r="D1210" s="60"/>
      <c r="E1210" s="60"/>
      <c r="F1210" s="60"/>
      <c r="G1210" s="60"/>
      <c r="H1210" s="60"/>
      <c r="I1210" s="60"/>
      <c r="J1210" s="61"/>
      <c r="K1210" s="61"/>
      <c r="L1210" s="62"/>
      <c r="M1210" s="64"/>
      <c r="N1210" s="17"/>
      <c r="O1210" s="17"/>
      <c r="P1210" s="17"/>
    </row>
    <row r="1211" spans="1:16" x14ac:dyDescent="0.25">
      <c r="A1211" s="60"/>
      <c r="B1211" s="60"/>
      <c r="C1211" s="60"/>
      <c r="D1211" s="60"/>
      <c r="E1211" s="60"/>
      <c r="F1211" s="60"/>
      <c r="G1211" s="60"/>
      <c r="H1211" s="60"/>
      <c r="I1211" s="60"/>
      <c r="J1211" s="61"/>
      <c r="K1211" s="61"/>
      <c r="L1211" s="62"/>
      <c r="M1211" s="64"/>
      <c r="N1211" s="17"/>
      <c r="O1211" s="17"/>
      <c r="P1211" s="17"/>
    </row>
    <row r="1212" spans="1:16" x14ac:dyDescent="0.25">
      <c r="A1212" s="60"/>
      <c r="B1212" s="60"/>
      <c r="C1212" s="60"/>
      <c r="D1212" s="60"/>
      <c r="E1212" s="60"/>
      <c r="F1212" s="60"/>
      <c r="G1212" s="60"/>
      <c r="H1212" s="60"/>
      <c r="I1212" s="60"/>
      <c r="J1212" s="61"/>
      <c r="K1212" s="61"/>
      <c r="L1212" s="62"/>
      <c r="M1212" s="63"/>
      <c r="N1212" s="17"/>
      <c r="O1212" s="17"/>
      <c r="P1212" s="17"/>
    </row>
    <row r="1213" spans="1:16" x14ac:dyDescent="0.25">
      <c r="A1213" s="60"/>
      <c r="B1213" s="60"/>
      <c r="C1213" s="60"/>
      <c r="D1213" s="60"/>
      <c r="E1213" s="60"/>
      <c r="F1213" s="60"/>
      <c r="G1213" s="60"/>
      <c r="H1213" s="60"/>
      <c r="I1213" s="60"/>
      <c r="J1213" s="61"/>
      <c r="K1213" s="61"/>
      <c r="L1213" s="62"/>
      <c r="M1213" s="63"/>
      <c r="N1213" s="17"/>
      <c r="O1213" s="17"/>
      <c r="P1213" s="17"/>
    </row>
    <row r="1214" spans="1:16" x14ac:dyDescent="0.25">
      <c r="A1214" s="60"/>
      <c r="B1214" s="60"/>
      <c r="C1214" s="60"/>
      <c r="D1214" s="60"/>
      <c r="E1214" s="60"/>
      <c r="F1214" s="60"/>
      <c r="G1214" s="60"/>
      <c r="H1214" s="60"/>
      <c r="I1214" s="60"/>
      <c r="J1214" s="61"/>
      <c r="K1214" s="61"/>
      <c r="L1214" s="65"/>
      <c r="M1214" s="64"/>
      <c r="N1214" s="17"/>
      <c r="O1214" s="17"/>
      <c r="P1214" s="17"/>
    </row>
    <row r="1215" spans="1:16" x14ac:dyDescent="0.25">
      <c r="A1215" s="60"/>
      <c r="B1215" s="60"/>
      <c r="C1215" s="60"/>
      <c r="D1215" s="60"/>
      <c r="E1215" s="60"/>
      <c r="F1215" s="60"/>
      <c r="G1215" s="60"/>
      <c r="H1215" s="60"/>
      <c r="I1215" s="60"/>
      <c r="J1215" s="61"/>
      <c r="K1215" s="61"/>
      <c r="L1215" s="62"/>
      <c r="M1215" s="64"/>
      <c r="N1215" s="17"/>
      <c r="O1215" s="17"/>
      <c r="P1215" s="17"/>
    </row>
    <row r="1216" spans="1:16" x14ac:dyDescent="0.25">
      <c r="A1216" s="60"/>
      <c r="B1216" s="60"/>
      <c r="C1216" s="60"/>
      <c r="D1216" s="60"/>
      <c r="E1216" s="60"/>
      <c r="F1216" s="60"/>
      <c r="G1216" s="60"/>
      <c r="H1216" s="60"/>
      <c r="I1216" s="60"/>
      <c r="J1216" s="61"/>
      <c r="K1216" s="61"/>
      <c r="L1216" s="62"/>
      <c r="M1216" s="64"/>
      <c r="N1216" s="17"/>
      <c r="O1216" s="17"/>
      <c r="P1216" s="17"/>
    </row>
    <row r="1217" spans="1:16" x14ac:dyDescent="0.25">
      <c r="A1217" s="60"/>
      <c r="B1217" s="60"/>
      <c r="C1217" s="60"/>
      <c r="D1217" s="60"/>
      <c r="E1217" s="60"/>
      <c r="F1217" s="60"/>
      <c r="G1217" s="60"/>
      <c r="H1217" s="60"/>
      <c r="I1217" s="60"/>
      <c r="J1217" s="61"/>
      <c r="K1217" s="61"/>
      <c r="L1217" s="62"/>
      <c r="M1217" s="64"/>
      <c r="N1217" s="17"/>
      <c r="O1217" s="17"/>
      <c r="P1217" s="17"/>
    </row>
    <row r="1218" spans="1:16" x14ac:dyDescent="0.25">
      <c r="A1218" s="60"/>
      <c r="B1218" s="60"/>
      <c r="C1218" s="60"/>
      <c r="D1218" s="60"/>
      <c r="E1218" s="60"/>
      <c r="F1218" s="60"/>
      <c r="G1218" s="60"/>
      <c r="H1218" s="60"/>
      <c r="I1218" s="60"/>
      <c r="J1218" s="61"/>
      <c r="K1218" s="61"/>
      <c r="L1218" s="65"/>
      <c r="M1218" s="64"/>
      <c r="N1218" s="17"/>
      <c r="O1218" s="17"/>
      <c r="P1218" s="17"/>
    </row>
    <row r="1219" spans="1:16" x14ac:dyDescent="0.25">
      <c r="A1219" s="60"/>
      <c r="B1219" s="60"/>
      <c r="C1219" s="60"/>
      <c r="D1219" s="60"/>
      <c r="E1219" s="60"/>
      <c r="F1219" s="60"/>
      <c r="G1219" s="60"/>
      <c r="H1219" s="60"/>
      <c r="I1219" s="60"/>
      <c r="J1219" s="61"/>
      <c r="K1219" s="61"/>
      <c r="L1219" s="65"/>
      <c r="M1219" s="64"/>
      <c r="N1219" s="17"/>
      <c r="O1219" s="17"/>
      <c r="P1219" s="17"/>
    </row>
    <row r="1220" spans="1:16" x14ac:dyDescent="0.25">
      <c r="A1220" s="60"/>
      <c r="B1220" s="60"/>
      <c r="C1220" s="60"/>
      <c r="D1220" s="60"/>
      <c r="E1220" s="60"/>
      <c r="F1220" s="60"/>
      <c r="G1220" s="60"/>
      <c r="H1220" s="60"/>
      <c r="I1220" s="60"/>
      <c r="J1220" s="61"/>
      <c r="K1220" s="61"/>
      <c r="L1220" s="62"/>
      <c r="M1220" s="64"/>
      <c r="N1220" s="17"/>
      <c r="O1220" s="17"/>
      <c r="P1220" s="17"/>
    </row>
    <row r="1221" spans="1:16" x14ac:dyDescent="0.25">
      <c r="A1221" s="60"/>
      <c r="B1221" s="60"/>
      <c r="C1221" s="60"/>
      <c r="D1221" s="60"/>
      <c r="E1221" s="60"/>
      <c r="F1221" s="60"/>
      <c r="G1221" s="60"/>
      <c r="H1221" s="60"/>
      <c r="I1221" s="60"/>
      <c r="J1221" s="61"/>
      <c r="K1221" s="61"/>
      <c r="L1221" s="62"/>
      <c r="M1221" s="63"/>
      <c r="N1221" s="17"/>
      <c r="O1221" s="17"/>
      <c r="P1221" s="17"/>
    </row>
    <row r="1222" spans="1:16" x14ac:dyDescent="0.25">
      <c r="A1222" s="60"/>
      <c r="B1222" s="60"/>
      <c r="C1222" s="60"/>
      <c r="D1222" s="60"/>
      <c r="E1222" s="60"/>
      <c r="F1222" s="60"/>
      <c r="G1222" s="60"/>
      <c r="H1222" s="60"/>
      <c r="I1222" s="60"/>
      <c r="J1222" s="61"/>
      <c r="K1222" s="61"/>
      <c r="L1222" s="62"/>
      <c r="M1222" s="64"/>
      <c r="N1222" s="17"/>
      <c r="O1222" s="17"/>
      <c r="P1222" s="17"/>
    </row>
    <row r="1223" spans="1:16" x14ac:dyDescent="0.25">
      <c r="A1223" s="60"/>
      <c r="B1223" s="60"/>
      <c r="C1223" s="60"/>
      <c r="D1223" s="60"/>
      <c r="E1223" s="60"/>
      <c r="F1223" s="60"/>
      <c r="G1223" s="60"/>
      <c r="H1223" s="60"/>
      <c r="I1223" s="60"/>
      <c r="J1223" s="61"/>
      <c r="K1223" s="61"/>
      <c r="L1223" s="65"/>
      <c r="M1223" s="64"/>
      <c r="N1223" s="17"/>
      <c r="O1223" s="17"/>
      <c r="P1223" s="17"/>
    </row>
    <row r="1224" spans="1:16" x14ac:dyDescent="0.25">
      <c r="A1224" s="60"/>
      <c r="B1224" s="60"/>
      <c r="C1224" s="60"/>
      <c r="D1224" s="60"/>
      <c r="E1224" s="60"/>
      <c r="F1224" s="60"/>
      <c r="G1224" s="60"/>
      <c r="H1224" s="60"/>
      <c r="I1224" s="60"/>
      <c r="J1224" s="61"/>
      <c r="K1224" s="61"/>
      <c r="L1224" s="62"/>
      <c r="M1224" s="63"/>
      <c r="N1224" s="17"/>
      <c r="O1224" s="17"/>
      <c r="P1224" s="17"/>
    </row>
    <row r="1225" spans="1:16" x14ac:dyDescent="0.25">
      <c r="A1225" s="60"/>
      <c r="B1225" s="60"/>
      <c r="C1225" s="60"/>
      <c r="D1225" s="60"/>
      <c r="E1225" s="60"/>
      <c r="F1225" s="60"/>
      <c r="G1225" s="60"/>
      <c r="H1225" s="60"/>
      <c r="I1225" s="60"/>
      <c r="J1225" s="61"/>
      <c r="K1225" s="61"/>
      <c r="L1225" s="62"/>
      <c r="M1225" s="64"/>
      <c r="N1225" s="17"/>
      <c r="O1225" s="17"/>
      <c r="P1225" s="17"/>
    </row>
    <row r="1226" spans="1:16" x14ac:dyDescent="0.25">
      <c r="A1226" s="60"/>
      <c r="B1226" s="60"/>
      <c r="C1226" s="60"/>
      <c r="D1226" s="60"/>
      <c r="E1226" s="60"/>
      <c r="F1226" s="60"/>
      <c r="G1226" s="60"/>
      <c r="H1226" s="60"/>
      <c r="I1226" s="60"/>
      <c r="J1226" s="61"/>
      <c r="K1226" s="61"/>
      <c r="L1226" s="65"/>
      <c r="M1226" s="64"/>
      <c r="N1226" s="17"/>
      <c r="O1226" s="17"/>
      <c r="P1226" s="17"/>
    </row>
    <row r="1227" spans="1:16" x14ac:dyDescent="0.25">
      <c r="A1227" s="60"/>
      <c r="B1227" s="60"/>
      <c r="C1227" s="60"/>
      <c r="D1227" s="60"/>
      <c r="E1227" s="60"/>
      <c r="F1227" s="60"/>
      <c r="G1227" s="60"/>
      <c r="H1227" s="60"/>
      <c r="I1227" s="60"/>
      <c r="J1227" s="61"/>
      <c r="K1227" s="61"/>
      <c r="L1227" s="62"/>
      <c r="M1227" s="64"/>
      <c r="N1227" s="17"/>
      <c r="O1227" s="17"/>
      <c r="P1227" s="17"/>
    </row>
    <row r="1228" spans="1:16" x14ac:dyDescent="0.25">
      <c r="A1228" s="60"/>
      <c r="B1228" s="60"/>
      <c r="C1228" s="60"/>
      <c r="D1228" s="60"/>
      <c r="E1228" s="60"/>
      <c r="F1228" s="60"/>
      <c r="G1228" s="60"/>
      <c r="H1228" s="60"/>
      <c r="I1228" s="60"/>
      <c r="J1228" s="61"/>
      <c r="K1228" s="61"/>
      <c r="L1228" s="62"/>
      <c r="M1228" s="63"/>
      <c r="N1228" s="17"/>
      <c r="O1228" s="17"/>
      <c r="P1228" s="17"/>
    </row>
    <row r="1229" spans="1:16" x14ac:dyDescent="0.25">
      <c r="A1229" s="60"/>
      <c r="B1229" s="60"/>
      <c r="C1229" s="60"/>
      <c r="D1229" s="60"/>
      <c r="E1229" s="60"/>
      <c r="F1229" s="60"/>
      <c r="G1229" s="60"/>
      <c r="H1229" s="60"/>
      <c r="I1229" s="60"/>
      <c r="J1229" s="61"/>
      <c r="K1229" s="61"/>
      <c r="L1229" s="65"/>
      <c r="M1229" s="64"/>
      <c r="N1229" s="17"/>
      <c r="O1229" s="17"/>
      <c r="P1229" s="17"/>
    </row>
    <row r="1230" spans="1:16" x14ac:dyDescent="0.25">
      <c r="A1230" s="60"/>
      <c r="B1230" s="60"/>
      <c r="C1230" s="60"/>
      <c r="D1230" s="60"/>
      <c r="E1230" s="60"/>
      <c r="F1230" s="60"/>
      <c r="G1230" s="60"/>
      <c r="H1230" s="60"/>
      <c r="I1230" s="60"/>
      <c r="J1230" s="61"/>
      <c r="K1230" s="61"/>
      <c r="L1230" s="62"/>
      <c r="M1230" s="63"/>
      <c r="N1230" s="17"/>
      <c r="O1230" s="17"/>
      <c r="P1230" s="17"/>
    </row>
    <row r="1231" spans="1:16" x14ac:dyDescent="0.25">
      <c r="A1231" s="60"/>
      <c r="B1231" s="60"/>
      <c r="C1231" s="60"/>
      <c r="D1231" s="60"/>
      <c r="E1231" s="60"/>
      <c r="F1231" s="60"/>
      <c r="G1231" s="60"/>
      <c r="H1231" s="60"/>
      <c r="I1231" s="60"/>
      <c r="J1231" s="61"/>
      <c r="K1231" s="61"/>
      <c r="L1231" s="62"/>
      <c r="M1231" s="63"/>
      <c r="N1231" s="17"/>
      <c r="O1231" s="17"/>
      <c r="P1231" s="17"/>
    </row>
    <row r="1232" spans="1:16" x14ac:dyDescent="0.25">
      <c r="A1232" s="60"/>
      <c r="B1232" s="60"/>
      <c r="C1232" s="60"/>
      <c r="D1232" s="60"/>
      <c r="E1232" s="60"/>
      <c r="F1232" s="60"/>
      <c r="G1232" s="60"/>
      <c r="H1232" s="60"/>
      <c r="I1232" s="60"/>
      <c r="J1232" s="61"/>
      <c r="K1232" s="61"/>
      <c r="L1232" s="62"/>
      <c r="M1232" s="63"/>
      <c r="N1232" s="17"/>
      <c r="O1232" s="17"/>
      <c r="P1232" s="17"/>
    </row>
    <row r="1233" spans="1:16" x14ac:dyDescent="0.25">
      <c r="A1233" s="60"/>
      <c r="B1233" s="60"/>
      <c r="C1233" s="60"/>
      <c r="D1233" s="60"/>
      <c r="E1233" s="60"/>
      <c r="F1233" s="60"/>
      <c r="G1233" s="60"/>
      <c r="H1233" s="60"/>
      <c r="I1233" s="60"/>
      <c r="J1233" s="61"/>
      <c r="K1233" s="61"/>
      <c r="L1233" s="62"/>
      <c r="M1233" s="63"/>
      <c r="N1233" s="17"/>
      <c r="O1233" s="17"/>
      <c r="P1233" s="17"/>
    </row>
    <row r="1234" spans="1:16" x14ac:dyDescent="0.25">
      <c r="A1234" s="60"/>
      <c r="B1234" s="60"/>
      <c r="C1234" s="60"/>
      <c r="D1234" s="60"/>
      <c r="E1234" s="60"/>
      <c r="F1234" s="60"/>
      <c r="G1234" s="60"/>
      <c r="H1234" s="60"/>
      <c r="I1234" s="60"/>
      <c r="J1234" s="61"/>
      <c r="K1234" s="61"/>
      <c r="L1234" s="62"/>
      <c r="M1234" s="64"/>
      <c r="N1234" s="17"/>
      <c r="O1234" s="17"/>
      <c r="P1234" s="17"/>
    </row>
    <row r="1235" spans="1:16" x14ac:dyDescent="0.25">
      <c r="A1235" s="60"/>
      <c r="B1235" s="60"/>
      <c r="C1235" s="60"/>
      <c r="D1235" s="60"/>
      <c r="E1235" s="60"/>
      <c r="F1235" s="60"/>
      <c r="G1235" s="60"/>
      <c r="H1235" s="60"/>
      <c r="I1235" s="60"/>
      <c r="J1235" s="61"/>
      <c r="K1235" s="61"/>
      <c r="L1235" s="62"/>
      <c r="M1235" s="63"/>
      <c r="N1235" s="17"/>
      <c r="O1235" s="17"/>
      <c r="P1235" s="17"/>
    </row>
    <row r="1236" spans="1:16" x14ac:dyDescent="0.25">
      <c r="A1236" s="60"/>
      <c r="B1236" s="60"/>
      <c r="C1236" s="60"/>
      <c r="D1236" s="60"/>
      <c r="E1236" s="60"/>
      <c r="F1236" s="60"/>
      <c r="G1236" s="60"/>
      <c r="H1236" s="60"/>
      <c r="I1236" s="60"/>
      <c r="J1236" s="61"/>
      <c r="K1236" s="61"/>
      <c r="L1236" s="62"/>
      <c r="M1236" s="64"/>
      <c r="N1236" s="17"/>
      <c r="O1236" s="17"/>
      <c r="P1236" s="17"/>
    </row>
    <row r="1237" spans="1:16" x14ac:dyDescent="0.25">
      <c r="A1237" s="60"/>
      <c r="B1237" s="60"/>
      <c r="C1237" s="60"/>
      <c r="D1237" s="60"/>
      <c r="E1237" s="60"/>
      <c r="F1237" s="60"/>
      <c r="G1237" s="60"/>
      <c r="H1237" s="60"/>
      <c r="I1237" s="60"/>
      <c r="J1237" s="61"/>
      <c r="K1237" s="61"/>
      <c r="L1237" s="65"/>
      <c r="M1237" s="64"/>
      <c r="N1237" s="17"/>
      <c r="O1237" s="17"/>
      <c r="P1237" s="17"/>
    </row>
    <row r="1238" spans="1:16" x14ac:dyDescent="0.25">
      <c r="A1238" s="60"/>
      <c r="B1238" s="60"/>
      <c r="C1238" s="60"/>
      <c r="D1238" s="60"/>
      <c r="E1238" s="60"/>
      <c r="F1238" s="60"/>
      <c r="G1238" s="60"/>
      <c r="H1238" s="60"/>
      <c r="I1238" s="60"/>
      <c r="J1238" s="61"/>
      <c r="K1238" s="61"/>
      <c r="L1238" s="62"/>
      <c r="M1238" s="64"/>
      <c r="N1238" s="17"/>
      <c r="O1238" s="17"/>
      <c r="P1238" s="17"/>
    </row>
    <row r="1239" spans="1:16" x14ac:dyDescent="0.25">
      <c r="A1239" s="60"/>
      <c r="B1239" s="60"/>
      <c r="C1239" s="60"/>
      <c r="D1239" s="60"/>
      <c r="E1239" s="60"/>
      <c r="F1239" s="60"/>
      <c r="G1239" s="60"/>
      <c r="H1239" s="60"/>
      <c r="I1239" s="60"/>
      <c r="J1239" s="61"/>
      <c r="K1239" s="61"/>
      <c r="L1239" s="62"/>
      <c r="M1239" s="64"/>
      <c r="N1239" s="17"/>
      <c r="O1239" s="17"/>
      <c r="P1239" s="17"/>
    </row>
    <row r="1240" spans="1:16" x14ac:dyDescent="0.25">
      <c r="A1240" s="60"/>
      <c r="B1240" s="60"/>
      <c r="C1240" s="60"/>
      <c r="D1240" s="60"/>
      <c r="E1240" s="60"/>
      <c r="F1240" s="60"/>
      <c r="G1240" s="60"/>
      <c r="H1240" s="60"/>
      <c r="I1240" s="60"/>
      <c r="J1240" s="61"/>
      <c r="K1240" s="61"/>
      <c r="L1240" s="62"/>
      <c r="M1240" s="63"/>
      <c r="N1240" s="17"/>
      <c r="O1240" s="17"/>
      <c r="P1240" s="17"/>
    </row>
    <row r="1241" spans="1:16" x14ac:dyDescent="0.25">
      <c r="A1241" s="60"/>
      <c r="B1241" s="60"/>
      <c r="C1241" s="60"/>
      <c r="D1241" s="60"/>
      <c r="E1241" s="60"/>
      <c r="F1241" s="60"/>
      <c r="G1241" s="60"/>
      <c r="H1241" s="60"/>
      <c r="I1241" s="60"/>
      <c r="J1241" s="61"/>
      <c r="K1241" s="61"/>
      <c r="L1241" s="62"/>
      <c r="M1241" s="63"/>
      <c r="N1241" s="17"/>
      <c r="O1241" s="17"/>
      <c r="P1241" s="17"/>
    </row>
    <row r="1242" spans="1:16" x14ac:dyDescent="0.25">
      <c r="A1242" s="60"/>
      <c r="B1242" s="60"/>
      <c r="C1242" s="60"/>
      <c r="D1242" s="60"/>
      <c r="E1242" s="60"/>
      <c r="F1242" s="60"/>
      <c r="G1242" s="60"/>
      <c r="H1242" s="60"/>
      <c r="I1242" s="60"/>
      <c r="J1242" s="61"/>
      <c r="K1242" s="61"/>
      <c r="L1242" s="62"/>
      <c r="M1242" s="64"/>
      <c r="N1242" s="17"/>
      <c r="O1242" s="17"/>
      <c r="P1242" s="17"/>
    </row>
    <row r="1243" spans="1:16" x14ac:dyDescent="0.25">
      <c r="A1243" s="60"/>
      <c r="B1243" s="60"/>
      <c r="C1243" s="60"/>
      <c r="D1243" s="60"/>
      <c r="E1243" s="60"/>
      <c r="F1243" s="60"/>
      <c r="G1243" s="60"/>
      <c r="H1243" s="60"/>
      <c r="I1243" s="60"/>
      <c r="J1243" s="61"/>
      <c r="K1243" s="61"/>
      <c r="L1243" s="62"/>
      <c r="M1243" s="64"/>
      <c r="N1243" s="17"/>
      <c r="O1243" s="17"/>
      <c r="P1243" s="17"/>
    </row>
    <row r="1244" spans="1:16" x14ac:dyDescent="0.25">
      <c r="A1244" s="60"/>
      <c r="B1244" s="60"/>
      <c r="C1244" s="60"/>
      <c r="D1244" s="60"/>
      <c r="E1244" s="60"/>
      <c r="F1244" s="60"/>
      <c r="G1244" s="60"/>
      <c r="H1244" s="60"/>
      <c r="I1244" s="60"/>
      <c r="J1244" s="61"/>
      <c r="K1244" s="61"/>
      <c r="L1244" s="62"/>
      <c r="M1244" s="63"/>
      <c r="N1244" s="17"/>
      <c r="O1244" s="17"/>
      <c r="P1244" s="17"/>
    </row>
    <row r="1245" spans="1:16" x14ac:dyDescent="0.25">
      <c r="A1245" s="60"/>
      <c r="B1245" s="60"/>
      <c r="C1245" s="60"/>
      <c r="D1245" s="60"/>
      <c r="E1245" s="60"/>
      <c r="F1245" s="60"/>
      <c r="G1245" s="60"/>
      <c r="H1245" s="60"/>
      <c r="I1245" s="60"/>
      <c r="J1245" s="61"/>
      <c r="K1245" s="61"/>
      <c r="L1245" s="65"/>
      <c r="M1245" s="64"/>
      <c r="N1245" s="17"/>
      <c r="O1245" s="17"/>
      <c r="P1245" s="17"/>
    </row>
    <row r="1246" spans="1:16" x14ac:dyDescent="0.25">
      <c r="A1246" s="60"/>
      <c r="B1246" s="60"/>
      <c r="C1246" s="60"/>
      <c r="D1246" s="60"/>
      <c r="E1246" s="60"/>
      <c r="F1246" s="60"/>
      <c r="G1246" s="60"/>
      <c r="H1246" s="60"/>
      <c r="I1246" s="60"/>
      <c r="J1246" s="61"/>
      <c r="K1246" s="61"/>
      <c r="L1246" s="62"/>
      <c r="M1246" s="63"/>
      <c r="N1246" s="17"/>
      <c r="O1246" s="17"/>
      <c r="P1246" s="17"/>
    </row>
    <row r="1247" spans="1:16" x14ac:dyDescent="0.25">
      <c r="A1247" s="60"/>
      <c r="B1247" s="60"/>
      <c r="C1247" s="60"/>
      <c r="D1247" s="60"/>
      <c r="E1247" s="60"/>
      <c r="F1247" s="60"/>
      <c r="G1247" s="60"/>
      <c r="H1247" s="60"/>
      <c r="I1247" s="60"/>
      <c r="J1247" s="61"/>
      <c r="K1247" s="61"/>
      <c r="L1247" s="65"/>
      <c r="M1247" s="64"/>
      <c r="N1247" s="17"/>
      <c r="O1247" s="17"/>
      <c r="P1247" s="17"/>
    </row>
    <row r="1248" spans="1:16" x14ac:dyDescent="0.25">
      <c r="A1248" s="60"/>
      <c r="B1248" s="60"/>
      <c r="C1248" s="60"/>
      <c r="D1248" s="60"/>
      <c r="E1248" s="60"/>
      <c r="F1248" s="60"/>
      <c r="G1248" s="60"/>
      <c r="H1248" s="60"/>
      <c r="I1248" s="60"/>
      <c r="J1248" s="61"/>
      <c r="K1248" s="61"/>
      <c r="L1248" s="62"/>
      <c r="M1248" s="63"/>
      <c r="N1248" s="17"/>
      <c r="O1248" s="17"/>
      <c r="P1248" s="17"/>
    </row>
    <row r="1249" spans="1:16" x14ac:dyDescent="0.25">
      <c r="A1249" s="60"/>
      <c r="B1249" s="60"/>
      <c r="C1249" s="60"/>
      <c r="D1249" s="60"/>
      <c r="E1249" s="60"/>
      <c r="F1249" s="60"/>
      <c r="G1249" s="60"/>
      <c r="H1249" s="60"/>
      <c r="I1249" s="60"/>
      <c r="J1249" s="61"/>
      <c r="K1249" s="61"/>
      <c r="L1249" s="62"/>
      <c r="M1249" s="63"/>
      <c r="N1249" s="17"/>
      <c r="O1249" s="17"/>
      <c r="P1249" s="17"/>
    </row>
    <row r="1250" spans="1:16" x14ac:dyDescent="0.25">
      <c r="A1250" s="60"/>
      <c r="B1250" s="60"/>
      <c r="C1250" s="60"/>
      <c r="D1250" s="60"/>
      <c r="E1250" s="60"/>
      <c r="F1250" s="60"/>
      <c r="G1250" s="60"/>
      <c r="H1250" s="60"/>
      <c r="I1250" s="60"/>
      <c r="J1250" s="61"/>
      <c r="K1250" s="61"/>
      <c r="L1250" s="62"/>
      <c r="M1250" s="64"/>
      <c r="N1250" s="17"/>
      <c r="O1250" s="17"/>
      <c r="P1250" s="17"/>
    </row>
    <row r="1251" spans="1:16" x14ac:dyDescent="0.25">
      <c r="A1251" s="60"/>
      <c r="B1251" s="60"/>
      <c r="C1251" s="60"/>
      <c r="D1251" s="60"/>
      <c r="E1251" s="60"/>
      <c r="F1251" s="60"/>
      <c r="G1251" s="60"/>
      <c r="H1251" s="60"/>
      <c r="I1251" s="60"/>
      <c r="J1251" s="61"/>
      <c r="K1251" s="61"/>
      <c r="L1251" s="62"/>
      <c r="M1251" s="64"/>
      <c r="N1251" s="17"/>
      <c r="O1251" s="17"/>
      <c r="P1251" s="17"/>
    </row>
    <row r="1252" spans="1:16" x14ac:dyDescent="0.25">
      <c r="A1252" s="60"/>
      <c r="B1252" s="60"/>
      <c r="C1252" s="60"/>
      <c r="D1252" s="60"/>
      <c r="E1252" s="60"/>
      <c r="F1252" s="60"/>
      <c r="G1252" s="60"/>
      <c r="H1252" s="60"/>
      <c r="I1252" s="60"/>
      <c r="J1252" s="61"/>
      <c r="K1252" s="61"/>
      <c r="L1252" s="65"/>
      <c r="M1252" s="64"/>
      <c r="N1252" s="17"/>
      <c r="O1252" s="17"/>
      <c r="P1252" s="17"/>
    </row>
    <row r="1253" spans="1:16" x14ac:dyDescent="0.25">
      <c r="A1253" s="60"/>
      <c r="B1253" s="60"/>
      <c r="C1253" s="60"/>
      <c r="D1253" s="60"/>
      <c r="E1253" s="60"/>
      <c r="F1253" s="60"/>
      <c r="G1253" s="60"/>
      <c r="H1253" s="60"/>
      <c r="I1253" s="60"/>
      <c r="J1253" s="61"/>
      <c r="K1253" s="61"/>
      <c r="L1253" s="65"/>
      <c r="M1253" s="64"/>
      <c r="N1253" s="17"/>
      <c r="O1253" s="17"/>
      <c r="P1253" s="17"/>
    </row>
    <row r="1254" spans="1:16" x14ac:dyDescent="0.25">
      <c r="A1254" s="60"/>
      <c r="B1254" s="60"/>
      <c r="C1254" s="60"/>
      <c r="D1254" s="60"/>
      <c r="E1254" s="60"/>
      <c r="F1254" s="60"/>
      <c r="G1254" s="60"/>
      <c r="H1254" s="60"/>
      <c r="I1254" s="60"/>
      <c r="J1254" s="61"/>
      <c r="K1254" s="61"/>
      <c r="L1254" s="65"/>
      <c r="M1254" s="64"/>
      <c r="N1254" s="17"/>
      <c r="O1254" s="17"/>
      <c r="P1254" s="17"/>
    </row>
    <row r="1255" spans="1:16" x14ac:dyDescent="0.25">
      <c r="A1255" s="60"/>
      <c r="B1255" s="60"/>
      <c r="C1255" s="60"/>
      <c r="D1255" s="60"/>
      <c r="E1255" s="60"/>
      <c r="F1255" s="60"/>
      <c r="G1255" s="60"/>
      <c r="H1255" s="60"/>
      <c r="I1255" s="60"/>
      <c r="J1255" s="61"/>
      <c r="K1255" s="61"/>
      <c r="L1255" s="65"/>
      <c r="M1255" s="64"/>
      <c r="N1255" s="17"/>
      <c r="O1255" s="17"/>
      <c r="P1255" s="17"/>
    </row>
    <row r="1256" spans="1:16" x14ac:dyDescent="0.25">
      <c r="A1256" s="60"/>
      <c r="B1256" s="60"/>
      <c r="C1256" s="60"/>
      <c r="D1256" s="60"/>
      <c r="E1256" s="60"/>
      <c r="F1256" s="60"/>
      <c r="G1256" s="60"/>
      <c r="H1256" s="60"/>
      <c r="I1256" s="60"/>
      <c r="J1256" s="61"/>
      <c r="K1256" s="61"/>
      <c r="L1256" s="62"/>
      <c r="M1256" s="64"/>
      <c r="N1256" s="17"/>
      <c r="O1256" s="17"/>
      <c r="P1256" s="17"/>
    </row>
    <row r="1257" spans="1:16" x14ac:dyDescent="0.25">
      <c r="A1257" s="60"/>
      <c r="B1257" s="60"/>
      <c r="C1257" s="60"/>
      <c r="D1257" s="60"/>
      <c r="E1257" s="60"/>
      <c r="F1257" s="60"/>
      <c r="G1257" s="60"/>
      <c r="H1257" s="60"/>
      <c r="I1257" s="60"/>
      <c r="J1257" s="61"/>
      <c r="K1257" s="61"/>
      <c r="L1257" s="62"/>
      <c r="M1257" s="64"/>
      <c r="N1257" s="17"/>
      <c r="O1257" s="17"/>
      <c r="P1257" s="17"/>
    </row>
    <row r="1258" spans="1:16" x14ac:dyDescent="0.25">
      <c r="A1258" s="60"/>
      <c r="B1258" s="60"/>
      <c r="C1258" s="60"/>
      <c r="D1258" s="60"/>
      <c r="E1258" s="60"/>
      <c r="F1258" s="60"/>
      <c r="G1258" s="60"/>
      <c r="H1258" s="60"/>
      <c r="I1258" s="60"/>
      <c r="J1258" s="61"/>
      <c r="K1258" s="61"/>
      <c r="L1258" s="65"/>
      <c r="M1258" s="64"/>
      <c r="N1258" s="17"/>
      <c r="O1258" s="17"/>
      <c r="P1258" s="17"/>
    </row>
    <row r="1259" spans="1:16" x14ac:dyDescent="0.25">
      <c r="A1259" s="60"/>
      <c r="B1259" s="60"/>
      <c r="C1259" s="60"/>
      <c r="D1259" s="60"/>
      <c r="E1259" s="60"/>
      <c r="F1259" s="60"/>
      <c r="G1259" s="60"/>
      <c r="H1259" s="60"/>
      <c r="I1259" s="60"/>
      <c r="J1259" s="61"/>
      <c r="K1259" s="61"/>
      <c r="L1259" s="65"/>
      <c r="M1259" s="64"/>
      <c r="N1259" s="17"/>
      <c r="O1259" s="17"/>
      <c r="P1259" s="17"/>
    </row>
    <row r="1260" spans="1:16" x14ac:dyDescent="0.25">
      <c r="A1260" s="60"/>
      <c r="B1260" s="60"/>
      <c r="C1260" s="60"/>
      <c r="D1260" s="60"/>
      <c r="E1260" s="60"/>
      <c r="F1260" s="60"/>
      <c r="G1260" s="60"/>
      <c r="H1260" s="60"/>
      <c r="I1260" s="60"/>
      <c r="J1260" s="61"/>
      <c r="K1260" s="61"/>
      <c r="L1260" s="62"/>
      <c r="M1260" s="63"/>
      <c r="N1260" s="17"/>
      <c r="O1260" s="17"/>
      <c r="P1260" s="17"/>
    </row>
    <row r="1261" spans="1:16" x14ac:dyDescent="0.25">
      <c r="A1261" s="60"/>
      <c r="B1261" s="60"/>
      <c r="C1261" s="60"/>
      <c r="D1261" s="60"/>
      <c r="E1261" s="60"/>
      <c r="F1261" s="60"/>
      <c r="G1261" s="60"/>
      <c r="H1261" s="60"/>
      <c r="I1261" s="60"/>
      <c r="J1261" s="61"/>
      <c r="K1261" s="61"/>
      <c r="L1261" s="62"/>
      <c r="M1261" s="64"/>
      <c r="N1261" s="17"/>
      <c r="O1261" s="17"/>
      <c r="P1261" s="17"/>
    </row>
    <row r="1262" spans="1:16" x14ac:dyDescent="0.25">
      <c r="A1262" s="60"/>
      <c r="B1262" s="60"/>
      <c r="C1262" s="60"/>
      <c r="D1262" s="60"/>
      <c r="E1262" s="60"/>
      <c r="F1262" s="60"/>
      <c r="G1262" s="60"/>
      <c r="H1262" s="60"/>
      <c r="I1262" s="60"/>
      <c r="J1262" s="61"/>
      <c r="K1262" s="61"/>
      <c r="L1262" s="62"/>
      <c r="M1262" s="63"/>
      <c r="N1262" s="17"/>
      <c r="O1262" s="17"/>
      <c r="P1262" s="17"/>
    </row>
    <row r="1263" spans="1:16" x14ac:dyDescent="0.25">
      <c r="A1263" s="60"/>
      <c r="B1263" s="60"/>
      <c r="C1263" s="60"/>
      <c r="D1263" s="60"/>
      <c r="E1263" s="60"/>
      <c r="F1263" s="60"/>
      <c r="G1263" s="60"/>
      <c r="H1263" s="60"/>
      <c r="I1263" s="60"/>
      <c r="J1263" s="61"/>
      <c r="K1263" s="61"/>
      <c r="L1263" s="62"/>
      <c r="M1263" s="63"/>
      <c r="N1263" s="17"/>
      <c r="O1263" s="17"/>
      <c r="P1263" s="17"/>
    </row>
    <row r="1264" spans="1:16" x14ac:dyDescent="0.25">
      <c r="A1264" s="60"/>
      <c r="B1264" s="60"/>
      <c r="C1264" s="60"/>
      <c r="D1264" s="60"/>
      <c r="E1264" s="60"/>
      <c r="F1264" s="60"/>
      <c r="G1264" s="60"/>
      <c r="H1264" s="60"/>
      <c r="I1264" s="60"/>
      <c r="J1264" s="61"/>
      <c r="K1264" s="61"/>
      <c r="L1264" s="62"/>
      <c r="M1264" s="63"/>
      <c r="N1264" s="17"/>
      <c r="O1264" s="17"/>
      <c r="P1264" s="17"/>
    </row>
    <row r="1265" spans="1:16" x14ac:dyDescent="0.25">
      <c r="A1265" s="60"/>
      <c r="B1265" s="60"/>
      <c r="C1265" s="60"/>
      <c r="D1265" s="60"/>
      <c r="E1265" s="60"/>
      <c r="F1265" s="60"/>
      <c r="G1265" s="60"/>
      <c r="H1265" s="60"/>
      <c r="I1265" s="60"/>
      <c r="J1265" s="61"/>
      <c r="K1265" s="61"/>
      <c r="L1265" s="62"/>
      <c r="M1265" s="63"/>
      <c r="N1265" s="17"/>
      <c r="O1265" s="17"/>
      <c r="P1265" s="17"/>
    </row>
    <row r="1266" spans="1:16" x14ac:dyDescent="0.25">
      <c r="A1266" s="60"/>
      <c r="B1266" s="60"/>
      <c r="C1266" s="60"/>
      <c r="D1266" s="60"/>
      <c r="E1266" s="60"/>
      <c r="F1266" s="60"/>
      <c r="G1266" s="60"/>
      <c r="H1266" s="60"/>
      <c r="I1266" s="60"/>
      <c r="J1266" s="61"/>
      <c r="K1266" s="61"/>
      <c r="L1266" s="62"/>
      <c r="M1266" s="63"/>
      <c r="N1266" s="17"/>
      <c r="O1266" s="17"/>
      <c r="P1266" s="17"/>
    </row>
    <row r="1267" spans="1:16" x14ac:dyDescent="0.25">
      <c r="A1267" s="60"/>
      <c r="B1267" s="60"/>
      <c r="C1267" s="60"/>
      <c r="D1267" s="60"/>
      <c r="E1267" s="60"/>
      <c r="F1267" s="60"/>
      <c r="G1267" s="60"/>
      <c r="H1267" s="60"/>
      <c r="I1267" s="60"/>
      <c r="J1267" s="61"/>
      <c r="K1267" s="61"/>
      <c r="L1267" s="62"/>
      <c r="M1267" s="64"/>
      <c r="N1267" s="17"/>
      <c r="O1267" s="17"/>
      <c r="P1267" s="17"/>
    </row>
    <row r="1268" spans="1:16" x14ac:dyDescent="0.25">
      <c r="A1268" s="60"/>
      <c r="B1268" s="60"/>
      <c r="C1268" s="60"/>
      <c r="D1268" s="60"/>
      <c r="E1268" s="60"/>
      <c r="F1268" s="60"/>
      <c r="G1268" s="60"/>
      <c r="H1268" s="60"/>
      <c r="I1268" s="60"/>
      <c r="J1268" s="61"/>
      <c r="K1268" s="61"/>
      <c r="L1268" s="62"/>
      <c r="M1268" s="64"/>
      <c r="N1268" s="17"/>
      <c r="O1268" s="17"/>
      <c r="P1268" s="17"/>
    </row>
    <row r="1269" spans="1:16" x14ac:dyDescent="0.25">
      <c r="A1269" s="60"/>
      <c r="B1269" s="60"/>
      <c r="C1269" s="60"/>
      <c r="D1269" s="60"/>
      <c r="E1269" s="60"/>
      <c r="F1269" s="60"/>
      <c r="G1269" s="60"/>
      <c r="H1269" s="60"/>
      <c r="I1269" s="60"/>
      <c r="J1269" s="61"/>
      <c r="K1269" s="61"/>
      <c r="L1269" s="62"/>
      <c r="M1269" s="63"/>
      <c r="N1269" s="17"/>
      <c r="O1269" s="17"/>
      <c r="P1269" s="17"/>
    </row>
    <row r="1270" spans="1:16" x14ac:dyDescent="0.25">
      <c r="A1270" s="60"/>
      <c r="B1270" s="60"/>
      <c r="C1270" s="60"/>
      <c r="D1270" s="60"/>
      <c r="E1270" s="60"/>
      <c r="F1270" s="60"/>
      <c r="G1270" s="60"/>
      <c r="H1270" s="60"/>
      <c r="I1270" s="60"/>
      <c r="J1270" s="61"/>
      <c r="K1270" s="61"/>
      <c r="L1270" s="65"/>
      <c r="M1270" s="64"/>
      <c r="N1270" s="17"/>
      <c r="O1270" s="17"/>
      <c r="P1270" s="17"/>
    </row>
    <row r="1271" spans="1:16" x14ac:dyDescent="0.25">
      <c r="A1271" s="60"/>
      <c r="B1271" s="60"/>
      <c r="C1271" s="60"/>
      <c r="D1271" s="60"/>
      <c r="E1271" s="60"/>
      <c r="F1271" s="60"/>
      <c r="G1271" s="60"/>
      <c r="H1271" s="60"/>
      <c r="I1271" s="60"/>
      <c r="J1271" s="61"/>
      <c r="K1271" s="61"/>
      <c r="L1271" s="65"/>
      <c r="M1271" s="64"/>
      <c r="N1271" s="17"/>
      <c r="O1271" s="17"/>
      <c r="P1271" s="17"/>
    </row>
    <row r="1272" spans="1:16" x14ac:dyDescent="0.25">
      <c r="A1272" s="60"/>
      <c r="B1272" s="60"/>
      <c r="C1272" s="60"/>
      <c r="D1272" s="60"/>
      <c r="E1272" s="60"/>
      <c r="F1272" s="60"/>
      <c r="G1272" s="60"/>
      <c r="H1272" s="60"/>
      <c r="I1272" s="60"/>
      <c r="J1272" s="61"/>
      <c r="K1272" s="61"/>
      <c r="L1272" s="65"/>
      <c r="M1272" s="64"/>
      <c r="N1272" s="17"/>
      <c r="O1272" s="17"/>
      <c r="P1272" s="17"/>
    </row>
    <row r="1273" spans="1:16" x14ac:dyDescent="0.25">
      <c r="A1273" s="60"/>
      <c r="B1273" s="60"/>
      <c r="C1273" s="60"/>
      <c r="D1273" s="60"/>
      <c r="E1273" s="60"/>
      <c r="F1273" s="60"/>
      <c r="G1273" s="60"/>
      <c r="H1273" s="60"/>
      <c r="I1273" s="60"/>
      <c r="J1273" s="61"/>
      <c r="K1273" s="61"/>
      <c r="L1273" s="62"/>
      <c r="M1273" s="64"/>
      <c r="N1273" s="17"/>
      <c r="O1273" s="17"/>
      <c r="P1273" s="17"/>
    </row>
    <row r="1274" spans="1:16" x14ac:dyDescent="0.25">
      <c r="A1274" s="60"/>
      <c r="B1274" s="60"/>
      <c r="C1274" s="60"/>
      <c r="D1274" s="60"/>
      <c r="E1274" s="60"/>
      <c r="F1274" s="60"/>
      <c r="G1274" s="60"/>
      <c r="H1274" s="60"/>
      <c r="I1274" s="60"/>
      <c r="J1274" s="61"/>
      <c r="K1274" s="61"/>
      <c r="L1274" s="62"/>
      <c r="M1274" s="63"/>
      <c r="N1274" s="17"/>
      <c r="O1274" s="17"/>
      <c r="P1274" s="17"/>
    </row>
    <row r="1275" spans="1:16" x14ac:dyDescent="0.25">
      <c r="A1275" s="60"/>
      <c r="B1275" s="60"/>
      <c r="C1275" s="60"/>
      <c r="D1275" s="60"/>
      <c r="E1275" s="60"/>
      <c r="F1275" s="60"/>
      <c r="G1275" s="60"/>
      <c r="H1275" s="60"/>
      <c r="I1275" s="60"/>
      <c r="J1275" s="61"/>
      <c r="K1275" s="61"/>
      <c r="L1275" s="62"/>
      <c r="M1275" s="63"/>
      <c r="N1275" s="17"/>
      <c r="O1275" s="17"/>
      <c r="P1275" s="17"/>
    </row>
    <row r="1276" spans="1:16" x14ac:dyDescent="0.25">
      <c r="A1276" s="60"/>
      <c r="B1276" s="60"/>
      <c r="C1276" s="60"/>
      <c r="D1276" s="60"/>
      <c r="E1276" s="60"/>
      <c r="F1276" s="60"/>
      <c r="G1276" s="60"/>
      <c r="H1276" s="60"/>
      <c r="I1276" s="60"/>
      <c r="J1276" s="61"/>
      <c r="K1276" s="61"/>
      <c r="L1276" s="62"/>
      <c r="M1276" s="63"/>
      <c r="N1276" s="17"/>
      <c r="O1276" s="17"/>
      <c r="P1276" s="17"/>
    </row>
    <row r="1277" spans="1:16" x14ac:dyDescent="0.25">
      <c r="A1277" s="60"/>
      <c r="B1277" s="60"/>
      <c r="C1277" s="60"/>
      <c r="D1277" s="60"/>
      <c r="E1277" s="60"/>
      <c r="F1277" s="60"/>
      <c r="G1277" s="60"/>
      <c r="H1277" s="60"/>
      <c r="I1277" s="60"/>
      <c r="J1277" s="61"/>
      <c r="K1277" s="61"/>
      <c r="L1277" s="65"/>
      <c r="M1277" s="64"/>
      <c r="N1277" s="17"/>
      <c r="O1277" s="17"/>
      <c r="P1277" s="17"/>
    </row>
    <row r="1278" spans="1:16" x14ac:dyDescent="0.25">
      <c r="A1278" s="60"/>
      <c r="B1278" s="60"/>
      <c r="C1278" s="60"/>
      <c r="D1278" s="60"/>
      <c r="E1278" s="60"/>
      <c r="F1278" s="60"/>
      <c r="G1278" s="60"/>
      <c r="H1278" s="60"/>
      <c r="I1278" s="60"/>
      <c r="J1278" s="61"/>
      <c r="K1278" s="61"/>
      <c r="L1278" s="62"/>
      <c r="M1278" s="63"/>
      <c r="N1278" s="17"/>
      <c r="O1278" s="17"/>
      <c r="P1278" s="17"/>
    </row>
    <row r="1279" spans="1:16" x14ac:dyDescent="0.25">
      <c r="A1279" s="60"/>
      <c r="B1279" s="60"/>
      <c r="C1279" s="60"/>
      <c r="D1279" s="60"/>
      <c r="E1279" s="60"/>
      <c r="F1279" s="60"/>
      <c r="G1279" s="60"/>
      <c r="H1279" s="60"/>
      <c r="I1279" s="60"/>
      <c r="J1279" s="61"/>
      <c r="K1279" s="61"/>
      <c r="L1279" s="62"/>
      <c r="M1279" s="64"/>
      <c r="N1279" s="17"/>
      <c r="O1279" s="17"/>
      <c r="P1279" s="17"/>
    </row>
    <row r="1280" spans="1:16" x14ac:dyDescent="0.25">
      <c r="A1280" s="60"/>
      <c r="B1280" s="60"/>
      <c r="C1280" s="60"/>
      <c r="D1280" s="60"/>
      <c r="E1280" s="60"/>
      <c r="F1280" s="60"/>
      <c r="G1280" s="60"/>
      <c r="H1280" s="60"/>
      <c r="I1280" s="60"/>
      <c r="J1280" s="61"/>
      <c r="K1280" s="61"/>
      <c r="L1280" s="62"/>
      <c r="M1280" s="64"/>
      <c r="N1280" s="17"/>
      <c r="O1280" s="17"/>
      <c r="P1280" s="17"/>
    </row>
    <row r="1281" spans="1:16" x14ac:dyDescent="0.25">
      <c r="A1281" s="60"/>
      <c r="B1281" s="60"/>
      <c r="C1281" s="60"/>
      <c r="D1281" s="60"/>
      <c r="E1281" s="60"/>
      <c r="F1281" s="60"/>
      <c r="G1281" s="60"/>
      <c r="H1281" s="60"/>
      <c r="I1281" s="60"/>
      <c r="J1281" s="61"/>
      <c r="K1281" s="61"/>
      <c r="L1281" s="65"/>
      <c r="M1281" s="64"/>
      <c r="N1281" s="17"/>
      <c r="O1281" s="17"/>
      <c r="P1281" s="17"/>
    </row>
    <row r="1282" spans="1:16" x14ac:dyDescent="0.25">
      <c r="A1282" s="60"/>
      <c r="B1282" s="60"/>
      <c r="C1282" s="60"/>
      <c r="D1282" s="60"/>
      <c r="E1282" s="60"/>
      <c r="F1282" s="60"/>
      <c r="G1282" s="60"/>
      <c r="H1282" s="60"/>
      <c r="I1282" s="60"/>
      <c r="J1282" s="61"/>
      <c r="K1282" s="61"/>
      <c r="L1282" s="65"/>
      <c r="M1282" s="64"/>
      <c r="N1282" s="17"/>
      <c r="O1282" s="17"/>
      <c r="P1282" s="17"/>
    </row>
    <row r="1283" spans="1:16" x14ac:dyDescent="0.25">
      <c r="A1283" s="60"/>
      <c r="B1283" s="60"/>
      <c r="C1283" s="60"/>
      <c r="D1283" s="60"/>
      <c r="E1283" s="60"/>
      <c r="F1283" s="60"/>
      <c r="G1283" s="60"/>
      <c r="H1283" s="60"/>
      <c r="I1283" s="60"/>
      <c r="J1283" s="61"/>
      <c r="K1283" s="61"/>
      <c r="L1283" s="65"/>
      <c r="M1283" s="64"/>
      <c r="N1283" s="17"/>
      <c r="O1283" s="17"/>
      <c r="P1283" s="17"/>
    </row>
    <row r="1284" spans="1:16" x14ac:dyDescent="0.25">
      <c r="A1284" s="60"/>
      <c r="B1284" s="60"/>
      <c r="C1284" s="60"/>
      <c r="D1284" s="60"/>
      <c r="E1284" s="60"/>
      <c r="F1284" s="60"/>
      <c r="G1284" s="60"/>
      <c r="H1284" s="60"/>
      <c r="I1284" s="60"/>
      <c r="J1284" s="61"/>
      <c r="K1284" s="61"/>
      <c r="L1284" s="62"/>
      <c r="M1284" s="63"/>
      <c r="N1284" s="17"/>
      <c r="O1284" s="17"/>
      <c r="P1284" s="17"/>
    </row>
    <row r="1285" spans="1:16" x14ac:dyDescent="0.25">
      <c r="A1285" s="60"/>
      <c r="B1285" s="60"/>
      <c r="C1285" s="60"/>
      <c r="D1285" s="60"/>
      <c r="E1285" s="60"/>
      <c r="F1285" s="60"/>
      <c r="G1285" s="60"/>
      <c r="H1285" s="60"/>
      <c r="I1285" s="60"/>
      <c r="J1285" s="61"/>
      <c r="K1285" s="61"/>
      <c r="L1285" s="65"/>
      <c r="M1285" s="64"/>
      <c r="N1285" s="17"/>
      <c r="O1285" s="17"/>
      <c r="P1285" s="17"/>
    </row>
    <row r="1286" spans="1:16" x14ac:dyDescent="0.25">
      <c r="A1286" s="60"/>
      <c r="B1286" s="60"/>
      <c r="C1286" s="60"/>
      <c r="D1286" s="60"/>
      <c r="E1286" s="60"/>
      <c r="F1286" s="60"/>
      <c r="G1286" s="60"/>
      <c r="H1286" s="60"/>
      <c r="I1286" s="60"/>
      <c r="J1286" s="61"/>
      <c r="K1286" s="61"/>
      <c r="L1286" s="62"/>
      <c r="M1286" s="63"/>
      <c r="N1286" s="17"/>
      <c r="O1286" s="17"/>
      <c r="P1286" s="17"/>
    </row>
    <row r="1287" spans="1:16" x14ac:dyDescent="0.25">
      <c r="A1287" s="60"/>
      <c r="B1287" s="60"/>
      <c r="C1287" s="60"/>
      <c r="D1287" s="60"/>
      <c r="E1287" s="60"/>
      <c r="F1287" s="60"/>
      <c r="G1287" s="60"/>
      <c r="H1287" s="60"/>
      <c r="I1287" s="60"/>
      <c r="J1287" s="61"/>
      <c r="K1287" s="61"/>
      <c r="L1287" s="62"/>
      <c r="M1287" s="63"/>
      <c r="N1287" s="17"/>
      <c r="O1287" s="17"/>
      <c r="P1287" s="17"/>
    </row>
    <row r="1288" spans="1:16" x14ac:dyDescent="0.25">
      <c r="A1288" s="60"/>
      <c r="B1288" s="60"/>
      <c r="C1288" s="60"/>
      <c r="D1288" s="60"/>
      <c r="E1288" s="60"/>
      <c r="F1288" s="60"/>
      <c r="G1288" s="60"/>
      <c r="H1288" s="60"/>
      <c r="I1288" s="60"/>
      <c r="J1288" s="61"/>
      <c r="K1288" s="61"/>
      <c r="L1288" s="62"/>
      <c r="M1288" s="63"/>
      <c r="N1288" s="17"/>
      <c r="O1288" s="17"/>
      <c r="P1288" s="17"/>
    </row>
    <row r="1289" spans="1:16" x14ac:dyDescent="0.25">
      <c r="A1289" s="60"/>
      <c r="B1289" s="60"/>
      <c r="C1289" s="60"/>
      <c r="D1289" s="60"/>
      <c r="E1289" s="60"/>
      <c r="F1289" s="60"/>
      <c r="G1289" s="60"/>
      <c r="H1289" s="60"/>
      <c r="I1289" s="60"/>
      <c r="J1289" s="61"/>
      <c r="K1289" s="61"/>
      <c r="L1289" s="65"/>
      <c r="M1289" s="64"/>
      <c r="N1289" s="17"/>
      <c r="O1289" s="17"/>
      <c r="P1289" s="17"/>
    </row>
    <row r="1290" spans="1:16" x14ac:dyDescent="0.25">
      <c r="A1290" s="60"/>
      <c r="B1290" s="60"/>
      <c r="C1290" s="60"/>
      <c r="D1290" s="60"/>
      <c r="E1290" s="60"/>
      <c r="F1290" s="60"/>
      <c r="G1290" s="60"/>
      <c r="H1290" s="60"/>
      <c r="I1290" s="60"/>
      <c r="J1290" s="61"/>
      <c r="K1290" s="61"/>
      <c r="L1290" s="65"/>
      <c r="M1290" s="64"/>
      <c r="N1290" s="17"/>
      <c r="O1290" s="17"/>
      <c r="P1290" s="17"/>
    </row>
    <row r="1291" spans="1:16" x14ac:dyDescent="0.25">
      <c r="A1291" s="60"/>
      <c r="B1291" s="60"/>
      <c r="C1291" s="60"/>
      <c r="D1291" s="60"/>
      <c r="E1291" s="60"/>
      <c r="F1291" s="60"/>
      <c r="G1291" s="60"/>
      <c r="H1291" s="60"/>
      <c r="I1291" s="60"/>
      <c r="J1291" s="61"/>
      <c r="K1291" s="61"/>
      <c r="L1291" s="65"/>
      <c r="M1291" s="64"/>
      <c r="N1291" s="17"/>
      <c r="O1291" s="17"/>
      <c r="P1291" s="17"/>
    </row>
    <row r="1292" spans="1:16" x14ac:dyDescent="0.25">
      <c r="A1292" s="60"/>
      <c r="B1292" s="60"/>
      <c r="C1292" s="60"/>
      <c r="D1292" s="60"/>
      <c r="E1292" s="60"/>
      <c r="F1292" s="60"/>
      <c r="G1292" s="60"/>
      <c r="H1292" s="60"/>
      <c r="I1292" s="60"/>
      <c r="J1292" s="61"/>
      <c r="K1292" s="61"/>
      <c r="L1292" s="65"/>
      <c r="M1292" s="64"/>
      <c r="N1292" s="17"/>
      <c r="O1292" s="17"/>
      <c r="P1292" s="17"/>
    </row>
    <row r="1293" spans="1:16" x14ac:dyDescent="0.25">
      <c r="A1293" s="60"/>
      <c r="B1293" s="60"/>
      <c r="C1293" s="60"/>
      <c r="D1293" s="60"/>
      <c r="E1293" s="60"/>
      <c r="F1293" s="60"/>
      <c r="G1293" s="60"/>
      <c r="H1293" s="60"/>
      <c r="I1293" s="60"/>
      <c r="J1293" s="61"/>
      <c r="K1293" s="61"/>
      <c r="L1293" s="65"/>
      <c r="M1293" s="64"/>
      <c r="N1293" s="17"/>
      <c r="O1293" s="17"/>
      <c r="P1293" s="17"/>
    </row>
    <row r="1294" spans="1:16" x14ac:dyDescent="0.25">
      <c r="A1294" s="60"/>
      <c r="B1294" s="60"/>
      <c r="C1294" s="60"/>
      <c r="D1294" s="60"/>
      <c r="E1294" s="60"/>
      <c r="F1294" s="60"/>
      <c r="G1294" s="60"/>
      <c r="H1294" s="60"/>
      <c r="I1294" s="60"/>
      <c r="J1294" s="61"/>
      <c r="K1294" s="61"/>
      <c r="L1294" s="65"/>
      <c r="M1294" s="64"/>
      <c r="N1294" s="17"/>
      <c r="O1294" s="17"/>
      <c r="P1294" s="17"/>
    </row>
    <row r="1295" spans="1:16" x14ac:dyDescent="0.25">
      <c r="A1295" s="60"/>
      <c r="B1295" s="60"/>
      <c r="C1295" s="60"/>
      <c r="D1295" s="60"/>
      <c r="E1295" s="60"/>
      <c r="F1295" s="60"/>
      <c r="G1295" s="60"/>
      <c r="H1295" s="60"/>
      <c r="I1295" s="60"/>
      <c r="J1295" s="61"/>
      <c r="K1295" s="61"/>
      <c r="L1295" s="65"/>
      <c r="M1295" s="64"/>
      <c r="N1295" s="17"/>
      <c r="O1295" s="17"/>
      <c r="P1295" s="17"/>
    </row>
    <row r="1296" spans="1:16" x14ac:dyDescent="0.25">
      <c r="A1296" s="60"/>
      <c r="B1296" s="60"/>
      <c r="C1296" s="60"/>
      <c r="D1296" s="60"/>
      <c r="E1296" s="60"/>
      <c r="F1296" s="60"/>
      <c r="G1296" s="60"/>
      <c r="H1296" s="60"/>
      <c r="I1296" s="60"/>
      <c r="J1296" s="61"/>
      <c r="K1296" s="61"/>
      <c r="L1296" s="62"/>
      <c r="M1296" s="64"/>
      <c r="N1296" s="17"/>
      <c r="O1296" s="17"/>
      <c r="P1296" s="17"/>
    </row>
    <row r="1297" spans="1:16" x14ac:dyDescent="0.25">
      <c r="A1297" s="60"/>
      <c r="B1297" s="60"/>
      <c r="C1297" s="60"/>
      <c r="D1297" s="60"/>
      <c r="E1297" s="60"/>
      <c r="F1297" s="60"/>
      <c r="G1297" s="60"/>
      <c r="H1297" s="60"/>
      <c r="I1297" s="60"/>
      <c r="J1297" s="61"/>
      <c r="K1297" s="61"/>
      <c r="L1297" s="62"/>
      <c r="M1297" s="63"/>
      <c r="N1297" s="17"/>
      <c r="O1297" s="17"/>
      <c r="P1297" s="17"/>
    </row>
    <row r="1298" spans="1:16" x14ac:dyDescent="0.25">
      <c r="A1298" s="60"/>
      <c r="B1298" s="60"/>
      <c r="C1298" s="60"/>
      <c r="D1298" s="60"/>
      <c r="E1298" s="60"/>
      <c r="F1298" s="60"/>
      <c r="G1298" s="60"/>
      <c r="H1298" s="60"/>
      <c r="I1298" s="60"/>
      <c r="J1298" s="61"/>
      <c r="K1298" s="61"/>
      <c r="L1298" s="62"/>
      <c r="M1298" s="63"/>
      <c r="N1298" s="17"/>
      <c r="O1298" s="17"/>
      <c r="P1298" s="17"/>
    </row>
    <row r="1299" spans="1:16" x14ac:dyDescent="0.25">
      <c r="A1299" s="60"/>
      <c r="B1299" s="60"/>
      <c r="C1299" s="60"/>
      <c r="D1299" s="60"/>
      <c r="E1299" s="60"/>
      <c r="F1299" s="60"/>
      <c r="G1299" s="60"/>
      <c r="H1299" s="60"/>
      <c r="I1299" s="60"/>
      <c r="J1299" s="61"/>
      <c r="K1299" s="61"/>
      <c r="L1299" s="65"/>
      <c r="M1299" s="64"/>
      <c r="N1299" s="17"/>
      <c r="O1299" s="17"/>
      <c r="P1299" s="17"/>
    </row>
    <row r="1300" spans="1:16" x14ac:dyDescent="0.25">
      <c r="A1300" s="60"/>
      <c r="B1300" s="60"/>
      <c r="C1300" s="60"/>
      <c r="D1300" s="60"/>
      <c r="E1300" s="60"/>
      <c r="F1300" s="60"/>
      <c r="G1300" s="60"/>
      <c r="H1300" s="60"/>
      <c r="I1300" s="60"/>
      <c r="J1300" s="61"/>
      <c r="K1300" s="61"/>
      <c r="L1300" s="65"/>
      <c r="M1300" s="64"/>
      <c r="N1300" s="17"/>
      <c r="O1300" s="17"/>
      <c r="P1300" s="17"/>
    </row>
    <row r="1301" spans="1:16" x14ac:dyDescent="0.25">
      <c r="A1301" s="60"/>
      <c r="B1301" s="60"/>
      <c r="C1301" s="60"/>
      <c r="D1301" s="60"/>
      <c r="E1301" s="60"/>
      <c r="F1301" s="60"/>
      <c r="G1301" s="60"/>
      <c r="H1301" s="60"/>
      <c r="I1301" s="60"/>
      <c r="J1301" s="61"/>
      <c r="K1301" s="61"/>
      <c r="L1301" s="65"/>
      <c r="M1301" s="64"/>
      <c r="N1301" s="17"/>
      <c r="O1301" s="17"/>
      <c r="P1301" s="17"/>
    </row>
    <row r="1302" spans="1:16" x14ac:dyDescent="0.25">
      <c r="A1302" s="60"/>
      <c r="B1302" s="60"/>
      <c r="C1302" s="60"/>
      <c r="D1302" s="60"/>
      <c r="E1302" s="60"/>
      <c r="F1302" s="60"/>
      <c r="G1302" s="60"/>
      <c r="H1302" s="60"/>
      <c r="I1302" s="60"/>
      <c r="J1302" s="61"/>
      <c r="K1302" s="61"/>
      <c r="L1302" s="62"/>
      <c r="M1302" s="63"/>
      <c r="N1302" s="17"/>
      <c r="O1302" s="17"/>
      <c r="P1302" s="17"/>
    </row>
    <row r="1303" spans="1:16" x14ac:dyDescent="0.25">
      <c r="A1303" s="60"/>
      <c r="B1303" s="60"/>
      <c r="C1303" s="60"/>
      <c r="D1303" s="60"/>
      <c r="E1303" s="60"/>
      <c r="F1303" s="60"/>
      <c r="G1303" s="60"/>
      <c r="H1303" s="60"/>
      <c r="I1303" s="60"/>
      <c r="J1303" s="61"/>
      <c r="K1303" s="61"/>
      <c r="L1303" s="62"/>
      <c r="M1303" s="64"/>
      <c r="N1303" s="17"/>
      <c r="O1303" s="17"/>
      <c r="P1303" s="17"/>
    </row>
    <row r="1304" spans="1:16" x14ac:dyDescent="0.25">
      <c r="A1304" s="60"/>
      <c r="B1304" s="60"/>
      <c r="C1304" s="60"/>
      <c r="D1304" s="60"/>
      <c r="E1304" s="60"/>
      <c r="F1304" s="60"/>
      <c r="G1304" s="60"/>
      <c r="H1304" s="60"/>
      <c r="I1304" s="60"/>
      <c r="J1304" s="61"/>
      <c r="K1304" s="61"/>
      <c r="L1304" s="62"/>
      <c r="M1304" s="64"/>
      <c r="N1304" s="17"/>
      <c r="O1304" s="17"/>
      <c r="P1304" s="17"/>
    </row>
    <row r="1305" spans="1:16" x14ac:dyDescent="0.25">
      <c r="A1305" s="60"/>
      <c r="B1305" s="60"/>
      <c r="C1305" s="60"/>
      <c r="D1305" s="60"/>
      <c r="E1305" s="60"/>
      <c r="F1305" s="60"/>
      <c r="G1305" s="60"/>
      <c r="H1305" s="60"/>
      <c r="I1305" s="60"/>
      <c r="J1305" s="61"/>
      <c r="K1305" s="61"/>
      <c r="L1305" s="62"/>
      <c r="M1305" s="63"/>
      <c r="N1305" s="17"/>
      <c r="O1305" s="17"/>
      <c r="P1305" s="17"/>
    </row>
    <row r="1306" spans="1:16" x14ac:dyDescent="0.25">
      <c r="A1306" s="60"/>
      <c r="B1306" s="60"/>
      <c r="C1306" s="60"/>
      <c r="D1306" s="60"/>
      <c r="E1306" s="60"/>
      <c r="F1306" s="60"/>
      <c r="G1306" s="60"/>
      <c r="H1306" s="60"/>
      <c r="I1306" s="60"/>
      <c r="J1306" s="61"/>
      <c r="K1306" s="61"/>
      <c r="L1306" s="65"/>
      <c r="M1306" s="64"/>
      <c r="N1306" s="17"/>
      <c r="O1306" s="17"/>
      <c r="P1306" s="17"/>
    </row>
    <row r="1307" spans="1:16" x14ac:dyDescent="0.25">
      <c r="A1307" s="60"/>
      <c r="B1307" s="60"/>
      <c r="C1307" s="60"/>
      <c r="D1307" s="60"/>
      <c r="E1307" s="60"/>
      <c r="F1307" s="60"/>
      <c r="G1307" s="60"/>
      <c r="H1307" s="60"/>
      <c r="I1307" s="60"/>
      <c r="J1307" s="61"/>
      <c r="K1307" s="61"/>
      <c r="L1307" s="62"/>
      <c r="M1307" s="63"/>
      <c r="N1307" s="17"/>
      <c r="O1307" s="17"/>
      <c r="P1307" s="17"/>
    </row>
    <row r="1308" spans="1:16" x14ac:dyDescent="0.25">
      <c r="A1308" s="60"/>
      <c r="B1308" s="60"/>
      <c r="C1308" s="60"/>
      <c r="D1308" s="60"/>
      <c r="E1308" s="60"/>
      <c r="F1308" s="60"/>
      <c r="G1308" s="60"/>
      <c r="H1308" s="60"/>
      <c r="I1308" s="60"/>
      <c r="J1308" s="61"/>
      <c r="K1308" s="61"/>
      <c r="L1308" s="62"/>
      <c r="M1308" s="63"/>
      <c r="N1308" s="17"/>
      <c r="O1308" s="17"/>
      <c r="P1308" s="17"/>
    </row>
    <row r="1309" spans="1:16" x14ac:dyDescent="0.25">
      <c r="A1309" s="60"/>
      <c r="B1309" s="60"/>
      <c r="C1309" s="60"/>
      <c r="D1309" s="60"/>
      <c r="E1309" s="60"/>
      <c r="F1309" s="60"/>
      <c r="G1309" s="60"/>
      <c r="H1309" s="60"/>
      <c r="I1309" s="60"/>
      <c r="J1309" s="61"/>
      <c r="K1309" s="61"/>
      <c r="L1309" s="62"/>
      <c r="M1309" s="64"/>
      <c r="N1309" s="17"/>
      <c r="O1309" s="17"/>
      <c r="P1309" s="17"/>
    </row>
    <row r="1310" spans="1:16" x14ac:dyDescent="0.25">
      <c r="A1310" s="60"/>
      <c r="B1310" s="60"/>
      <c r="C1310" s="60"/>
      <c r="D1310" s="60"/>
      <c r="E1310" s="60"/>
      <c r="F1310" s="60"/>
      <c r="G1310" s="60"/>
      <c r="H1310" s="60"/>
      <c r="I1310" s="60"/>
      <c r="J1310" s="61"/>
      <c r="K1310" s="61"/>
      <c r="L1310" s="62"/>
      <c r="M1310" s="63"/>
      <c r="N1310" s="17"/>
      <c r="O1310" s="17"/>
      <c r="P1310" s="17"/>
    </row>
    <row r="1311" spans="1:16" x14ac:dyDescent="0.25">
      <c r="A1311" s="60"/>
      <c r="B1311" s="60"/>
      <c r="C1311" s="60"/>
      <c r="D1311" s="60"/>
      <c r="E1311" s="60"/>
      <c r="F1311" s="60"/>
      <c r="G1311" s="60"/>
      <c r="H1311" s="60"/>
      <c r="I1311" s="60"/>
      <c r="J1311" s="61"/>
      <c r="K1311" s="61"/>
      <c r="L1311" s="62"/>
      <c r="M1311" s="63"/>
      <c r="N1311" s="17"/>
      <c r="O1311" s="17"/>
      <c r="P1311" s="17"/>
    </row>
    <row r="1312" spans="1:16" x14ac:dyDescent="0.25">
      <c r="A1312" s="60"/>
      <c r="B1312" s="60"/>
      <c r="C1312" s="60"/>
      <c r="D1312" s="60"/>
      <c r="E1312" s="60"/>
      <c r="F1312" s="60"/>
      <c r="G1312" s="60"/>
      <c r="H1312" s="60"/>
      <c r="I1312" s="60"/>
      <c r="J1312" s="61"/>
      <c r="K1312" s="61"/>
      <c r="L1312" s="62"/>
      <c r="M1312" s="64"/>
      <c r="N1312" s="17"/>
      <c r="O1312" s="17"/>
      <c r="P1312" s="17"/>
    </row>
    <row r="1313" spans="1:16" x14ac:dyDescent="0.25">
      <c r="A1313" s="60"/>
      <c r="B1313" s="60"/>
      <c r="C1313" s="60"/>
      <c r="D1313" s="60"/>
      <c r="E1313" s="60"/>
      <c r="F1313" s="60"/>
      <c r="G1313" s="60"/>
      <c r="H1313" s="60"/>
      <c r="I1313" s="60"/>
      <c r="J1313" s="61"/>
      <c r="K1313" s="61"/>
      <c r="L1313" s="62"/>
      <c r="M1313" s="63"/>
      <c r="N1313" s="17"/>
      <c r="O1313" s="17"/>
      <c r="P1313" s="17"/>
    </row>
    <row r="1314" spans="1:16" x14ac:dyDescent="0.25">
      <c r="A1314" s="60"/>
      <c r="B1314" s="60"/>
      <c r="C1314" s="60"/>
      <c r="D1314" s="60"/>
      <c r="E1314" s="60"/>
      <c r="F1314" s="60"/>
      <c r="G1314" s="60"/>
      <c r="H1314" s="60"/>
      <c r="I1314" s="60"/>
      <c r="J1314" s="61"/>
      <c r="K1314" s="61"/>
      <c r="L1314" s="62"/>
      <c r="M1314" s="63"/>
      <c r="N1314" s="17"/>
      <c r="O1314" s="17"/>
      <c r="P1314" s="17"/>
    </row>
    <row r="1315" spans="1:16" x14ac:dyDescent="0.25">
      <c r="A1315" s="60"/>
      <c r="B1315" s="60"/>
      <c r="C1315" s="60"/>
      <c r="D1315" s="60"/>
      <c r="E1315" s="60"/>
      <c r="F1315" s="60"/>
      <c r="G1315" s="60"/>
      <c r="H1315" s="60"/>
      <c r="I1315" s="60"/>
      <c r="J1315" s="61"/>
      <c r="K1315" s="61"/>
      <c r="L1315" s="62"/>
      <c r="M1315" s="63"/>
      <c r="N1315" s="17"/>
      <c r="O1315" s="17"/>
      <c r="P1315" s="17"/>
    </row>
    <row r="1316" spans="1:16" x14ac:dyDescent="0.25">
      <c r="A1316" s="60"/>
      <c r="B1316" s="60"/>
      <c r="C1316" s="60"/>
      <c r="D1316" s="60"/>
      <c r="E1316" s="60"/>
      <c r="F1316" s="60"/>
      <c r="G1316" s="60"/>
      <c r="H1316" s="60"/>
      <c r="I1316" s="60"/>
      <c r="J1316" s="61"/>
      <c r="K1316" s="61"/>
      <c r="L1316" s="62"/>
      <c r="M1316" s="63"/>
      <c r="N1316" s="17"/>
      <c r="O1316" s="17"/>
      <c r="P1316" s="17"/>
    </row>
    <row r="1317" spans="1:16" x14ac:dyDescent="0.25">
      <c r="A1317" s="60"/>
      <c r="B1317" s="60"/>
      <c r="C1317" s="60"/>
      <c r="D1317" s="60"/>
      <c r="E1317" s="60"/>
      <c r="F1317" s="60"/>
      <c r="G1317" s="60"/>
      <c r="H1317" s="60"/>
      <c r="I1317" s="60"/>
      <c r="J1317" s="61"/>
      <c r="K1317" s="61"/>
      <c r="L1317" s="65"/>
      <c r="M1317" s="64"/>
      <c r="N1317" s="17"/>
      <c r="O1317" s="17"/>
      <c r="P1317" s="17"/>
    </row>
    <row r="1318" spans="1:16" x14ac:dyDescent="0.25">
      <c r="A1318" s="60"/>
      <c r="B1318" s="60"/>
      <c r="C1318" s="60"/>
      <c r="D1318" s="60"/>
      <c r="E1318" s="60"/>
      <c r="F1318" s="60"/>
      <c r="G1318" s="60"/>
      <c r="H1318" s="60"/>
      <c r="I1318" s="60"/>
      <c r="J1318" s="61"/>
      <c r="K1318" s="61"/>
      <c r="L1318" s="65"/>
      <c r="M1318" s="64"/>
      <c r="N1318" s="17"/>
      <c r="O1318" s="17"/>
      <c r="P1318" s="17"/>
    </row>
    <row r="1319" spans="1:16" x14ac:dyDescent="0.25">
      <c r="A1319" s="60"/>
      <c r="B1319" s="60"/>
      <c r="C1319" s="60"/>
      <c r="D1319" s="60"/>
      <c r="E1319" s="60"/>
      <c r="F1319" s="60"/>
      <c r="G1319" s="60"/>
      <c r="H1319" s="60"/>
      <c r="I1319" s="60"/>
      <c r="J1319" s="61"/>
      <c r="K1319" s="61"/>
      <c r="L1319" s="65"/>
      <c r="M1319" s="64"/>
      <c r="N1319" s="17"/>
      <c r="O1319" s="17"/>
      <c r="P1319" s="17"/>
    </row>
    <row r="1320" spans="1:16" x14ac:dyDescent="0.25">
      <c r="A1320" s="60"/>
      <c r="B1320" s="60"/>
      <c r="C1320" s="60"/>
      <c r="D1320" s="60"/>
      <c r="E1320" s="60"/>
      <c r="F1320" s="60"/>
      <c r="G1320" s="60"/>
      <c r="H1320" s="60"/>
      <c r="I1320" s="60"/>
      <c r="J1320" s="61"/>
      <c r="K1320" s="61"/>
      <c r="L1320" s="65"/>
      <c r="M1320" s="64"/>
      <c r="N1320" s="17"/>
      <c r="O1320" s="17"/>
      <c r="P1320" s="17"/>
    </row>
    <row r="1321" spans="1:16" x14ac:dyDescent="0.25">
      <c r="A1321" s="60"/>
      <c r="B1321" s="60"/>
      <c r="C1321" s="60"/>
      <c r="D1321" s="60"/>
      <c r="E1321" s="60"/>
      <c r="F1321" s="60"/>
      <c r="G1321" s="60"/>
      <c r="H1321" s="60"/>
      <c r="I1321" s="60"/>
      <c r="J1321" s="61"/>
      <c r="K1321" s="61"/>
      <c r="L1321" s="65"/>
      <c r="M1321" s="64"/>
      <c r="N1321" s="17"/>
      <c r="O1321" s="17"/>
      <c r="P1321" s="17"/>
    </row>
    <row r="1322" spans="1:16" x14ac:dyDescent="0.25">
      <c r="A1322" s="60"/>
      <c r="B1322" s="60"/>
      <c r="C1322" s="60"/>
      <c r="D1322" s="60"/>
      <c r="E1322" s="60"/>
      <c r="F1322" s="60"/>
      <c r="G1322" s="60"/>
      <c r="H1322" s="60"/>
      <c r="I1322" s="60"/>
      <c r="J1322" s="61"/>
      <c r="K1322" s="61"/>
      <c r="L1322" s="65"/>
      <c r="M1322" s="64"/>
      <c r="N1322" s="17"/>
      <c r="O1322" s="17"/>
      <c r="P1322" s="17"/>
    </row>
    <row r="1323" spans="1:16" x14ac:dyDescent="0.25">
      <c r="A1323" s="60"/>
      <c r="B1323" s="60"/>
      <c r="C1323" s="60"/>
      <c r="D1323" s="60"/>
      <c r="E1323" s="60"/>
      <c r="F1323" s="60"/>
      <c r="G1323" s="60"/>
      <c r="H1323" s="60"/>
      <c r="I1323" s="60"/>
      <c r="J1323" s="61"/>
      <c r="K1323" s="61"/>
      <c r="L1323" s="65"/>
      <c r="M1323" s="64"/>
      <c r="N1323" s="17"/>
      <c r="O1323" s="17"/>
      <c r="P1323" s="17"/>
    </row>
    <row r="1324" spans="1:16" x14ac:dyDescent="0.25">
      <c r="A1324" s="60"/>
      <c r="B1324" s="60"/>
      <c r="C1324" s="60"/>
      <c r="D1324" s="60"/>
      <c r="E1324" s="60"/>
      <c r="F1324" s="60"/>
      <c r="G1324" s="60"/>
      <c r="H1324" s="60"/>
      <c r="I1324" s="60"/>
      <c r="J1324" s="61"/>
      <c r="K1324" s="61"/>
      <c r="L1324" s="65"/>
      <c r="M1324" s="64"/>
      <c r="N1324" s="17"/>
      <c r="O1324" s="17"/>
      <c r="P1324" s="17"/>
    </row>
    <row r="1325" spans="1:16" x14ac:dyDescent="0.25">
      <c r="A1325" s="60"/>
      <c r="B1325" s="60"/>
      <c r="C1325" s="60"/>
      <c r="D1325" s="60"/>
      <c r="E1325" s="60"/>
      <c r="F1325" s="60"/>
      <c r="G1325" s="60"/>
      <c r="H1325" s="60"/>
      <c r="I1325" s="60"/>
      <c r="J1325" s="61"/>
      <c r="K1325" s="61"/>
      <c r="L1325" s="65"/>
      <c r="M1325" s="64"/>
      <c r="N1325" s="17"/>
      <c r="O1325" s="17"/>
      <c r="P1325" s="17"/>
    </row>
    <row r="1326" spans="1:16" x14ac:dyDescent="0.25">
      <c r="A1326" s="60"/>
      <c r="B1326" s="60"/>
      <c r="C1326" s="60"/>
      <c r="D1326" s="60"/>
      <c r="E1326" s="60"/>
      <c r="F1326" s="60"/>
      <c r="G1326" s="60"/>
      <c r="H1326" s="60"/>
      <c r="I1326" s="60"/>
      <c r="J1326" s="61"/>
      <c r="K1326" s="61"/>
      <c r="L1326" s="65"/>
      <c r="M1326" s="64"/>
      <c r="N1326" s="17"/>
      <c r="O1326" s="17"/>
      <c r="P1326" s="17"/>
    </row>
    <row r="1327" spans="1:16" x14ac:dyDescent="0.25">
      <c r="A1327" s="60"/>
      <c r="B1327" s="60"/>
      <c r="C1327" s="60"/>
      <c r="D1327" s="60"/>
      <c r="E1327" s="60"/>
      <c r="F1327" s="60"/>
      <c r="G1327" s="60"/>
      <c r="H1327" s="60"/>
      <c r="I1327" s="60"/>
      <c r="J1327" s="61"/>
      <c r="K1327" s="61"/>
      <c r="L1327" s="65"/>
      <c r="M1327" s="64"/>
      <c r="N1327" s="17"/>
      <c r="O1327" s="17"/>
      <c r="P1327" s="17"/>
    </row>
    <row r="1328" spans="1:16" x14ac:dyDescent="0.25">
      <c r="A1328" s="60"/>
      <c r="B1328" s="60"/>
      <c r="C1328" s="60"/>
      <c r="D1328" s="60"/>
      <c r="E1328" s="60"/>
      <c r="F1328" s="60"/>
      <c r="G1328" s="60"/>
      <c r="H1328" s="60"/>
      <c r="I1328" s="60"/>
      <c r="J1328" s="61"/>
      <c r="K1328" s="61"/>
      <c r="L1328" s="65"/>
      <c r="M1328" s="64"/>
      <c r="N1328" s="17"/>
      <c r="O1328" s="17"/>
      <c r="P1328" s="17"/>
    </row>
    <row r="1329" spans="1:16" x14ac:dyDescent="0.25">
      <c r="A1329" s="60"/>
      <c r="B1329" s="60"/>
      <c r="C1329" s="60"/>
      <c r="D1329" s="60"/>
      <c r="E1329" s="60"/>
      <c r="F1329" s="60"/>
      <c r="G1329" s="60"/>
      <c r="H1329" s="60"/>
      <c r="I1329" s="60"/>
      <c r="J1329" s="61"/>
      <c r="K1329" s="61"/>
      <c r="L1329" s="65"/>
      <c r="M1329" s="64"/>
      <c r="N1329" s="17"/>
      <c r="O1329" s="17"/>
      <c r="P1329" s="17"/>
    </row>
    <row r="1330" spans="1:16" x14ac:dyDescent="0.25">
      <c r="A1330" s="60"/>
      <c r="B1330" s="60"/>
      <c r="C1330" s="60"/>
      <c r="D1330" s="60"/>
      <c r="E1330" s="60"/>
      <c r="F1330" s="60"/>
      <c r="G1330" s="60"/>
      <c r="H1330" s="60"/>
      <c r="I1330" s="60"/>
      <c r="J1330" s="61"/>
      <c r="K1330" s="61"/>
      <c r="L1330" s="65"/>
      <c r="M1330" s="64"/>
      <c r="N1330" s="17"/>
      <c r="O1330" s="17"/>
      <c r="P1330" s="17"/>
    </row>
    <row r="1331" spans="1:16" x14ac:dyDescent="0.25">
      <c r="A1331" s="60"/>
      <c r="B1331" s="60"/>
      <c r="C1331" s="60"/>
      <c r="D1331" s="60"/>
      <c r="E1331" s="60"/>
      <c r="F1331" s="60"/>
      <c r="G1331" s="60"/>
      <c r="H1331" s="60"/>
      <c r="I1331" s="60"/>
      <c r="J1331" s="61"/>
      <c r="K1331" s="61"/>
      <c r="L1331" s="65"/>
      <c r="M1331" s="64"/>
      <c r="N1331" s="17"/>
      <c r="O1331" s="17"/>
      <c r="P1331" s="17"/>
    </row>
    <row r="1332" spans="1:16" x14ac:dyDescent="0.25">
      <c r="A1332" s="60"/>
      <c r="B1332" s="60"/>
      <c r="C1332" s="60"/>
      <c r="D1332" s="60"/>
      <c r="E1332" s="60"/>
      <c r="F1332" s="60"/>
      <c r="G1332" s="60"/>
      <c r="H1332" s="60"/>
      <c r="I1332" s="60"/>
      <c r="J1332" s="61"/>
      <c r="K1332" s="61"/>
      <c r="L1332" s="65"/>
      <c r="M1332" s="64"/>
      <c r="N1332" s="17"/>
      <c r="O1332" s="17"/>
      <c r="P1332" s="17"/>
    </row>
    <row r="1333" spans="1:16" x14ac:dyDescent="0.25">
      <c r="A1333" s="60"/>
      <c r="B1333" s="60"/>
      <c r="C1333" s="60"/>
      <c r="D1333" s="60"/>
      <c r="E1333" s="60"/>
      <c r="F1333" s="60"/>
      <c r="G1333" s="60"/>
      <c r="H1333" s="60"/>
      <c r="I1333" s="60"/>
      <c r="J1333" s="61"/>
      <c r="K1333" s="61"/>
      <c r="L1333" s="65"/>
      <c r="M1333" s="64"/>
      <c r="N1333" s="17"/>
      <c r="O1333" s="17"/>
      <c r="P1333" s="17"/>
    </row>
    <row r="1334" spans="1:16" x14ac:dyDescent="0.25">
      <c r="A1334" s="60"/>
      <c r="B1334" s="60"/>
      <c r="C1334" s="60"/>
      <c r="D1334" s="60"/>
      <c r="E1334" s="60"/>
      <c r="F1334" s="60"/>
      <c r="G1334" s="60"/>
      <c r="H1334" s="60"/>
      <c r="I1334" s="60"/>
      <c r="J1334" s="61"/>
      <c r="K1334" s="61"/>
      <c r="L1334" s="65"/>
      <c r="M1334" s="64"/>
      <c r="N1334" s="17"/>
      <c r="O1334" s="17"/>
      <c r="P1334" s="17"/>
    </row>
    <row r="1335" spans="1:16" x14ac:dyDescent="0.25">
      <c r="A1335" s="60"/>
      <c r="B1335" s="60"/>
      <c r="C1335" s="60"/>
      <c r="D1335" s="60"/>
      <c r="E1335" s="60"/>
      <c r="F1335" s="60"/>
      <c r="G1335" s="60"/>
      <c r="H1335" s="60"/>
      <c r="I1335" s="60"/>
      <c r="J1335" s="61"/>
      <c r="K1335" s="61"/>
      <c r="L1335" s="65"/>
      <c r="M1335" s="64"/>
      <c r="N1335" s="17"/>
      <c r="O1335" s="17"/>
      <c r="P1335" s="17"/>
    </row>
    <row r="1336" spans="1:16" x14ac:dyDescent="0.25">
      <c r="A1336" s="60"/>
      <c r="B1336" s="60"/>
      <c r="C1336" s="60"/>
      <c r="D1336" s="60"/>
      <c r="E1336" s="60"/>
      <c r="F1336" s="60"/>
      <c r="G1336" s="60"/>
      <c r="H1336" s="60"/>
      <c r="I1336" s="60"/>
      <c r="J1336" s="61"/>
      <c r="K1336" s="61"/>
      <c r="L1336" s="65"/>
      <c r="M1336" s="64"/>
      <c r="N1336" s="17"/>
      <c r="O1336" s="17"/>
      <c r="P1336" s="17"/>
    </row>
    <row r="1337" spans="1:16" x14ac:dyDescent="0.25">
      <c r="A1337" s="60"/>
      <c r="B1337" s="60"/>
      <c r="C1337" s="60"/>
      <c r="D1337" s="60"/>
      <c r="E1337" s="60"/>
      <c r="F1337" s="60"/>
      <c r="G1337" s="60"/>
      <c r="H1337" s="60"/>
      <c r="I1337" s="60"/>
      <c r="J1337" s="61"/>
      <c r="K1337" s="61"/>
      <c r="L1337" s="65"/>
      <c r="M1337" s="64"/>
      <c r="N1337" s="17"/>
      <c r="O1337" s="17"/>
      <c r="P1337" s="17"/>
    </row>
    <row r="1338" spans="1:16" x14ac:dyDescent="0.25">
      <c r="A1338" s="60"/>
      <c r="B1338" s="60"/>
      <c r="C1338" s="60"/>
      <c r="D1338" s="60"/>
      <c r="E1338" s="60"/>
      <c r="F1338" s="60"/>
      <c r="G1338" s="60"/>
      <c r="H1338" s="60"/>
      <c r="I1338" s="60"/>
      <c r="J1338" s="61"/>
      <c r="K1338" s="61"/>
      <c r="L1338" s="65"/>
      <c r="M1338" s="64"/>
      <c r="N1338" s="17"/>
      <c r="O1338" s="17"/>
      <c r="P1338" s="17"/>
    </row>
    <row r="1339" spans="1:16" x14ac:dyDescent="0.25">
      <c r="A1339" s="60"/>
      <c r="B1339" s="60"/>
      <c r="C1339" s="60"/>
      <c r="D1339" s="60"/>
      <c r="E1339" s="60"/>
      <c r="F1339" s="60"/>
      <c r="G1339" s="60"/>
      <c r="H1339" s="60"/>
      <c r="I1339" s="60"/>
      <c r="J1339" s="61"/>
      <c r="K1339" s="61"/>
      <c r="L1339" s="65"/>
      <c r="M1339" s="64"/>
      <c r="N1339" s="17"/>
      <c r="O1339" s="17"/>
      <c r="P1339" s="17"/>
    </row>
    <row r="1340" spans="1:16" x14ac:dyDescent="0.25">
      <c r="A1340" s="60"/>
      <c r="B1340" s="60"/>
      <c r="C1340" s="60"/>
      <c r="D1340" s="60"/>
      <c r="E1340" s="60"/>
      <c r="F1340" s="60"/>
      <c r="G1340" s="60"/>
      <c r="H1340" s="60"/>
      <c r="I1340" s="60"/>
      <c r="J1340" s="61"/>
      <c r="K1340" s="61"/>
      <c r="L1340" s="62"/>
      <c r="M1340" s="64"/>
      <c r="N1340" s="17"/>
      <c r="O1340" s="17"/>
      <c r="P1340" s="17"/>
    </row>
    <row r="1341" spans="1:16" x14ac:dyDescent="0.25">
      <c r="A1341" s="60"/>
      <c r="B1341" s="60"/>
      <c r="C1341" s="60"/>
      <c r="D1341" s="60"/>
      <c r="E1341" s="60"/>
      <c r="F1341" s="60"/>
      <c r="G1341" s="60"/>
      <c r="H1341" s="60"/>
      <c r="I1341" s="60"/>
      <c r="J1341" s="61"/>
      <c r="K1341" s="61"/>
      <c r="L1341" s="65"/>
      <c r="M1341" s="64"/>
      <c r="N1341" s="17"/>
      <c r="O1341" s="17"/>
      <c r="P1341" s="17"/>
    </row>
    <row r="1342" spans="1:16" x14ac:dyDescent="0.25">
      <c r="A1342" s="60"/>
      <c r="B1342" s="60"/>
      <c r="C1342" s="60"/>
      <c r="D1342" s="60"/>
      <c r="E1342" s="60"/>
      <c r="F1342" s="60"/>
      <c r="G1342" s="60"/>
      <c r="H1342" s="60"/>
      <c r="I1342" s="60"/>
      <c r="J1342" s="61"/>
      <c r="K1342" s="61"/>
      <c r="L1342" s="65"/>
      <c r="M1342" s="64"/>
      <c r="N1342" s="17"/>
      <c r="O1342" s="17"/>
      <c r="P1342" s="17"/>
    </row>
    <row r="1343" spans="1:16" x14ac:dyDescent="0.25">
      <c r="A1343" s="60"/>
      <c r="B1343" s="60"/>
      <c r="C1343" s="60"/>
      <c r="D1343" s="60"/>
      <c r="E1343" s="60"/>
      <c r="F1343" s="60"/>
      <c r="G1343" s="60"/>
      <c r="H1343" s="60"/>
      <c r="I1343" s="60"/>
      <c r="J1343" s="61"/>
      <c r="K1343" s="61"/>
      <c r="L1343" s="62"/>
      <c r="M1343" s="63"/>
      <c r="N1343" s="17"/>
      <c r="O1343" s="17"/>
      <c r="P1343" s="17"/>
    </row>
    <row r="1344" spans="1:16" x14ac:dyDescent="0.25">
      <c r="A1344" s="60"/>
      <c r="B1344" s="60"/>
      <c r="C1344" s="60"/>
      <c r="D1344" s="60"/>
      <c r="E1344" s="60"/>
      <c r="F1344" s="60"/>
      <c r="G1344" s="60"/>
      <c r="H1344" s="60"/>
      <c r="I1344" s="60"/>
      <c r="J1344" s="61"/>
      <c r="K1344" s="61"/>
      <c r="L1344" s="62"/>
      <c r="M1344" s="64"/>
      <c r="N1344" s="17"/>
      <c r="O1344" s="17"/>
      <c r="P1344" s="17"/>
    </row>
    <row r="1345" spans="1:16" x14ac:dyDescent="0.25">
      <c r="A1345" s="60"/>
      <c r="B1345" s="60"/>
      <c r="C1345" s="60"/>
      <c r="D1345" s="60"/>
      <c r="E1345" s="60"/>
      <c r="F1345" s="60"/>
      <c r="G1345" s="60"/>
      <c r="H1345" s="60"/>
      <c r="I1345" s="60"/>
      <c r="J1345" s="61"/>
      <c r="K1345" s="61"/>
      <c r="L1345" s="62"/>
      <c r="M1345" s="64"/>
      <c r="N1345" s="17"/>
      <c r="O1345" s="17"/>
      <c r="P1345" s="17"/>
    </row>
    <row r="1346" spans="1:16" x14ac:dyDescent="0.25">
      <c r="A1346" s="60"/>
      <c r="B1346" s="60"/>
      <c r="C1346" s="60"/>
      <c r="D1346" s="60"/>
      <c r="E1346" s="60"/>
      <c r="F1346" s="60"/>
      <c r="G1346" s="60"/>
      <c r="H1346" s="60"/>
      <c r="I1346" s="60"/>
      <c r="J1346" s="61"/>
      <c r="K1346" s="61"/>
      <c r="L1346" s="62"/>
      <c r="M1346" s="63"/>
      <c r="N1346" s="17"/>
      <c r="O1346" s="17"/>
      <c r="P1346" s="17"/>
    </row>
    <row r="1347" spans="1:16" x14ac:dyDescent="0.25">
      <c r="A1347" s="60"/>
      <c r="B1347" s="60"/>
      <c r="C1347" s="60"/>
      <c r="D1347" s="60"/>
      <c r="E1347" s="60"/>
      <c r="F1347" s="60"/>
      <c r="G1347" s="60"/>
      <c r="H1347" s="60"/>
      <c r="I1347" s="60"/>
      <c r="J1347" s="61"/>
      <c r="K1347" s="61"/>
      <c r="L1347" s="62"/>
      <c r="M1347" s="64"/>
      <c r="N1347" s="17"/>
      <c r="O1347" s="17"/>
      <c r="P1347" s="17"/>
    </row>
    <row r="1348" spans="1:16" x14ac:dyDescent="0.25">
      <c r="A1348" s="60"/>
      <c r="B1348" s="60"/>
      <c r="C1348" s="60"/>
      <c r="D1348" s="60"/>
      <c r="E1348" s="60"/>
      <c r="F1348" s="60"/>
      <c r="G1348" s="60"/>
      <c r="H1348" s="60"/>
      <c r="I1348" s="60"/>
      <c r="J1348" s="61"/>
      <c r="K1348" s="61"/>
      <c r="L1348" s="62"/>
      <c r="M1348" s="64"/>
      <c r="N1348" s="17"/>
      <c r="O1348" s="17"/>
      <c r="P1348" s="17"/>
    </row>
    <row r="1349" spans="1:16" x14ac:dyDescent="0.25">
      <c r="A1349" s="60"/>
      <c r="B1349" s="60"/>
      <c r="C1349" s="60"/>
      <c r="D1349" s="60"/>
      <c r="E1349" s="60"/>
      <c r="F1349" s="60"/>
      <c r="G1349" s="60"/>
      <c r="H1349" s="60"/>
      <c r="I1349" s="60"/>
      <c r="J1349" s="61"/>
      <c r="K1349" s="61"/>
      <c r="L1349" s="65"/>
      <c r="M1349" s="64"/>
      <c r="N1349" s="17"/>
      <c r="O1349" s="17"/>
      <c r="P1349" s="17"/>
    </row>
    <row r="1350" spans="1:16" x14ac:dyDescent="0.25">
      <c r="A1350" s="60"/>
      <c r="B1350" s="60"/>
      <c r="C1350" s="60"/>
      <c r="D1350" s="60"/>
      <c r="E1350" s="60"/>
      <c r="F1350" s="60"/>
      <c r="G1350" s="60"/>
      <c r="H1350" s="60"/>
      <c r="I1350" s="60"/>
      <c r="J1350" s="61"/>
      <c r="K1350" s="61"/>
      <c r="L1350" s="62"/>
      <c r="M1350" s="63"/>
      <c r="N1350" s="17"/>
      <c r="O1350" s="17"/>
      <c r="P1350" s="17"/>
    </row>
    <row r="1351" spans="1:16" x14ac:dyDescent="0.25">
      <c r="A1351" s="60"/>
      <c r="B1351" s="60"/>
      <c r="C1351" s="60"/>
      <c r="D1351" s="60"/>
      <c r="E1351" s="60"/>
      <c r="F1351" s="60"/>
      <c r="G1351" s="60"/>
      <c r="H1351" s="60"/>
      <c r="I1351" s="60"/>
      <c r="J1351" s="61"/>
      <c r="K1351" s="61"/>
      <c r="L1351" s="65"/>
      <c r="M1351" s="64"/>
      <c r="N1351" s="17"/>
      <c r="O1351" s="17"/>
      <c r="P1351" s="17"/>
    </row>
    <row r="1352" spans="1:16" x14ac:dyDescent="0.25">
      <c r="A1352" s="60"/>
      <c r="B1352" s="60"/>
      <c r="C1352" s="60"/>
      <c r="D1352" s="60"/>
      <c r="E1352" s="60"/>
      <c r="F1352" s="60"/>
      <c r="G1352" s="60"/>
      <c r="H1352" s="60"/>
      <c r="I1352" s="60"/>
      <c r="J1352" s="61"/>
      <c r="K1352" s="61"/>
      <c r="L1352" s="62"/>
      <c r="M1352" s="63"/>
      <c r="N1352" s="17"/>
      <c r="O1352" s="17"/>
      <c r="P1352" s="17"/>
    </row>
    <row r="1353" spans="1:16" x14ac:dyDescent="0.25">
      <c r="A1353" s="60"/>
      <c r="B1353" s="60"/>
      <c r="C1353" s="60"/>
      <c r="D1353" s="60"/>
      <c r="E1353" s="60"/>
      <c r="F1353" s="60"/>
      <c r="G1353" s="60"/>
      <c r="H1353" s="60"/>
      <c r="I1353" s="60"/>
      <c r="J1353" s="61"/>
      <c r="K1353" s="61"/>
      <c r="L1353" s="62"/>
      <c r="M1353" s="64"/>
      <c r="N1353" s="17"/>
      <c r="O1353" s="17"/>
      <c r="P1353" s="17"/>
    </row>
    <row r="1354" spans="1:16" x14ac:dyDescent="0.25">
      <c r="A1354" s="60"/>
      <c r="B1354" s="60"/>
      <c r="C1354" s="60"/>
      <c r="D1354" s="60"/>
      <c r="E1354" s="60"/>
      <c r="F1354" s="60"/>
      <c r="G1354" s="60"/>
      <c r="H1354" s="60"/>
      <c r="I1354" s="60"/>
      <c r="J1354" s="61"/>
      <c r="K1354" s="61"/>
      <c r="L1354" s="62"/>
      <c r="M1354" s="63"/>
      <c r="N1354" s="17"/>
      <c r="O1354" s="17"/>
      <c r="P1354" s="17"/>
    </row>
    <row r="1355" spans="1:16" x14ac:dyDescent="0.25">
      <c r="A1355" s="60"/>
      <c r="B1355" s="60"/>
      <c r="C1355" s="60"/>
      <c r="D1355" s="60"/>
      <c r="E1355" s="60"/>
      <c r="F1355" s="60"/>
      <c r="G1355" s="60"/>
      <c r="H1355" s="60"/>
      <c r="I1355" s="60"/>
      <c r="J1355" s="61"/>
      <c r="K1355" s="61"/>
      <c r="L1355" s="62"/>
      <c r="M1355" s="64"/>
      <c r="N1355" s="17"/>
      <c r="O1355" s="17"/>
      <c r="P1355" s="17"/>
    </row>
    <row r="1356" spans="1:16" x14ac:dyDescent="0.25">
      <c r="A1356" s="60"/>
      <c r="B1356" s="60"/>
      <c r="C1356" s="60"/>
      <c r="D1356" s="60"/>
      <c r="E1356" s="60"/>
      <c r="F1356" s="60"/>
      <c r="G1356" s="60"/>
      <c r="H1356" s="60"/>
      <c r="I1356" s="60"/>
      <c r="J1356" s="61"/>
      <c r="K1356" s="61"/>
      <c r="L1356" s="62"/>
      <c r="M1356" s="64"/>
      <c r="N1356" s="17"/>
      <c r="O1356" s="17"/>
      <c r="P1356" s="17"/>
    </row>
    <row r="1357" spans="1:16" x14ac:dyDescent="0.25">
      <c r="A1357" s="60"/>
      <c r="B1357" s="60"/>
      <c r="C1357" s="60"/>
      <c r="D1357" s="60"/>
      <c r="E1357" s="60"/>
      <c r="F1357" s="60"/>
      <c r="G1357" s="60"/>
      <c r="H1357" s="60"/>
      <c r="I1357" s="60"/>
      <c r="J1357" s="61"/>
      <c r="K1357" s="61"/>
      <c r="L1357" s="62"/>
      <c r="M1357" s="63"/>
      <c r="N1357" s="17"/>
      <c r="O1357" s="17"/>
      <c r="P1357" s="17"/>
    </row>
    <row r="1358" spans="1:16" x14ac:dyDescent="0.25">
      <c r="A1358" s="60"/>
      <c r="B1358" s="60"/>
      <c r="C1358" s="60"/>
      <c r="D1358" s="60"/>
      <c r="E1358" s="60"/>
      <c r="F1358" s="60"/>
      <c r="G1358" s="60"/>
      <c r="H1358" s="60"/>
      <c r="I1358" s="60"/>
      <c r="J1358" s="61"/>
      <c r="K1358" s="61"/>
      <c r="L1358" s="62"/>
      <c r="M1358" s="63"/>
      <c r="N1358" s="17"/>
      <c r="O1358" s="17"/>
      <c r="P1358" s="17"/>
    </row>
    <row r="1359" spans="1:16" x14ac:dyDescent="0.25">
      <c r="A1359" s="60"/>
      <c r="B1359" s="60"/>
      <c r="C1359" s="60"/>
      <c r="D1359" s="60"/>
      <c r="E1359" s="60"/>
      <c r="F1359" s="60"/>
      <c r="G1359" s="60"/>
      <c r="H1359" s="60"/>
      <c r="I1359" s="60"/>
      <c r="J1359" s="61"/>
      <c r="K1359" s="61"/>
      <c r="L1359" s="62"/>
      <c r="M1359" s="64"/>
      <c r="N1359" s="17"/>
      <c r="O1359" s="17"/>
      <c r="P1359" s="17"/>
    </row>
    <row r="1360" spans="1:16" x14ac:dyDescent="0.25">
      <c r="A1360" s="60"/>
      <c r="B1360" s="60"/>
      <c r="C1360" s="60"/>
      <c r="D1360" s="60"/>
      <c r="E1360" s="60"/>
      <c r="F1360" s="60"/>
      <c r="G1360" s="60"/>
      <c r="H1360" s="60"/>
      <c r="I1360" s="60"/>
      <c r="J1360" s="61"/>
      <c r="K1360" s="61"/>
      <c r="L1360" s="65"/>
      <c r="M1360" s="64"/>
      <c r="N1360" s="17"/>
      <c r="O1360" s="17"/>
      <c r="P1360" s="17"/>
    </row>
    <row r="1361" spans="1:16" x14ac:dyDescent="0.25">
      <c r="A1361" s="60"/>
      <c r="B1361" s="60"/>
      <c r="C1361" s="60"/>
      <c r="D1361" s="60"/>
      <c r="E1361" s="60"/>
      <c r="F1361" s="60"/>
      <c r="G1361" s="60"/>
      <c r="H1361" s="60"/>
      <c r="I1361" s="60"/>
      <c r="J1361" s="61"/>
      <c r="K1361" s="61"/>
      <c r="L1361" s="62"/>
      <c r="M1361" s="63"/>
      <c r="N1361" s="17"/>
      <c r="O1361" s="17"/>
      <c r="P1361" s="17"/>
    </row>
    <row r="1362" spans="1:16" x14ac:dyDescent="0.25">
      <c r="A1362" s="60"/>
      <c r="B1362" s="60"/>
      <c r="C1362" s="60"/>
      <c r="D1362" s="60"/>
      <c r="E1362" s="60"/>
      <c r="F1362" s="60"/>
      <c r="G1362" s="60"/>
      <c r="H1362" s="60"/>
      <c r="I1362" s="60"/>
      <c r="J1362" s="61"/>
      <c r="K1362" s="61"/>
      <c r="L1362" s="62"/>
      <c r="M1362" s="64"/>
      <c r="N1362" s="17"/>
      <c r="O1362" s="17"/>
      <c r="P1362" s="17"/>
    </row>
    <row r="1363" spans="1:16" x14ac:dyDescent="0.25">
      <c r="A1363" s="60"/>
      <c r="B1363" s="60"/>
      <c r="C1363" s="60"/>
      <c r="D1363" s="60"/>
      <c r="E1363" s="60"/>
      <c r="F1363" s="60"/>
      <c r="G1363" s="60"/>
      <c r="H1363" s="60"/>
      <c r="I1363" s="60"/>
      <c r="J1363" s="61"/>
      <c r="K1363" s="61"/>
      <c r="L1363" s="62"/>
      <c r="M1363" s="63"/>
      <c r="N1363" s="17"/>
      <c r="O1363" s="17"/>
      <c r="P1363" s="17"/>
    </row>
    <row r="1364" spans="1:16" x14ac:dyDescent="0.25">
      <c r="A1364" s="60"/>
      <c r="B1364" s="60"/>
      <c r="C1364" s="60"/>
      <c r="D1364" s="60"/>
      <c r="E1364" s="60"/>
      <c r="F1364" s="60"/>
      <c r="G1364" s="60"/>
      <c r="H1364" s="60"/>
      <c r="I1364" s="60"/>
      <c r="J1364" s="61"/>
      <c r="K1364" s="61"/>
      <c r="L1364" s="62"/>
      <c r="M1364" s="63"/>
      <c r="N1364" s="17"/>
      <c r="O1364" s="17"/>
      <c r="P1364" s="17"/>
    </row>
    <row r="1365" spans="1:16" x14ac:dyDescent="0.25">
      <c r="A1365" s="60"/>
      <c r="B1365" s="60"/>
      <c r="C1365" s="60"/>
      <c r="D1365" s="60"/>
      <c r="E1365" s="60"/>
      <c r="F1365" s="60"/>
      <c r="G1365" s="60"/>
      <c r="H1365" s="60"/>
      <c r="I1365" s="60"/>
      <c r="J1365" s="61"/>
      <c r="K1365" s="61"/>
      <c r="L1365" s="62"/>
      <c r="M1365" s="64"/>
      <c r="N1365" s="17"/>
      <c r="O1365" s="17"/>
      <c r="P1365" s="17"/>
    </row>
    <row r="1366" spans="1:16" x14ac:dyDescent="0.25">
      <c r="A1366" s="60"/>
      <c r="B1366" s="60"/>
      <c r="C1366" s="60"/>
      <c r="D1366" s="60"/>
      <c r="E1366" s="60"/>
      <c r="F1366" s="60"/>
      <c r="G1366" s="60"/>
      <c r="H1366" s="60"/>
      <c r="I1366" s="60"/>
      <c r="J1366" s="61"/>
      <c r="K1366" s="61"/>
      <c r="L1366" s="62"/>
      <c r="M1366" s="64"/>
      <c r="N1366" s="17"/>
      <c r="O1366" s="17"/>
      <c r="P1366" s="17"/>
    </row>
    <row r="1367" spans="1:16" x14ac:dyDescent="0.25">
      <c r="A1367" s="60"/>
      <c r="B1367" s="60"/>
      <c r="C1367" s="60"/>
      <c r="D1367" s="60"/>
      <c r="E1367" s="60"/>
      <c r="F1367" s="60"/>
      <c r="G1367" s="60"/>
      <c r="H1367" s="60"/>
      <c r="I1367" s="60"/>
      <c r="J1367" s="61"/>
      <c r="K1367" s="61"/>
      <c r="L1367" s="62"/>
      <c r="M1367" s="63"/>
      <c r="N1367" s="17"/>
      <c r="O1367" s="17"/>
      <c r="P1367" s="17"/>
    </row>
    <row r="1368" spans="1:16" x14ac:dyDescent="0.25">
      <c r="A1368" s="60"/>
      <c r="B1368" s="60"/>
      <c r="C1368" s="60"/>
      <c r="D1368" s="60"/>
      <c r="E1368" s="60"/>
      <c r="F1368" s="60"/>
      <c r="G1368" s="60"/>
      <c r="H1368" s="60"/>
      <c r="I1368" s="60"/>
      <c r="J1368" s="61"/>
      <c r="K1368" s="61"/>
      <c r="L1368" s="65"/>
      <c r="M1368" s="64"/>
      <c r="N1368" s="17"/>
      <c r="O1368" s="17"/>
      <c r="P1368" s="17"/>
    </row>
    <row r="1369" spans="1:16" x14ac:dyDescent="0.25">
      <c r="A1369" s="60"/>
      <c r="B1369" s="60"/>
      <c r="C1369" s="60"/>
      <c r="D1369" s="60"/>
      <c r="E1369" s="60"/>
      <c r="F1369" s="60"/>
      <c r="G1369" s="60"/>
      <c r="H1369" s="60"/>
      <c r="I1369" s="60"/>
      <c r="J1369" s="61"/>
      <c r="K1369" s="61"/>
      <c r="L1369" s="62"/>
      <c r="M1369" s="64"/>
      <c r="N1369" s="17"/>
      <c r="O1369" s="17"/>
      <c r="P1369" s="17"/>
    </row>
    <row r="1370" spans="1:16" x14ac:dyDescent="0.25">
      <c r="A1370" s="60"/>
      <c r="B1370" s="60"/>
      <c r="C1370" s="60"/>
      <c r="D1370" s="60"/>
      <c r="E1370" s="60"/>
      <c r="F1370" s="60"/>
      <c r="G1370" s="60"/>
      <c r="H1370" s="60"/>
      <c r="I1370" s="60"/>
      <c r="J1370" s="61"/>
      <c r="K1370" s="61"/>
      <c r="L1370" s="62"/>
      <c r="M1370" s="64"/>
      <c r="N1370" s="17"/>
      <c r="O1370" s="17"/>
      <c r="P1370" s="17"/>
    </row>
    <row r="1371" spans="1:16" x14ac:dyDescent="0.25">
      <c r="A1371" s="60"/>
      <c r="B1371" s="60"/>
      <c r="C1371" s="60"/>
      <c r="D1371" s="60"/>
      <c r="E1371" s="60"/>
      <c r="F1371" s="60"/>
      <c r="G1371" s="60"/>
      <c r="H1371" s="60"/>
      <c r="I1371" s="60"/>
      <c r="J1371" s="61"/>
      <c r="K1371" s="61"/>
      <c r="L1371" s="62"/>
      <c r="M1371" s="63"/>
      <c r="N1371" s="17"/>
      <c r="O1371" s="17"/>
      <c r="P1371" s="17"/>
    </row>
    <row r="1372" spans="1:16" x14ac:dyDescent="0.25">
      <c r="A1372" s="60"/>
      <c r="B1372" s="60"/>
      <c r="C1372" s="60"/>
      <c r="D1372" s="60"/>
      <c r="E1372" s="60"/>
      <c r="F1372" s="60"/>
      <c r="G1372" s="60"/>
      <c r="H1372" s="60"/>
      <c r="I1372" s="60"/>
      <c r="J1372" s="61"/>
      <c r="K1372" s="61"/>
      <c r="L1372" s="62"/>
      <c r="M1372" s="63"/>
      <c r="N1372" s="17"/>
      <c r="O1372" s="17"/>
      <c r="P1372" s="17"/>
    </row>
    <row r="1373" spans="1:16" x14ac:dyDescent="0.25">
      <c r="A1373" s="60"/>
      <c r="B1373" s="60"/>
      <c r="C1373" s="60"/>
      <c r="D1373" s="60"/>
      <c r="E1373" s="60"/>
      <c r="F1373" s="60"/>
      <c r="G1373" s="60"/>
      <c r="H1373" s="60"/>
      <c r="I1373" s="60"/>
      <c r="J1373" s="61"/>
      <c r="K1373" s="61"/>
      <c r="L1373" s="62"/>
      <c r="M1373" s="64"/>
      <c r="N1373" s="17"/>
      <c r="O1373" s="17"/>
      <c r="P1373" s="17"/>
    </row>
    <row r="1374" spans="1:16" x14ac:dyDescent="0.25">
      <c r="A1374" s="60"/>
      <c r="B1374" s="60"/>
      <c r="C1374" s="60"/>
      <c r="D1374" s="60"/>
      <c r="E1374" s="60"/>
      <c r="F1374" s="60"/>
      <c r="G1374" s="60"/>
      <c r="H1374" s="60"/>
      <c r="I1374" s="60"/>
      <c r="J1374" s="61"/>
      <c r="K1374" s="61"/>
      <c r="L1374" s="62"/>
      <c r="M1374" s="64"/>
      <c r="N1374" s="17"/>
      <c r="O1374" s="17"/>
      <c r="P1374" s="17"/>
    </row>
    <row r="1375" spans="1:16" x14ac:dyDescent="0.25">
      <c r="A1375" s="60"/>
      <c r="B1375" s="60"/>
      <c r="C1375" s="60"/>
      <c r="D1375" s="60"/>
      <c r="E1375" s="60"/>
      <c r="F1375" s="60"/>
      <c r="G1375" s="60"/>
      <c r="H1375" s="60"/>
      <c r="I1375" s="60"/>
      <c r="J1375" s="61"/>
      <c r="K1375" s="61"/>
      <c r="L1375" s="62"/>
      <c r="M1375" s="64"/>
      <c r="N1375" s="17"/>
      <c r="O1375" s="17"/>
      <c r="P1375" s="17"/>
    </row>
    <row r="1376" spans="1:16" x14ac:dyDescent="0.25">
      <c r="A1376" s="60"/>
      <c r="B1376" s="60"/>
      <c r="C1376" s="60"/>
      <c r="D1376" s="60"/>
      <c r="E1376" s="60"/>
      <c r="F1376" s="60"/>
      <c r="G1376" s="60"/>
      <c r="H1376" s="60"/>
      <c r="I1376" s="60"/>
      <c r="J1376" s="61"/>
      <c r="K1376" s="61"/>
      <c r="L1376" s="62"/>
      <c r="M1376" s="64"/>
      <c r="N1376" s="17"/>
      <c r="O1376" s="17"/>
      <c r="P1376" s="17"/>
    </row>
    <row r="1377" spans="1:16" x14ac:dyDescent="0.25">
      <c r="A1377" s="60"/>
      <c r="B1377" s="60"/>
      <c r="C1377" s="60"/>
      <c r="D1377" s="60"/>
      <c r="E1377" s="60"/>
      <c r="F1377" s="60"/>
      <c r="G1377" s="60"/>
      <c r="H1377" s="60"/>
      <c r="I1377" s="60"/>
      <c r="J1377" s="61"/>
      <c r="K1377" s="61"/>
      <c r="L1377" s="62"/>
      <c r="M1377" s="64"/>
      <c r="N1377" s="17"/>
      <c r="O1377" s="17"/>
      <c r="P1377" s="17"/>
    </row>
    <row r="1378" spans="1:16" x14ac:dyDescent="0.25">
      <c r="A1378" s="60"/>
      <c r="B1378" s="60"/>
      <c r="C1378" s="60"/>
      <c r="D1378" s="60"/>
      <c r="E1378" s="60"/>
      <c r="F1378" s="60"/>
      <c r="G1378" s="60"/>
      <c r="H1378" s="60"/>
      <c r="I1378" s="60"/>
      <c r="J1378" s="61"/>
      <c r="K1378" s="61"/>
      <c r="L1378" s="62"/>
      <c r="M1378" s="64"/>
      <c r="N1378" s="17"/>
      <c r="O1378" s="17"/>
      <c r="P1378" s="17"/>
    </row>
    <row r="1379" spans="1:16" x14ac:dyDescent="0.25">
      <c r="A1379" s="60"/>
      <c r="B1379" s="60"/>
      <c r="C1379" s="60"/>
      <c r="D1379" s="60"/>
      <c r="E1379" s="60"/>
      <c r="F1379" s="60"/>
      <c r="G1379" s="60"/>
      <c r="H1379" s="60"/>
      <c r="I1379" s="60"/>
      <c r="J1379" s="61"/>
      <c r="K1379" s="61"/>
      <c r="L1379" s="62"/>
      <c r="M1379" s="64"/>
      <c r="N1379" s="17"/>
      <c r="O1379" s="17"/>
      <c r="P1379" s="17"/>
    </row>
    <row r="1380" spans="1:16" x14ac:dyDescent="0.25">
      <c r="A1380" s="60"/>
      <c r="B1380" s="60"/>
      <c r="C1380" s="60"/>
      <c r="D1380" s="60"/>
      <c r="E1380" s="60"/>
      <c r="F1380" s="60"/>
      <c r="G1380" s="60"/>
      <c r="H1380" s="60"/>
      <c r="I1380" s="60"/>
      <c r="J1380" s="61"/>
      <c r="K1380" s="61"/>
      <c r="L1380" s="62"/>
      <c r="M1380" s="64"/>
      <c r="N1380" s="17"/>
      <c r="O1380" s="17"/>
      <c r="P1380" s="17"/>
    </row>
    <row r="1381" spans="1:16" x14ac:dyDescent="0.25">
      <c r="A1381" s="60"/>
      <c r="B1381" s="60"/>
      <c r="C1381" s="60"/>
      <c r="D1381" s="60"/>
      <c r="E1381" s="60"/>
      <c r="F1381" s="60"/>
      <c r="G1381" s="60"/>
      <c r="H1381" s="60"/>
      <c r="I1381" s="60"/>
      <c r="J1381" s="61"/>
      <c r="K1381" s="61"/>
      <c r="L1381" s="62"/>
      <c r="M1381" s="64"/>
      <c r="N1381" s="17"/>
      <c r="O1381" s="17"/>
      <c r="P1381" s="17"/>
    </row>
    <row r="1382" spans="1:16" x14ac:dyDescent="0.25">
      <c r="A1382" s="60"/>
      <c r="B1382" s="60"/>
      <c r="C1382" s="60"/>
      <c r="D1382" s="60"/>
      <c r="E1382" s="60"/>
      <c r="F1382" s="60"/>
      <c r="G1382" s="60"/>
      <c r="H1382" s="60"/>
      <c r="I1382" s="60"/>
      <c r="J1382" s="61"/>
      <c r="K1382" s="61"/>
      <c r="L1382" s="62"/>
      <c r="M1382" s="63"/>
      <c r="N1382" s="17"/>
      <c r="O1382" s="17"/>
      <c r="P1382" s="17"/>
    </row>
    <row r="1383" spans="1:16" x14ac:dyDescent="0.25">
      <c r="A1383" s="60"/>
      <c r="B1383" s="60"/>
      <c r="C1383" s="60"/>
      <c r="D1383" s="60"/>
      <c r="E1383" s="60"/>
      <c r="F1383" s="60"/>
      <c r="G1383" s="60"/>
      <c r="H1383" s="60"/>
      <c r="I1383" s="60"/>
      <c r="J1383" s="61"/>
      <c r="K1383" s="61"/>
      <c r="L1383" s="62"/>
      <c r="M1383" s="63"/>
      <c r="N1383" s="17"/>
      <c r="O1383" s="17"/>
      <c r="P1383" s="17"/>
    </row>
    <row r="1384" spans="1:16" x14ac:dyDescent="0.25">
      <c r="A1384" s="60"/>
      <c r="B1384" s="60"/>
      <c r="C1384" s="60"/>
      <c r="D1384" s="60"/>
      <c r="E1384" s="60"/>
      <c r="F1384" s="60"/>
      <c r="G1384" s="60"/>
      <c r="H1384" s="60"/>
      <c r="I1384" s="60"/>
      <c r="J1384" s="61"/>
      <c r="K1384" s="61"/>
      <c r="L1384" s="62"/>
      <c r="M1384" s="64"/>
      <c r="N1384" s="17"/>
      <c r="O1384" s="17"/>
      <c r="P1384" s="17"/>
    </row>
    <row r="1385" spans="1:16" x14ac:dyDescent="0.25">
      <c r="A1385" s="60"/>
      <c r="B1385" s="60"/>
      <c r="C1385" s="60"/>
      <c r="D1385" s="60"/>
      <c r="E1385" s="60"/>
      <c r="F1385" s="60"/>
      <c r="G1385" s="60"/>
      <c r="H1385" s="60"/>
      <c r="I1385" s="60"/>
      <c r="J1385" s="61"/>
      <c r="K1385" s="61"/>
      <c r="L1385" s="62"/>
      <c r="M1385" s="64"/>
      <c r="N1385" s="17"/>
      <c r="O1385" s="17"/>
      <c r="P1385" s="17"/>
    </row>
    <row r="1386" spans="1:16" x14ac:dyDescent="0.25">
      <c r="A1386" s="60"/>
      <c r="B1386" s="60"/>
      <c r="C1386" s="60"/>
      <c r="D1386" s="60"/>
      <c r="E1386" s="60"/>
      <c r="F1386" s="60"/>
      <c r="G1386" s="60"/>
      <c r="H1386" s="60"/>
      <c r="I1386" s="60"/>
      <c r="J1386" s="61"/>
      <c r="K1386" s="61"/>
      <c r="L1386" s="62"/>
      <c r="M1386" s="64"/>
      <c r="N1386" s="17"/>
      <c r="O1386" s="17"/>
      <c r="P1386" s="17"/>
    </row>
    <row r="1387" spans="1:16" x14ac:dyDescent="0.25">
      <c r="A1387" s="60"/>
      <c r="B1387" s="60"/>
      <c r="C1387" s="60"/>
      <c r="D1387" s="60"/>
      <c r="E1387" s="60"/>
      <c r="F1387" s="60"/>
      <c r="G1387" s="60"/>
      <c r="H1387" s="60"/>
      <c r="I1387" s="60"/>
      <c r="J1387" s="61"/>
      <c r="K1387" s="61"/>
      <c r="L1387" s="65"/>
      <c r="M1387" s="64"/>
      <c r="N1387" s="17"/>
      <c r="O1387" s="17"/>
      <c r="P1387" s="17"/>
    </row>
    <row r="1388" spans="1:16" x14ac:dyDescent="0.25">
      <c r="A1388" s="60"/>
      <c r="B1388" s="60"/>
      <c r="C1388" s="60"/>
      <c r="D1388" s="60"/>
      <c r="E1388" s="60"/>
      <c r="F1388" s="60"/>
      <c r="G1388" s="60"/>
      <c r="H1388" s="60"/>
      <c r="I1388" s="60"/>
      <c r="J1388" s="61"/>
      <c r="K1388" s="61"/>
      <c r="L1388" s="65"/>
      <c r="M1388" s="64"/>
      <c r="N1388" s="17"/>
      <c r="O1388" s="17"/>
      <c r="P1388" s="17"/>
    </row>
    <row r="1389" spans="1:16" x14ac:dyDescent="0.25">
      <c r="A1389" s="60"/>
      <c r="B1389" s="60"/>
      <c r="C1389" s="60"/>
      <c r="D1389" s="60"/>
      <c r="E1389" s="60"/>
      <c r="F1389" s="60"/>
      <c r="G1389" s="60"/>
      <c r="H1389" s="60"/>
      <c r="I1389" s="60"/>
      <c r="J1389" s="61"/>
      <c r="K1389" s="61"/>
      <c r="L1389" s="65"/>
      <c r="M1389" s="64"/>
      <c r="N1389" s="17"/>
      <c r="O1389" s="17"/>
      <c r="P1389" s="17"/>
    </row>
    <row r="1390" spans="1:16" x14ac:dyDescent="0.25">
      <c r="A1390" s="60"/>
      <c r="B1390" s="60"/>
      <c r="C1390" s="60"/>
      <c r="D1390" s="60"/>
      <c r="E1390" s="60"/>
      <c r="F1390" s="60"/>
      <c r="G1390" s="60"/>
      <c r="H1390" s="60"/>
      <c r="I1390" s="60"/>
      <c r="J1390" s="61"/>
      <c r="K1390" s="61"/>
      <c r="L1390" s="62"/>
      <c r="M1390" s="64"/>
      <c r="N1390" s="17"/>
      <c r="O1390" s="17"/>
      <c r="P1390" s="17"/>
    </row>
    <row r="1391" spans="1:16" x14ac:dyDescent="0.25">
      <c r="A1391" s="60"/>
      <c r="B1391" s="60"/>
      <c r="C1391" s="60"/>
      <c r="D1391" s="60"/>
      <c r="E1391" s="60"/>
      <c r="F1391" s="60"/>
      <c r="G1391" s="60"/>
      <c r="H1391" s="60"/>
      <c r="I1391" s="60"/>
      <c r="J1391" s="61"/>
      <c r="K1391" s="61"/>
      <c r="L1391" s="62"/>
      <c r="M1391" s="63"/>
      <c r="N1391" s="17"/>
      <c r="O1391" s="17"/>
      <c r="P1391" s="17"/>
    </row>
    <row r="1392" spans="1:16" x14ac:dyDescent="0.25">
      <c r="A1392" s="60"/>
      <c r="B1392" s="60"/>
      <c r="C1392" s="60"/>
      <c r="D1392" s="60"/>
      <c r="E1392" s="60"/>
      <c r="F1392" s="60"/>
      <c r="G1392" s="60"/>
      <c r="H1392" s="60"/>
      <c r="I1392" s="60"/>
      <c r="J1392" s="61"/>
      <c r="K1392" s="61"/>
      <c r="L1392" s="62"/>
      <c r="M1392" s="64"/>
      <c r="N1392" s="17"/>
      <c r="O1392" s="17"/>
      <c r="P1392" s="17"/>
    </row>
    <row r="1393" spans="1:16" x14ac:dyDescent="0.25">
      <c r="A1393" s="60"/>
      <c r="B1393" s="60"/>
      <c r="C1393" s="60"/>
      <c r="D1393" s="60"/>
      <c r="E1393" s="60"/>
      <c r="F1393" s="60"/>
      <c r="G1393" s="60"/>
      <c r="H1393" s="60"/>
      <c r="I1393" s="60"/>
      <c r="J1393" s="61"/>
      <c r="K1393" s="61"/>
      <c r="L1393" s="62"/>
      <c r="M1393" s="63"/>
      <c r="N1393" s="17"/>
      <c r="O1393" s="17"/>
      <c r="P1393" s="17"/>
    </row>
    <row r="1394" spans="1:16" x14ac:dyDescent="0.25">
      <c r="A1394" s="60"/>
      <c r="B1394" s="60"/>
      <c r="C1394" s="60"/>
      <c r="D1394" s="60"/>
      <c r="E1394" s="60"/>
      <c r="F1394" s="60"/>
      <c r="G1394" s="60"/>
      <c r="H1394" s="60"/>
      <c r="I1394" s="60"/>
      <c r="J1394" s="61"/>
      <c r="K1394" s="61"/>
      <c r="L1394" s="62"/>
      <c r="M1394" s="63"/>
      <c r="N1394" s="17"/>
      <c r="O1394" s="17"/>
      <c r="P1394" s="17"/>
    </row>
    <row r="1395" spans="1:16" x14ac:dyDescent="0.25">
      <c r="A1395" s="60"/>
      <c r="B1395" s="60"/>
      <c r="C1395" s="60"/>
      <c r="D1395" s="60"/>
      <c r="E1395" s="60"/>
      <c r="F1395" s="60"/>
      <c r="G1395" s="60"/>
      <c r="H1395" s="60"/>
      <c r="I1395" s="60"/>
      <c r="J1395" s="61"/>
      <c r="K1395" s="61"/>
      <c r="L1395" s="62"/>
      <c r="M1395" s="63"/>
      <c r="N1395" s="17"/>
      <c r="O1395" s="17"/>
      <c r="P1395" s="17"/>
    </row>
    <row r="1396" spans="1:16" x14ac:dyDescent="0.25">
      <c r="A1396" s="60"/>
      <c r="B1396" s="60"/>
      <c r="C1396" s="60"/>
      <c r="D1396" s="60"/>
      <c r="E1396" s="60"/>
      <c r="F1396" s="60"/>
      <c r="G1396" s="60"/>
      <c r="H1396" s="60"/>
      <c r="I1396" s="60"/>
      <c r="J1396" s="61"/>
      <c r="K1396" s="61"/>
      <c r="L1396" s="62"/>
      <c r="M1396" s="63"/>
      <c r="N1396" s="17"/>
      <c r="O1396" s="17"/>
      <c r="P1396" s="17"/>
    </row>
    <row r="1397" spans="1:16" x14ac:dyDescent="0.25">
      <c r="A1397" s="60"/>
      <c r="B1397" s="60"/>
      <c r="C1397" s="60"/>
      <c r="D1397" s="60"/>
      <c r="E1397" s="60"/>
      <c r="F1397" s="60"/>
      <c r="G1397" s="60"/>
      <c r="H1397" s="60"/>
      <c r="I1397" s="60"/>
      <c r="J1397" s="61"/>
      <c r="K1397" s="61"/>
      <c r="L1397" s="62"/>
      <c r="M1397" s="63"/>
      <c r="N1397" s="17"/>
      <c r="O1397" s="17"/>
      <c r="P1397" s="17"/>
    </row>
    <row r="1398" spans="1:16" x14ac:dyDescent="0.25">
      <c r="A1398" s="60"/>
      <c r="B1398" s="60"/>
      <c r="C1398" s="60"/>
      <c r="D1398" s="60"/>
      <c r="E1398" s="60"/>
      <c r="F1398" s="60"/>
      <c r="G1398" s="60"/>
      <c r="H1398" s="60"/>
      <c r="I1398" s="60"/>
      <c r="J1398" s="61"/>
      <c r="K1398" s="61"/>
      <c r="L1398" s="62"/>
      <c r="M1398" s="63"/>
      <c r="N1398" s="17"/>
      <c r="O1398" s="17"/>
      <c r="P1398" s="17"/>
    </row>
    <row r="1399" spans="1:16" x14ac:dyDescent="0.25">
      <c r="A1399" s="60"/>
      <c r="B1399" s="60"/>
      <c r="C1399" s="60"/>
      <c r="D1399" s="60"/>
      <c r="E1399" s="60"/>
      <c r="F1399" s="60"/>
      <c r="G1399" s="60"/>
      <c r="H1399" s="60"/>
      <c r="I1399" s="60"/>
      <c r="J1399" s="61"/>
      <c r="K1399" s="61"/>
      <c r="L1399" s="65"/>
      <c r="M1399" s="64"/>
      <c r="N1399" s="17"/>
      <c r="O1399" s="17"/>
      <c r="P1399" s="17"/>
    </row>
    <row r="1400" spans="1:16" x14ac:dyDescent="0.25">
      <c r="A1400" s="60"/>
      <c r="B1400" s="60"/>
      <c r="C1400" s="60"/>
      <c r="D1400" s="60"/>
      <c r="E1400" s="60"/>
      <c r="F1400" s="60"/>
      <c r="G1400" s="60"/>
      <c r="H1400" s="60"/>
      <c r="I1400" s="60"/>
      <c r="J1400" s="61"/>
      <c r="K1400" s="61"/>
      <c r="L1400" s="65"/>
      <c r="M1400" s="64"/>
      <c r="N1400" s="17"/>
      <c r="O1400" s="17"/>
      <c r="P1400" s="17"/>
    </row>
    <row r="1401" spans="1:16" x14ac:dyDescent="0.25">
      <c r="A1401" s="60"/>
      <c r="B1401" s="60"/>
      <c r="C1401" s="60"/>
      <c r="D1401" s="60"/>
      <c r="E1401" s="60"/>
      <c r="F1401" s="60"/>
      <c r="G1401" s="60"/>
      <c r="H1401" s="60"/>
      <c r="I1401" s="60"/>
      <c r="J1401" s="61"/>
      <c r="K1401" s="61"/>
      <c r="L1401" s="62"/>
      <c r="M1401" s="64"/>
      <c r="N1401" s="17"/>
      <c r="O1401" s="17"/>
      <c r="P1401" s="17"/>
    </row>
    <row r="1402" spans="1:16" x14ac:dyDescent="0.25">
      <c r="A1402" s="60"/>
      <c r="B1402" s="60"/>
      <c r="C1402" s="60"/>
      <c r="D1402" s="60"/>
      <c r="E1402" s="60"/>
      <c r="F1402" s="60"/>
      <c r="G1402" s="60"/>
      <c r="H1402" s="60"/>
      <c r="I1402" s="60"/>
      <c r="J1402" s="61"/>
      <c r="K1402" s="61"/>
      <c r="L1402" s="62"/>
      <c r="M1402" s="63"/>
      <c r="N1402" s="17"/>
      <c r="O1402" s="17"/>
      <c r="P1402" s="17"/>
    </row>
    <row r="1403" spans="1:16" x14ac:dyDescent="0.25">
      <c r="A1403" s="60"/>
      <c r="B1403" s="60"/>
      <c r="C1403" s="60"/>
      <c r="D1403" s="60"/>
      <c r="E1403" s="60"/>
      <c r="F1403" s="60"/>
      <c r="G1403" s="60"/>
      <c r="H1403" s="60"/>
      <c r="I1403" s="60"/>
      <c r="J1403" s="61"/>
      <c r="K1403" s="61"/>
      <c r="L1403" s="62"/>
      <c r="M1403" s="63"/>
      <c r="N1403" s="17"/>
      <c r="O1403" s="17"/>
      <c r="P1403" s="17"/>
    </row>
    <row r="1404" spans="1:16" x14ac:dyDescent="0.25">
      <c r="A1404" s="60"/>
      <c r="B1404" s="60"/>
      <c r="C1404" s="60"/>
      <c r="D1404" s="60"/>
      <c r="E1404" s="60"/>
      <c r="F1404" s="60"/>
      <c r="G1404" s="60"/>
      <c r="H1404" s="60"/>
      <c r="I1404" s="60"/>
      <c r="J1404" s="61"/>
      <c r="K1404" s="61"/>
      <c r="L1404" s="62"/>
      <c r="M1404" s="64"/>
      <c r="N1404" s="17"/>
      <c r="O1404" s="17"/>
      <c r="P1404" s="17"/>
    </row>
    <row r="1405" spans="1:16" x14ac:dyDescent="0.25">
      <c r="A1405" s="60"/>
      <c r="B1405" s="60"/>
      <c r="C1405" s="60"/>
      <c r="D1405" s="60"/>
      <c r="E1405" s="60"/>
      <c r="F1405" s="60"/>
      <c r="G1405" s="60"/>
      <c r="H1405" s="60"/>
      <c r="I1405" s="60"/>
      <c r="J1405" s="61"/>
      <c r="K1405" s="61"/>
      <c r="L1405" s="62"/>
      <c r="M1405" s="63"/>
      <c r="N1405" s="17"/>
      <c r="O1405" s="17"/>
      <c r="P1405" s="17"/>
    </row>
    <row r="1406" spans="1:16" x14ac:dyDescent="0.25">
      <c r="A1406" s="60"/>
      <c r="B1406" s="60"/>
      <c r="C1406" s="60"/>
      <c r="D1406" s="60"/>
      <c r="E1406" s="60"/>
      <c r="F1406" s="60"/>
      <c r="G1406" s="60"/>
      <c r="H1406" s="60"/>
      <c r="I1406" s="60"/>
      <c r="J1406" s="61"/>
      <c r="K1406" s="61"/>
      <c r="L1406" s="62"/>
      <c r="M1406" s="63"/>
      <c r="N1406" s="17"/>
      <c r="O1406" s="17"/>
      <c r="P1406" s="17"/>
    </row>
    <row r="1407" spans="1:16" x14ac:dyDescent="0.25">
      <c r="A1407" s="60"/>
      <c r="B1407" s="60"/>
      <c r="C1407" s="60"/>
      <c r="D1407" s="60"/>
      <c r="E1407" s="60"/>
      <c r="F1407" s="60"/>
      <c r="G1407" s="60"/>
      <c r="H1407" s="60"/>
      <c r="I1407" s="60"/>
      <c r="J1407" s="61"/>
      <c r="K1407" s="61"/>
      <c r="L1407" s="62"/>
      <c r="M1407" s="64"/>
      <c r="N1407" s="17"/>
      <c r="O1407" s="17"/>
      <c r="P1407" s="17"/>
    </row>
    <row r="1408" spans="1:16" x14ac:dyDescent="0.25">
      <c r="A1408" s="60"/>
      <c r="B1408" s="60"/>
      <c r="C1408" s="60"/>
      <c r="D1408" s="60"/>
      <c r="E1408" s="60"/>
      <c r="F1408" s="60"/>
      <c r="G1408" s="60"/>
      <c r="H1408" s="60"/>
      <c r="I1408" s="60"/>
      <c r="J1408" s="61"/>
      <c r="K1408" s="61"/>
      <c r="L1408" s="62"/>
      <c r="M1408" s="63"/>
      <c r="N1408" s="17"/>
      <c r="O1408" s="17"/>
      <c r="P1408" s="17"/>
    </row>
    <row r="1409" spans="1:16" x14ac:dyDescent="0.25">
      <c r="A1409" s="60"/>
      <c r="B1409" s="60"/>
      <c r="C1409" s="60"/>
      <c r="D1409" s="60"/>
      <c r="E1409" s="60"/>
      <c r="F1409" s="60"/>
      <c r="G1409" s="60"/>
      <c r="H1409" s="60"/>
      <c r="I1409" s="60"/>
      <c r="J1409" s="61"/>
      <c r="K1409" s="61"/>
      <c r="L1409" s="62"/>
      <c r="M1409" s="64"/>
      <c r="N1409" s="17"/>
      <c r="O1409" s="17"/>
      <c r="P1409" s="17"/>
    </row>
    <row r="1410" spans="1:16" x14ac:dyDescent="0.25">
      <c r="A1410" s="60"/>
      <c r="B1410" s="60"/>
      <c r="C1410" s="60"/>
      <c r="D1410" s="60"/>
      <c r="E1410" s="60"/>
      <c r="F1410" s="60"/>
      <c r="G1410" s="60"/>
      <c r="H1410" s="60"/>
      <c r="I1410" s="60"/>
      <c r="J1410" s="61"/>
      <c r="K1410" s="61"/>
      <c r="L1410" s="65"/>
      <c r="M1410" s="64"/>
      <c r="N1410" s="17"/>
      <c r="O1410" s="17"/>
      <c r="P1410" s="17"/>
    </row>
    <row r="1411" spans="1:16" x14ac:dyDescent="0.25">
      <c r="A1411" s="60"/>
      <c r="B1411" s="60"/>
      <c r="C1411" s="60"/>
      <c r="D1411" s="60"/>
      <c r="E1411" s="60"/>
      <c r="F1411" s="60"/>
      <c r="G1411" s="60"/>
      <c r="H1411" s="60"/>
      <c r="I1411" s="60"/>
      <c r="J1411" s="61"/>
      <c r="K1411" s="61"/>
      <c r="L1411" s="62"/>
      <c r="M1411" s="63"/>
      <c r="N1411" s="17"/>
      <c r="O1411" s="17"/>
      <c r="P1411" s="17"/>
    </row>
    <row r="1412" spans="1:16" x14ac:dyDescent="0.25">
      <c r="A1412" s="60"/>
      <c r="B1412" s="60"/>
      <c r="C1412" s="60"/>
      <c r="D1412" s="60"/>
      <c r="E1412" s="60"/>
      <c r="F1412" s="60"/>
      <c r="G1412" s="60"/>
      <c r="H1412" s="60"/>
      <c r="I1412" s="60"/>
      <c r="J1412" s="61"/>
      <c r="K1412" s="61"/>
      <c r="L1412" s="62"/>
      <c r="M1412" s="63"/>
      <c r="N1412" s="17"/>
      <c r="O1412" s="17"/>
      <c r="P1412" s="17"/>
    </row>
    <row r="1413" spans="1:16" x14ac:dyDescent="0.25">
      <c r="A1413" s="60"/>
      <c r="B1413" s="60"/>
      <c r="C1413" s="60"/>
      <c r="D1413" s="60"/>
      <c r="E1413" s="60"/>
      <c r="F1413" s="60"/>
      <c r="G1413" s="60"/>
      <c r="H1413" s="60"/>
      <c r="I1413" s="60"/>
      <c r="J1413" s="61"/>
      <c r="K1413" s="61"/>
      <c r="L1413" s="62"/>
      <c r="M1413" s="64"/>
      <c r="N1413" s="17"/>
      <c r="O1413" s="17"/>
      <c r="P1413" s="17"/>
    </row>
    <row r="1414" spans="1:16" x14ac:dyDescent="0.25">
      <c r="A1414" s="60"/>
      <c r="B1414" s="60"/>
      <c r="C1414" s="60"/>
      <c r="D1414" s="60"/>
      <c r="E1414" s="60"/>
      <c r="F1414" s="60"/>
      <c r="G1414" s="60"/>
      <c r="H1414" s="60"/>
      <c r="I1414" s="60"/>
      <c r="J1414" s="61"/>
      <c r="K1414" s="61"/>
      <c r="L1414" s="62"/>
      <c r="M1414" s="63"/>
      <c r="N1414" s="17"/>
      <c r="O1414" s="17"/>
      <c r="P1414" s="17"/>
    </row>
    <row r="1415" spans="1:16" x14ac:dyDescent="0.25">
      <c r="A1415" s="60"/>
      <c r="B1415" s="60"/>
      <c r="C1415" s="60"/>
      <c r="D1415" s="60"/>
      <c r="E1415" s="60"/>
      <c r="F1415" s="60"/>
      <c r="G1415" s="60"/>
      <c r="H1415" s="60"/>
      <c r="I1415" s="60"/>
      <c r="J1415" s="61"/>
      <c r="K1415" s="61"/>
      <c r="L1415" s="65"/>
      <c r="M1415" s="64"/>
      <c r="N1415" s="17"/>
      <c r="O1415" s="17"/>
      <c r="P1415" s="17"/>
    </row>
    <row r="1416" spans="1:16" x14ac:dyDescent="0.25">
      <c r="A1416" s="60"/>
      <c r="B1416" s="60"/>
      <c r="C1416" s="60"/>
      <c r="D1416" s="60"/>
      <c r="E1416" s="60"/>
      <c r="F1416" s="60"/>
      <c r="G1416" s="60"/>
      <c r="H1416" s="60"/>
      <c r="I1416" s="60"/>
      <c r="J1416" s="61"/>
      <c r="K1416" s="61"/>
      <c r="L1416" s="65"/>
      <c r="M1416" s="64"/>
      <c r="N1416" s="17"/>
      <c r="O1416" s="17"/>
      <c r="P1416" s="17"/>
    </row>
    <row r="1417" spans="1:16" x14ac:dyDescent="0.25">
      <c r="A1417" s="60"/>
      <c r="B1417" s="60"/>
      <c r="C1417" s="60"/>
      <c r="D1417" s="60"/>
      <c r="E1417" s="60"/>
      <c r="F1417" s="60"/>
      <c r="G1417" s="60"/>
      <c r="H1417" s="60"/>
      <c r="I1417" s="60"/>
      <c r="J1417" s="61"/>
      <c r="K1417" s="61"/>
      <c r="L1417" s="65"/>
      <c r="M1417" s="64"/>
      <c r="N1417" s="17"/>
      <c r="O1417" s="17"/>
      <c r="P1417" s="17"/>
    </row>
    <row r="1418" spans="1:16" x14ac:dyDescent="0.25">
      <c r="A1418" s="60"/>
      <c r="B1418" s="60"/>
      <c r="C1418" s="60"/>
      <c r="D1418" s="60"/>
      <c r="E1418" s="60"/>
      <c r="F1418" s="60"/>
      <c r="G1418" s="60"/>
      <c r="H1418" s="60"/>
      <c r="I1418" s="60"/>
      <c r="J1418" s="61"/>
      <c r="K1418" s="61"/>
      <c r="L1418" s="62"/>
      <c r="M1418" s="63"/>
      <c r="N1418" s="17"/>
      <c r="O1418" s="17"/>
      <c r="P1418" s="17"/>
    </row>
    <row r="1419" spans="1:16" x14ac:dyDescent="0.25">
      <c r="A1419" s="60"/>
      <c r="B1419" s="60"/>
      <c r="C1419" s="60"/>
      <c r="D1419" s="60"/>
      <c r="E1419" s="60"/>
      <c r="F1419" s="60"/>
      <c r="G1419" s="60"/>
      <c r="H1419" s="60"/>
      <c r="I1419" s="60"/>
      <c r="J1419" s="61"/>
      <c r="K1419" s="61"/>
      <c r="L1419" s="65"/>
      <c r="M1419" s="64"/>
      <c r="N1419" s="17"/>
      <c r="O1419" s="17"/>
      <c r="P1419" s="17"/>
    </row>
    <row r="1420" spans="1:16" x14ac:dyDescent="0.25">
      <c r="A1420" s="60"/>
      <c r="B1420" s="60"/>
      <c r="C1420" s="60"/>
      <c r="D1420" s="60"/>
      <c r="E1420" s="60"/>
      <c r="F1420" s="60"/>
      <c r="G1420" s="60"/>
      <c r="H1420" s="60"/>
      <c r="I1420" s="60"/>
      <c r="J1420" s="61"/>
      <c r="K1420" s="61"/>
      <c r="L1420" s="62"/>
      <c r="M1420" s="64"/>
      <c r="N1420" s="17"/>
      <c r="O1420" s="17"/>
      <c r="P1420" s="17"/>
    </row>
    <row r="1421" spans="1:16" x14ac:dyDescent="0.25">
      <c r="A1421" s="60"/>
      <c r="B1421" s="60"/>
      <c r="C1421" s="60"/>
      <c r="D1421" s="60"/>
      <c r="E1421" s="60"/>
      <c r="F1421" s="60"/>
      <c r="G1421" s="60"/>
      <c r="H1421" s="60"/>
      <c r="I1421" s="60"/>
      <c r="J1421" s="61"/>
      <c r="K1421" s="61"/>
      <c r="L1421" s="62"/>
      <c r="M1421" s="64"/>
      <c r="N1421" s="17"/>
      <c r="O1421" s="17"/>
      <c r="P1421" s="17"/>
    </row>
    <row r="1422" spans="1:16" x14ac:dyDescent="0.25">
      <c r="A1422" s="60"/>
      <c r="B1422" s="60"/>
      <c r="C1422" s="60"/>
      <c r="D1422" s="60"/>
      <c r="E1422" s="60"/>
      <c r="F1422" s="60"/>
      <c r="G1422" s="60"/>
      <c r="H1422" s="60"/>
      <c r="I1422" s="60"/>
      <c r="J1422" s="61"/>
      <c r="K1422" s="61"/>
      <c r="L1422" s="65"/>
      <c r="M1422" s="64"/>
      <c r="N1422" s="17"/>
      <c r="O1422" s="17"/>
      <c r="P1422" s="17"/>
    </row>
    <row r="1423" spans="1:16" x14ac:dyDescent="0.25">
      <c r="A1423" s="60"/>
      <c r="B1423" s="60"/>
      <c r="C1423" s="60"/>
      <c r="D1423" s="60"/>
      <c r="E1423" s="60"/>
      <c r="F1423" s="60"/>
      <c r="G1423" s="60"/>
      <c r="H1423" s="60"/>
      <c r="I1423" s="60"/>
      <c r="J1423" s="61"/>
      <c r="K1423" s="61"/>
      <c r="L1423" s="65"/>
      <c r="M1423" s="64"/>
      <c r="N1423" s="17"/>
      <c r="O1423" s="17"/>
      <c r="P1423" s="17"/>
    </row>
    <row r="1424" spans="1:16" x14ac:dyDescent="0.25">
      <c r="A1424" s="60"/>
      <c r="B1424" s="60"/>
      <c r="C1424" s="60"/>
      <c r="D1424" s="60"/>
      <c r="E1424" s="60"/>
      <c r="F1424" s="60"/>
      <c r="G1424" s="60"/>
      <c r="H1424" s="60"/>
      <c r="I1424" s="60"/>
      <c r="J1424" s="61"/>
      <c r="K1424" s="61"/>
      <c r="L1424" s="65"/>
      <c r="M1424" s="64"/>
      <c r="N1424" s="17"/>
      <c r="O1424" s="17"/>
      <c r="P1424" s="17"/>
    </row>
    <row r="1425" spans="1:16" x14ac:dyDescent="0.25">
      <c r="A1425" s="60"/>
      <c r="B1425" s="60"/>
      <c r="C1425" s="60"/>
      <c r="D1425" s="60"/>
      <c r="E1425" s="60"/>
      <c r="F1425" s="60"/>
      <c r="G1425" s="60"/>
      <c r="H1425" s="60"/>
      <c r="I1425" s="60"/>
      <c r="J1425" s="61"/>
      <c r="K1425" s="61"/>
      <c r="L1425" s="62"/>
      <c r="M1425" s="63"/>
      <c r="N1425" s="17"/>
      <c r="O1425" s="17"/>
      <c r="P1425" s="17"/>
    </row>
    <row r="1426" spans="1:16" x14ac:dyDescent="0.25">
      <c r="A1426" s="60"/>
      <c r="B1426" s="60"/>
      <c r="C1426" s="60"/>
      <c r="D1426" s="60"/>
      <c r="E1426" s="60"/>
      <c r="F1426" s="60"/>
      <c r="G1426" s="60"/>
      <c r="H1426" s="60"/>
      <c r="I1426" s="60"/>
      <c r="J1426" s="61"/>
      <c r="K1426" s="61"/>
      <c r="L1426" s="62"/>
      <c r="M1426" s="64"/>
      <c r="N1426" s="17"/>
      <c r="O1426" s="17"/>
      <c r="P1426" s="17"/>
    </row>
    <row r="1427" spans="1:16" x14ac:dyDescent="0.25">
      <c r="A1427" s="60"/>
      <c r="B1427" s="60"/>
      <c r="C1427" s="60"/>
      <c r="D1427" s="60"/>
      <c r="E1427" s="60"/>
      <c r="F1427" s="60"/>
      <c r="G1427" s="60"/>
      <c r="H1427" s="60"/>
      <c r="I1427" s="60"/>
      <c r="J1427" s="61"/>
      <c r="K1427" s="61"/>
      <c r="L1427" s="62"/>
      <c r="M1427" s="63"/>
      <c r="N1427" s="17"/>
      <c r="O1427" s="17"/>
      <c r="P1427" s="17"/>
    </row>
    <row r="1428" spans="1:16" x14ac:dyDescent="0.25">
      <c r="A1428" s="60"/>
      <c r="B1428" s="60"/>
      <c r="C1428" s="60"/>
      <c r="D1428" s="60"/>
      <c r="E1428" s="60"/>
      <c r="F1428" s="60"/>
      <c r="G1428" s="60"/>
      <c r="H1428" s="60"/>
      <c r="I1428" s="60"/>
      <c r="J1428" s="61"/>
      <c r="K1428" s="61"/>
      <c r="L1428" s="65"/>
      <c r="M1428" s="64"/>
      <c r="N1428" s="17"/>
      <c r="O1428" s="17"/>
      <c r="P1428" s="17"/>
    </row>
    <row r="1429" spans="1:16" x14ac:dyDescent="0.25">
      <c r="A1429" s="60"/>
      <c r="B1429" s="60"/>
      <c r="C1429" s="60"/>
      <c r="D1429" s="60"/>
      <c r="E1429" s="60"/>
      <c r="F1429" s="60"/>
      <c r="G1429" s="60"/>
      <c r="H1429" s="60"/>
      <c r="I1429" s="60"/>
      <c r="J1429" s="61"/>
      <c r="K1429" s="61"/>
      <c r="L1429" s="65"/>
      <c r="M1429" s="64"/>
      <c r="N1429" s="17"/>
      <c r="O1429" s="17"/>
      <c r="P1429" s="17"/>
    </row>
    <row r="1430" spans="1:16" x14ac:dyDescent="0.25">
      <c r="A1430" s="60"/>
      <c r="B1430" s="60"/>
      <c r="C1430" s="60"/>
      <c r="D1430" s="60"/>
      <c r="E1430" s="60"/>
      <c r="F1430" s="60"/>
      <c r="G1430" s="60"/>
      <c r="H1430" s="60"/>
      <c r="I1430" s="60"/>
      <c r="J1430" s="61"/>
      <c r="K1430" s="61"/>
      <c r="L1430" s="65"/>
      <c r="M1430" s="64"/>
      <c r="N1430" s="17"/>
      <c r="O1430" s="17"/>
      <c r="P1430" s="17"/>
    </row>
    <row r="1431" spans="1:16" x14ac:dyDescent="0.25">
      <c r="A1431" s="60"/>
      <c r="B1431" s="60"/>
      <c r="C1431" s="60"/>
      <c r="D1431" s="60"/>
      <c r="E1431" s="60"/>
      <c r="F1431" s="60"/>
      <c r="G1431" s="60"/>
      <c r="H1431" s="60"/>
      <c r="I1431" s="60"/>
      <c r="J1431" s="61"/>
      <c r="K1431" s="61"/>
      <c r="L1431" s="62"/>
      <c r="M1431" s="63"/>
      <c r="N1431" s="17"/>
      <c r="O1431" s="17"/>
      <c r="P1431" s="17"/>
    </row>
    <row r="1432" spans="1:16" x14ac:dyDescent="0.25">
      <c r="A1432" s="60"/>
      <c r="B1432" s="60"/>
      <c r="C1432" s="60"/>
      <c r="D1432" s="60"/>
      <c r="E1432" s="60"/>
      <c r="F1432" s="60"/>
      <c r="G1432" s="60"/>
      <c r="H1432" s="60"/>
      <c r="I1432" s="60"/>
      <c r="J1432" s="61"/>
      <c r="K1432" s="61"/>
      <c r="L1432" s="65"/>
      <c r="M1432" s="64"/>
      <c r="N1432" s="17"/>
      <c r="O1432" s="17"/>
      <c r="P1432" s="17"/>
    </row>
    <row r="1433" spans="1:16" x14ac:dyDescent="0.25">
      <c r="A1433" s="60"/>
      <c r="B1433" s="60"/>
      <c r="C1433" s="60"/>
      <c r="D1433" s="60"/>
      <c r="E1433" s="60"/>
      <c r="F1433" s="60"/>
      <c r="G1433" s="60"/>
      <c r="H1433" s="60"/>
      <c r="I1433" s="60"/>
      <c r="J1433" s="61"/>
      <c r="K1433" s="61"/>
      <c r="L1433" s="65"/>
      <c r="M1433" s="64"/>
      <c r="N1433" s="17"/>
      <c r="O1433" s="17"/>
      <c r="P1433" s="17"/>
    </row>
    <row r="1434" spans="1:16" x14ac:dyDescent="0.25">
      <c r="A1434" s="60"/>
      <c r="B1434" s="60"/>
      <c r="C1434" s="60"/>
      <c r="D1434" s="60"/>
      <c r="E1434" s="60"/>
      <c r="F1434" s="60"/>
      <c r="G1434" s="60"/>
      <c r="H1434" s="60"/>
      <c r="I1434" s="60"/>
      <c r="J1434" s="61"/>
      <c r="K1434" s="61"/>
      <c r="L1434" s="62"/>
      <c r="M1434" s="64"/>
      <c r="N1434" s="17"/>
      <c r="O1434" s="17"/>
      <c r="P1434" s="17"/>
    </row>
    <row r="1435" spans="1:16" x14ac:dyDescent="0.25">
      <c r="A1435" s="60"/>
      <c r="B1435" s="60"/>
      <c r="C1435" s="60"/>
      <c r="D1435" s="60"/>
      <c r="E1435" s="60"/>
      <c r="F1435" s="60"/>
      <c r="G1435" s="60"/>
      <c r="H1435" s="60"/>
      <c r="I1435" s="60"/>
      <c r="J1435" s="61"/>
      <c r="K1435" s="61"/>
      <c r="L1435" s="62"/>
      <c r="M1435" s="63"/>
      <c r="N1435" s="17"/>
      <c r="O1435" s="17"/>
      <c r="P1435" s="17"/>
    </row>
    <row r="1436" spans="1:16" x14ac:dyDescent="0.25">
      <c r="A1436" s="60"/>
      <c r="B1436" s="60"/>
      <c r="C1436" s="60"/>
      <c r="D1436" s="60"/>
      <c r="E1436" s="60"/>
      <c r="F1436" s="60"/>
      <c r="G1436" s="60"/>
      <c r="H1436" s="60"/>
      <c r="I1436" s="60"/>
      <c r="J1436" s="61"/>
      <c r="K1436" s="61"/>
      <c r="L1436" s="65"/>
      <c r="M1436" s="64"/>
      <c r="N1436" s="17"/>
      <c r="O1436" s="17"/>
      <c r="P1436" s="17"/>
    </row>
    <row r="1437" spans="1:16" x14ac:dyDescent="0.25">
      <c r="A1437" s="60"/>
      <c r="B1437" s="60"/>
      <c r="C1437" s="60"/>
      <c r="D1437" s="60"/>
      <c r="E1437" s="60"/>
      <c r="F1437" s="60"/>
      <c r="G1437" s="60"/>
      <c r="H1437" s="60"/>
      <c r="I1437" s="60"/>
      <c r="J1437" s="61"/>
      <c r="K1437" s="61"/>
      <c r="L1437" s="65"/>
      <c r="M1437" s="64"/>
      <c r="N1437" s="17"/>
      <c r="O1437" s="17"/>
      <c r="P1437" s="17"/>
    </row>
    <row r="1438" spans="1:16" x14ac:dyDescent="0.25">
      <c r="A1438" s="60"/>
      <c r="B1438" s="60"/>
      <c r="C1438" s="60"/>
      <c r="D1438" s="60"/>
      <c r="E1438" s="60"/>
      <c r="F1438" s="60"/>
      <c r="G1438" s="60"/>
      <c r="H1438" s="60"/>
      <c r="I1438" s="60"/>
      <c r="J1438" s="61"/>
      <c r="K1438" s="61"/>
      <c r="L1438" s="62"/>
      <c r="M1438" s="63"/>
      <c r="N1438" s="17"/>
      <c r="O1438" s="17"/>
      <c r="P1438" s="17"/>
    </row>
    <row r="1439" spans="1:16" x14ac:dyDescent="0.25">
      <c r="A1439" s="60"/>
      <c r="B1439" s="60"/>
      <c r="C1439" s="60"/>
      <c r="D1439" s="60"/>
      <c r="E1439" s="60"/>
      <c r="F1439" s="60"/>
      <c r="G1439" s="60"/>
      <c r="H1439" s="60"/>
      <c r="I1439" s="60"/>
      <c r="J1439" s="61"/>
      <c r="K1439" s="61"/>
      <c r="L1439" s="65"/>
      <c r="M1439" s="64"/>
      <c r="N1439" s="17"/>
      <c r="O1439" s="17"/>
      <c r="P1439" s="17"/>
    </row>
    <row r="1440" spans="1:16" x14ac:dyDescent="0.25">
      <c r="A1440" s="60"/>
      <c r="B1440" s="60"/>
      <c r="C1440" s="60"/>
      <c r="D1440" s="60"/>
      <c r="E1440" s="60"/>
      <c r="F1440" s="60"/>
      <c r="G1440" s="60"/>
      <c r="H1440" s="60"/>
      <c r="I1440" s="60"/>
      <c r="J1440" s="61"/>
      <c r="K1440" s="61"/>
      <c r="L1440" s="62"/>
      <c r="M1440" s="64"/>
      <c r="N1440" s="17"/>
      <c r="O1440" s="17"/>
      <c r="P1440" s="17"/>
    </row>
    <row r="1441" spans="1:16" x14ac:dyDescent="0.25">
      <c r="A1441" s="60"/>
      <c r="B1441" s="60"/>
      <c r="C1441" s="60"/>
      <c r="D1441" s="60"/>
      <c r="E1441" s="60"/>
      <c r="F1441" s="60"/>
      <c r="G1441" s="60"/>
      <c r="H1441" s="60"/>
      <c r="I1441" s="60"/>
      <c r="J1441" s="61"/>
      <c r="K1441" s="61"/>
      <c r="L1441" s="62"/>
      <c r="M1441" s="64"/>
      <c r="N1441" s="17"/>
      <c r="O1441" s="17"/>
      <c r="P1441" s="17"/>
    </row>
    <row r="1442" spans="1:16" x14ac:dyDescent="0.25">
      <c r="A1442" s="60"/>
      <c r="B1442" s="60"/>
      <c r="C1442" s="60"/>
      <c r="D1442" s="60"/>
      <c r="E1442" s="60"/>
      <c r="F1442" s="60"/>
      <c r="G1442" s="60"/>
      <c r="H1442" s="60"/>
      <c r="I1442" s="60"/>
      <c r="J1442" s="61"/>
      <c r="K1442" s="61"/>
      <c r="L1442" s="65"/>
      <c r="M1442" s="64"/>
      <c r="N1442" s="17"/>
      <c r="O1442" s="17"/>
      <c r="P1442" s="17"/>
    </row>
    <row r="1443" spans="1:16" x14ac:dyDescent="0.25">
      <c r="A1443" s="60"/>
      <c r="B1443" s="60"/>
      <c r="C1443" s="60"/>
      <c r="D1443" s="60"/>
      <c r="E1443" s="60"/>
      <c r="F1443" s="60"/>
      <c r="G1443" s="60"/>
      <c r="H1443" s="60"/>
      <c r="I1443" s="60"/>
      <c r="J1443" s="61"/>
      <c r="K1443" s="61"/>
      <c r="L1443" s="65"/>
      <c r="M1443" s="64"/>
      <c r="N1443" s="17"/>
      <c r="O1443" s="17"/>
      <c r="P1443" s="17"/>
    </row>
    <row r="1444" spans="1:16" x14ac:dyDescent="0.25">
      <c r="A1444" s="60"/>
      <c r="B1444" s="60"/>
      <c r="C1444" s="60"/>
      <c r="D1444" s="60"/>
      <c r="E1444" s="60"/>
      <c r="F1444" s="60"/>
      <c r="G1444" s="60"/>
      <c r="H1444" s="60"/>
      <c r="I1444" s="60"/>
      <c r="J1444" s="61"/>
      <c r="K1444" s="61"/>
      <c r="L1444" s="65"/>
      <c r="M1444" s="64"/>
      <c r="N1444" s="17"/>
      <c r="O1444" s="17"/>
      <c r="P1444" s="17"/>
    </row>
    <row r="1445" spans="1:16" x14ac:dyDescent="0.25">
      <c r="A1445" s="60"/>
      <c r="B1445" s="60"/>
      <c r="C1445" s="60"/>
      <c r="D1445" s="60"/>
      <c r="E1445" s="60"/>
      <c r="F1445" s="60"/>
      <c r="G1445" s="60"/>
      <c r="H1445" s="60"/>
      <c r="I1445" s="60"/>
      <c r="J1445" s="61"/>
      <c r="K1445" s="61"/>
      <c r="L1445" s="62"/>
      <c r="M1445" s="63"/>
      <c r="N1445" s="17"/>
      <c r="O1445" s="17"/>
      <c r="P1445" s="17"/>
    </row>
    <row r="1446" spans="1:16" x14ac:dyDescent="0.25">
      <c r="A1446" s="60"/>
      <c r="B1446" s="60"/>
      <c r="C1446" s="60"/>
      <c r="D1446" s="60"/>
      <c r="E1446" s="60"/>
      <c r="F1446" s="60"/>
      <c r="G1446" s="60"/>
      <c r="H1446" s="60"/>
      <c r="I1446" s="60"/>
      <c r="J1446" s="61"/>
      <c r="K1446" s="61"/>
      <c r="L1446" s="65"/>
      <c r="M1446" s="64"/>
      <c r="N1446" s="17"/>
      <c r="O1446" s="17"/>
      <c r="P1446" s="17"/>
    </row>
    <row r="1447" spans="1:16" x14ac:dyDescent="0.25">
      <c r="A1447" s="60"/>
      <c r="B1447" s="60"/>
      <c r="C1447" s="60"/>
      <c r="D1447" s="60"/>
      <c r="E1447" s="60"/>
      <c r="F1447" s="60"/>
      <c r="G1447" s="60"/>
      <c r="H1447" s="60"/>
      <c r="I1447" s="60"/>
      <c r="J1447" s="61"/>
      <c r="K1447" s="61"/>
      <c r="L1447" s="62"/>
      <c r="M1447" s="63"/>
      <c r="N1447" s="17"/>
      <c r="O1447" s="17"/>
      <c r="P1447" s="17"/>
    </row>
    <row r="1448" spans="1:16" x14ac:dyDescent="0.25">
      <c r="A1448" s="60"/>
      <c r="B1448" s="60"/>
      <c r="C1448" s="60"/>
      <c r="D1448" s="60"/>
      <c r="E1448" s="60"/>
      <c r="F1448" s="60"/>
      <c r="G1448" s="60"/>
      <c r="H1448" s="60"/>
      <c r="I1448" s="60"/>
      <c r="J1448" s="61"/>
      <c r="K1448" s="61"/>
      <c r="L1448" s="62"/>
      <c r="M1448" s="63"/>
      <c r="N1448" s="17"/>
      <c r="O1448" s="17"/>
      <c r="P1448" s="17"/>
    </row>
    <row r="1449" spans="1:16" x14ac:dyDescent="0.25">
      <c r="A1449" s="60"/>
      <c r="B1449" s="60"/>
      <c r="C1449" s="60"/>
      <c r="D1449" s="60"/>
      <c r="E1449" s="60"/>
      <c r="F1449" s="60"/>
      <c r="G1449" s="60"/>
      <c r="H1449" s="60"/>
      <c r="I1449" s="60"/>
      <c r="J1449" s="61"/>
      <c r="K1449" s="61"/>
      <c r="L1449" s="62"/>
      <c r="M1449" s="64"/>
      <c r="N1449" s="17"/>
      <c r="O1449" s="17"/>
      <c r="P1449" s="17"/>
    </row>
    <row r="1450" spans="1:16" x14ac:dyDescent="0.25">
      <c r="A1450" s="60"/>
      <c r="B1450" s="60"/>
      <c r="C1450" s="60"/>
      <c r="D1450" s="60"/>
      <c r="E1450" s="60"/>
      <c r="F1450" s="60"/>
      <c r="G1450" s="60"/>
      <c r="H1450" s="60"/>
      <c r="I1450" s="60"/>
      <c r="J1450" s="61"/>
      <c r="K1450" s="61"/>
      <c r="L1450" s="62"/>
      <c r="M1450" s="63"/>
      <c r="N1450" s="17"/>
      <c r="O1450" s="17"/>
      <c r="P1450" s="17"/>
    </row>
    <row r="1451" spans="1:16" x14ac:dyDescent="0.25">
      <c r="A1451" s="60"/>
      <c r="B1451" s="60"/>
      <c r="C1451" s="60"/>
      <c r="D1451" s="60"/>
      <c r="E1451" s="60"/>
      <c r="F1451" s="60"/>
      <c r="G1451" s="60"/>
      <c r="H1451" s="60"/>
      <c r="I1451" s="60"/>
      <c r="J1451" s="61"/>
      <c r="K1451" s="61"/>
      <c r="L1451" s="62"/>
      <c r="M1451" s="63"/>
      <c r="N1451" s="17"/>
      <c r="O1451" s="17"/>
      <c r="P1451" s="17"/>
    </row>
    <row r="1452" spans="1:16" x14ac:dyDescent="0.25">
      <c r="A1452" s="60"/>
      <c r="B1452" s="60"/>
      <c r="C1452" s="60"/>
      <c r="D1452" s="60"/>
      <c r="E1452" s="60"/>
      <c r="F1452" s="60"/>
      <c r="G1452" s="60"/>
      <c r="H1452" s="60"/>
      <c r="I1452" s="60"/>
      <c r="J1452" s="61"/>
      <c r="K1452" s="61"/>
      <c r="L1452" s="62"/>
      <c r="M1452" s="63"/>
      <c r="N1452" s="17"/>
      <c r="O1452" s="17"/>
      <c r="P1452" s="17"/>
    </row>
    <row r="1453" spans="1:16" x14ac:dyDescent="0.25">
      <c r="A1453" s="60"/>
      <c r="B1453" s="60"/>
      <c r="C1453" s="60"/>
      <c r="D1453" s="60"/>
      <c r="E1453" s="60"/>
      <c r="F1453" s="60"/>
      <c r="G1453" s="60"/>
      <c r="H1453" s="60"/>
      <c r="I1453" s="60"/>
      <c r="J1453" s="61"/>
      <c r="K1453" s="61"/>
      <c r="L1453" s="62"/>
      <c r="M1453" s="63"/>
      <c r="N1453" s="17"/>
      <c r="O1453" s="17"/>
      <c r="P1453" s="17"/>
    </row>
    <row r="1454" spans="1:16" x14ac:dyDescent="0.25">
      <c r="A1454" s="60"/>
      <c r="B1454" s="60"/>
      <c r="C1454" s="60"/>
      <c r="D1454" s="60"/>
      <c r="E1454" s="60"/>
      <c r="F1454" s="60"/>
      <c r="G1454" s="60"/>
      <c r="H1454" s="60"/>
      <c r="I1454" s="60"/>
      <c r="J1454" s="61"/>
      <c r="K1454" s="61"/>
      <c r="L1454" s="62"/>
      <c r="M1454" s="63"/>
      <c r="N1454" s="17"/>
      <c r="O1454" s="17"/>
      <c r="P1454" s="17"/>
    </row>
    <row r="1455" spans="1:16" x14ac:dyDescent="0.25">
      <c r="A1455" s="60"/>
      <c r="B1455" s="60"/>
      <c r="C1455" s="60"/>
      <c r="D1455" s="60"/>
      <c r="E1455" s="60"/>
      <c r="F1455" s="60"/>
      <c r="G1455" s="60"/>
      <c r="H1455" s="60"/>
      <c r="I1455" s="60"/>
      <c r="J1455" s="61"/>
      <c r="K1455" s="61"/>
      <c r="L1455" s="65"/>
      <c r="M1455" s="64"/>
      <c r="N1455" s="17"/>
      <c r="O1455" s="17"/>
      <c r="P1455" s="17"/>
    </row>
    <row r="1456" spans="1:16" x14ac:dyDescent="0.25">
      <c r="A1456" s="60"/>
      <c r="B1456" s="60"/>
      <c r="C1456" s="60"/>
      <c r="D1456" s="60"/>
      <c r="E1456" s="60"/>
      <c r="F1456" s="60"/>
      <c r="G1456" s="60"/>
      <c r="H1456" s="60"/>
      <c r="I1456" s="60"/>
      <c r="J1456" s="61"/>
      <c r="K1456" s="61"/>
      <c r="L1456" s="62"/>
      <c r="M1456" s="63"/>
      <c r="N1456" s="17"/>
      <c r="O1456" s="17"/>
      <c r="P1456" s="17"/>
    </row>
    <row r="1457" spans="1:16" x14ac:dyDescent="0.25">
      <c r="A1457" s="60"/>
      <c r="B1457" s="60"/>
      <c r="C1457" s="60"/>
      <c r="D1457" s="60"/>
      <c r="E1457" s="60"/>
      <c r="F1457" s="60"/>
      <c r="G1457" s="60"/>
      <c r="H1457" s="60"/>
      <c r="I1457" s="60"/>
      <c r="J1457" s="61"/>
      <c r="K1457" s="61"/>
      <c r="L1457" s="65"/>
      <c r="M1457" s="64"/>
      <c r="N1457" s="17"/>
      <c r="O1457" s="17"/>
      <c r="P1457" s="17"/>
    </row>
    <row r="1458" spans="1:16" x14ac:dyDescent="0.25">
      <c r="A1458" s="60"/>
      <c r="B1458" s="60"/>
      <c r="C1458" s="60"/>
      <c r="D1458" s="60"/>
      <c r="E1458" s="60"/>
      <c r="F1458" s="60"/>
      <c r="G1458" s="60"/>
      <c r="H1458" s="60"/>
      <c r="I1458" s="60"/>
      <c r="J1458" s="61"/>
      <c r="K1458" s="61"/>
      <c r="L1458" s="62"/>
      <c r="M1458" s="63"/>
      <c r="N1458" s="17"/>
      <c r="O1458" s="17"/>
      <c r="P1458" s="17"/>
    </row>
    <row r="1459" spans="1:16" x14ac:dyDescent="0.25">
      <c r="A1459" s="60"/>
      <c r="B1459" s="60"/>
      <c r="C1459" s="60"/>
      <c r="D1459" s="60"/>
      <c r="E1459" s="60"/>
      <c r="F1459" s="60"/>
      <c r="G1459" s="60"/>
      <c r="H1459" s="60"/>
      <c r="I1459" s="60"/>
      <c r="J1459" s="61"/>
      <c r="K1459" s="61"/>
      <c r="L1459" s="62"/>
      <c r="M1459" s="63"/>
      <c r="N1459" s="17"/>
      <c r="O1459" s="17"/>
      <c r="P1459" s="17"/>
    </row>
    <row r="1460" spans="1:16" x14ac:dyDescent="0.25">
      <c r="A1460" s="60"/>
      <c r="B1460" s="60"/>
      <c r="C1460" s="60"/>
      <c r="D1460" s="60"/>
      <c r="E1460" s="60"/>
      <c r="F1460" s="60"/>
      <c r="G1460" s="60"/>
      <c r="H1460" s="60"/>
      <c r="I1460" s="60"/>
      <c r="J1460" s="61"/>
      <c r="K1460" s="61"/>
      <c r="L1460" s="62"/>
      <c r="M1460" s="63"/>
      <c r="N1460" s="17"/>
      <c r="O1460" s="17"/>
      <c r="P1460" s="17"/>
    </row>
    <row r="1461" spans="1:16" x14ac:dyDescent="0.25">
      <c r="A1461" s="60"/>
      <c r="B1461" s="60"/>
      <c r="C1461" s="60"/>
      <c r="D1461" s="60"/>
      <c r="E1461" s="60"/>
      <c r="F1461" s="60"/>
      <c r="G1461" s="60"/>
      <c r="H1461" s="60"/>
      <c r="I1461" s="60"/>
      <c r="J1461" s="61"/>
      <c r="K1461" s="61"/>
      <c r="L1461" s="65"/>
      <c r="M1461" s="64"/>
      <c r="N1461" s="17"/>
      <c r="O1461" s="17"/>
      <c r="P1461" s="17"/>
    </row>
    <row r="1462" spans="1:16" x14ac:dyDescent="0.25">
      <c r="A1462" s="60"/>
      <c r="B1462" s="60"/>
      <c r="C1462" s="60"/>
      <c r="D1462" s="60"/>
      <c r="E1462" s="60"/>
      <c r="F1462" s="60"/>
      <c r="G1462" s="60"/>
      <c r="H1462" s="60"/>
      <c r="I1462" s="60"/>
      <c r="J1462" s="61"/>
      <c r="K1462" s="61"/>
      <c r="L1462" s="62"/>
      <c r="M1462" s="64"/>
      <c r="N1462" s="17"/>
      <c r="O1462" s="17"/>
      <c r="P1462" s="17"/>
    </row>
    <row r="1463" spans="1:16" x14ac:dyDescent="0.25">
      <c r="A1463" s="60"/>
      <c r="B1463" s="60"/>
      <c r="C1463" s="60"/>
      <c r="D1463" s="60"/>
      <c r="E1463" s="60"/>
      <c r="F1463" s="60"/>
      <c r="G1463" s="60"/>
      <c r="H1463" s="60"/>
      <c r="I1463" s="60"/>
      <c r="J1463" s="61"/>
      <c r="K1463" s="61"/>
      <c r="L1463" s="62"/>
      <c r="M1463" s="63"/>
      <c r="N1463" s="17"/>
      <c r="O1463" s="17"/>
      <c r="P1463" s="17"/>
    </row>
    <row r="1464" spans="1:16" x14ac:dyDescent="0.25">
      <c r="A1464" s="60"/>
      <c r="B1464" s="60"/>
      <c r="C1464" s="60"/>
      <c r="D1464" s="60"/>
      <c r="E1464" s="60"/>
      <c r="F1464" s="60"/>
      <c r="G1464" s="60"/>
      <c r="H1464" s="60"/>
      <c r="I1464" s="60"/>
      <c r="J1464" s="61"/>
      <c r="K1464" s="61"/>
      <c r="L1464" s="62"/>
      <c r="M1464" s="63"/>
      <c r="N1464" s="17"/>
      <c r="O1464" s="17"/>
      <c r="P1464" s="17"/>
    </row>
    <row r="1465" spans="1:16" x14ac:dyDescent="0.25">
      <c r="A1465" s="60"/>
      <c r="B1465" s="60"/>
      <c r="C1465" s="60"/>
      <c r="D1465" s="60"/>
      <c r="E1465" s="60"/>
      <c r="F1465" s="60"/>
      <c r="G1465" s="60"/>
      <c r="H1465" s="60"/>
      <c r="I1465" s="60"/>
      <c r="J1465" s="61"/>
      <c r="K1465" s="61"/>
      <c r="L1465" s="62"/>
      <c r="M1465" s="63"/>
      <c r="N1465" s="17"/>
      <c r="O1465" s="17"/>
      <c r="P1465" s="17"/>
    </row>
    <row r="1466" spans="1:16" x14ac:dyDescent="0.25">
      <c r="A1466" s="60"/>
      <c r="B1466" s="60"/>
      <c r="C1466" s="60"/>
      <c r="D1466" s="60"/>
      <c r="E1466" s="60"/>
      <c r="F1466" s="60"/>
      <c r="G1466" s="60"/>
      <c r="H1466" s="60"/>
      <c r="I1466" s="60"/>
      <c r="J1466" s="61"/>
      <c r="K1466" s="61"/>
      <c r="L1466" s="62"/>
      <c r="M1466" s="63"/>
      <c r="N1466" s="17"/>
      <c r="O1466" s="17"/>
      <c r="P1466" s="17"/>
    </row>
    <row r="1467" spans="1:16" x14ac:dyDescent="0.25">
      <c r="A1467" s="60"/>
      <c r="B1467" s="60"/>
      <c r="C1467" s="60"/>
      <c r="D1467" s="60"/>
      <c r="E1467" s="60"/>
      <c r="F1467" s="60"/>
      <c r="G1467" s="60"/>
      <c r="H1467" s="60"/>
      <c r="I1467" s="60"/>
      <c r="J1467" s="61"/>
      <c r="K1467" s="61"/>
      <c r="L1467" s="62"/>
      <c r="M1467" s="63"/>
      <c r="N1467" s="17"/>
      <c r="O1467" s="17"/>
      <c r="P1467" s="17"/>
    </row>
    <row r="1468" spans="1:16" x14ac:dyDescent="0.25">
      <c r="A1468" s="60"/>
      <c r="B1468" s="60"/>
      <c r="C1468" s="60"/>
      <c r="D1468" s="60"/>
      <c r="E1468" s="60"/>
      <c r="F1468" s="60"/>
      <c r="G1468" s="60"/>
      <c r="H1468" s="60"/>
      <c r="I1468" s="60"/>
      <c r="J1468" s="61"/>
      <c r="K1468" s="61"/>
      <c r="L1468" s="62"/>
      <c r="M1468" s="63"/>
      <c r="N1468" s="17"/>
      <c r="O1468" s="17"/>
      <c r="P1468" s="17"/>
    </row>
    <row r="1469" spans="1:16" x14ac:dyDescent="0.25">
      <c r="A1469" s="60"/>
      <c r="B1469" s="60"/>
      <c r="C1469" s="60"/>
      <c r="D1469" s="60"/>
      <c r="E1469" s="60"/>
      <c r="F1469" s="60"/>
      <c r="G1469" s="60"/>
      <c r="H1469" s="60"/>
      <c r="I1469" s="60"/>
      <c r="J1469" s="61"/>
      <c r="K1469" s="61"/>
      <c r="L1469" s="62"/>
      <c r="M1469" s="63"/>
      <c r="N1469" s="17"/>
      <c r="O1469" s="17"/>
      <c r="P1469" s="17"/>
    </row>
    <row r="1470" spans="1:16" x14ac:dyDescent="0.25">
      <c r="A1470" s="60"/>
      <c r="B1470" s="60"/>
      <c r="C1470" s="60"/>
      <c r="D1470" s="60"/>
      <c r="E1470" s="60"/>
      <c r="F1470" s="60"/>
      <c r="G1470" s="60"/>
      <c r="H1470" s="60"/>
      <c r="I1470" s="60"/>
      <c r="J1470" s="61"/>
      <c r="K1470" s="61"/>
      <c r="L1470" s="62"/>
      <c r="M1470" s="64"/>
      <c r="N1470" s="17"/>
      <c r="O1470" s="17"/>
      <c r="P1470" s="17"/>
    </row>
    <row r="1471" spans="1:16" x14ac:dyDescent="0.25">
      <c r="A1471" s="60"/>
      <c r="B1471" s="60"/>
      <c r="C1471" s="60"/>
      <c r="D1471" s="60"/>
      <c r="E1471" s="60"/>
      <c r="F1471" s="60"/>
      <c r="G1471" s="60"/>
      <c r="H1471" s="60"/>
      <c r="I1471" s="60"/>
      <c r="J1471" s="61"/>
      <c r="K1471" s="61"/>
      <c r="L1471" s="62"/>
      <c r="M1471" s="64"/>
      <c r="N1471" s="17"/>
      <c r="O1471" s="17"/>
      <c r="P1471" s="17"/>
    </row>
    <row r="1472" spans="1:16" x14ac:dyDescent="0.25">
      <c r="A1472" s="60"/>
      <c r="B1472" s="60"/>
      <c r="C1472" s="60"/>
      <c r="D1472" s="60"/>
      <c r="E1472" s="60"/>
      <c r="F1472" s="60"/>
      <c r="G1472" s="60"/>
      <c r="H1472" s="60"/>
      <c r="I1472" s="60"/>
      <c r="J1472" s="61"/>
      <c r="K1472" s="61"/>
      <c r="L1472" s="62"/>
      <c r="M1472" s="63"/>
      <c r="N1472" s="17"/>
      <c r="O1472" s="17"/>
      <c r="P1472" s="17"/>
    </row>
    <row r="1473" spans="1:16" x14ac:dyDescent="0.25">
      <c r="A1473" s="60"/>
      <c r="B1473" s="60"/>
      <c r="C1473" s="60"/>
      <c r="D1473" s="60"/>
      <c r="E1473" s="60"/>
      <c r="F1473" s="60"/>
      <c r="G1473" s="60"/>
      <c r="H1473" s="60"/>
      <c r="I1473" s="60"/>
      <c r="J1473" s="61"/>
      <c r="K1473" s="61"/>
      <c r="L1473" s="62"/>
      <c r="M1473" s="64"/>
      <c r="N1473" s="17"/>
      <c r="O1473" s="17"/>
      <c r="P1473" s="17"/>
    </row>
    <row r="1474" spans="1:16" x14ac:dyDescent="0.25">
      <c r="A1474" s="60"/>
      <c r="B1474" s="60"/>
      <c r="C1474" s="60"/>
      <c r="D1474" s="60"/>
      <c r="E1474" s="60"/>
      <c r="F1474" s="60"/>
      <c r="G1474" s="60"/>
      <c r="H1474" s="60"/>
      <c r="I1474" s="60"/>
      <c r="J1474" s="61"/>
      <c r="K1474" s="61"/>
      <c r="L1474" s="62"/>
      <c r="M1474" s="64"/>
      <c r="N1474" s="17"/>
      <c r="O1474" s="17"/>
      <c r="P1474" s="17"/>
    </row>
    <row r="1475" spans="1:16" x14ac:dyDescent="0.25">
      <c r="A1475" s="60"/>
      <c r="B1475" s="60"/>
      <c r="C1475" s="60"/>
      <c r="D1475" s="60"/>
      <c r="E1475" s="60"/>
      <c r="F1475" s="60"/>
      <c r="G1475" s="60"/>
      <c r="H1475" s="60"/>
      <c r="I1475" s="60"/>
      <c r="J1475" s="61"/>
      <c r="K1475" s="61"/>
      <c r="L1475" s="62"/>
      <c r="M1475" s="63"/>
      <c r="N1475" s="17"/>
      <c r="O1475" s="17"/>
      <c r="P1475" s="17"/>
    </row>
    <row r="1476" spans="1:16" x14ac:dyDescent="0.25">
      <c r="A1476" s="60"/>
      <c r="B1476" s="60"/>
      <c r="C1476" s="60"/>
      <c r="D1476" s="60"/>
      <c r="E1476" s="60"/>
      <c r="F1476" s="60"/>
      <c r="G1476" s="60"/>
      <c r="H1476" s="60"/>
      <c r="I1476" s="60"/>
      <c r="J1476" s="61"/>
      <c r="K1476" s="61"/>
      <c r="L1476" s="62"/>
      <c r="M1476" s="64"/>
      <c r="N1476" s="17"/>
      <c r="O1476" s="17"/>
      <c r="P1476" s="17"/>
    </row>
    <row r="1477" spans="1:16" x14ac:dyDescent="0.25">
      <c r="A1477" s="60"/>
      <c r="B1477" s="60"/>
      <c r="C1477" s="60"/>
      <c r="D1477" s="60"/>
      <c r="E1477" s="60"/>
      <c r="F1477" s="60"/>
      <c r="G1477" s="60"/>
      <c r="H1477" s="60"/>
      <c r="I1477" s="60"/>
      <c r="J1477" s="61"/>
      <c r="K1477" s="61"/>
      <c r="L1477" s="62"/>
      <c r="M1477" s="64"/>
      <c r="N1477" s="17"/>
      <c r="O1477" s="17"/>
      <c r="P1477" s="17"/>
    </row>
    <row r="1478" spans="1:16" x14ac:dyDescent="0.25">
      <c r="A1478" s="60"/>
      <c r="B1478" s="60"/>
      <c r="C1478" s="60"/>
      <c r="D1478" s="60"/>
      <c r="E1478" s="60"/>
      <c r="F1478" s="60"/>
      <c r="G1478" s="60"/>
      <c r="H1478" s="60"/>
      <c r="I1478" s="60"/>
      <c r="J1478" s="61"/>
      <c r="K1478" s="61"/>
      <c r="L1478" s="62"/>
      <c r="M1478" s="64"/>
      <c r="N1478" s="17"/>
      <c r="O1478" s="17"/>
      <c r="P1478" s="17"/>
    </row>
    <row r="1479" spans="1:16" x14ac:dyDescent="0.25">
      <c r="A1479" s="60"/>
      <c r="B1479" s="60"/>
      <c r="C1479" s="60"/>
      <c r="D1479" s="60"/>
      <c r="E1479" s="60"/>
      <c r="F1479" s="60"/>
      <c r="G1479" s="60"/>
      <c r="H1479" s="60"/>
      <c r="I1479" s="60"/>
      <c r="J1479" s="61"/>
      <c r="K1479" s="61"/>
      <c r="L1479" s="62"/>
      <c r="M1479" s="63"/>
      <c r="N1479" s="17"/>
      <c r="O1479" s="17"/>
      <c r="P1479" s="17"/>
    </row>
    <row r="1480" spans="1:16" x14ac:dyDescent="0.25">
      <c r="A1480" s="60"/>
      <c r="B1480" s="60"/>
      <c r="C1480" s="60"/>
      <c r="D1480" s="60"/>
      <c r="E1480" s="60"/>
      <c r="F1480" s="60"/>
      <c r="G1480" s="60"/>
      <c r="H1480" s="60"/>
      <c r="I1480" s="60"/>
      <c r="J1480" s="61"/>
      <c r="K1480" s="61"/>
      <c r="L1480" s="62"/>
      <c r="M1480" s="63"/>
      <c r="N1480" s="17"/>
      <c r="O1480" s="17"/>
      <c r="P1480" s="17"/>
    </row>
    <row r="1481" spans="1:16" x14ac:dyDescent="0.25">
      <c r="A1481" s="60"/>
      <c r="B1481" s="60"/>
      <c r="C1481" s="60"/>
      <c r="D1481" s="60"/>
      <c r="E1481" s="60"/>
      <c r="F1481" s="60"/>
      <c r="G1481" s="60"/>
      <c r="H1481" s="60"/>
      <c r="I1481" s="60"/>
      <c r="J1481" s="61"/>
      <c r="K1481" s="61"/>
      <c r="L1481" s="62"/>
      <c r="M1481" s="64"/>
      <c r="N1481" s="17"/>
      <c r="O1481" s="17"/>
      <c r="P1481" s="17"/>
    </row>
    <row r="1482" spans="1:16" x14ac:dyDescent="0.25">
      <c r="A1482" s="60"/>
      <c r="B1482" s="60"/>
      <c r="C1482" s="60"/>
      <c r="D1482" s="60"/>
      <c r="E1482" s="60"/>
      <c r="F1482" s="60"/>
      <c r="G1482" s="60"/>
      <c r="H1482" s="60"/>
      <c r="I1482" s="60"/>
      <c r="J1482" s="61"/>
      <c r="K1482" s="61"/>
      <c r="L1482" s="62"/>
      <c r="M1482" s="63"/>
      <c r="N1482" s="17"/>
      <c r="O1482" s="17"/>
      <c r="P1482" s="17"/>
    </row>
    <row r="1483" spans="1:16" x14ac:dyDescent="0.25">
      <c r="A1483" s="60"/>
      <c r="B1483" s="60"/>
      <c r="C1483" s="60"/>
      <c r="D1483" s="60"/>
      <c r="E1483" s="60"/>
      <c r="F1483" s="60"/>
      <c r="G1483" s="60"/>
      <c r="H1483" s="60"/>
      <c r="I1483" s="60"/>
      <c r="J1483" s="61"/>
      <c r="K1483" s="61"/>
      <c r="L1483" s="62"/>
      <c r="M1483" s="64"/>
      <c r="N1483" s="17"/>
      <c r="O1483" s="17"/>
      <c r="P1483" s="17"/>
    </row>
    <row r="1484" spans="1:16" x14ac:dyDescent="0.25">
      <c r="A1484" s="60"/>
      <c r="B1484" s="60"/>
      <c r="C1484" s="60"/>
      <c r="D1484" s="60"/>
      <c r="E1484" s="60"/>
      <c r="F1484" s="60"/>
      <c r="G1484" s="60"/>
      <c r="H1484" s="60"/>
      <c r="I1484" s="60"/>
      <c r="J1484" s="61"/>
      <c r="K1484" s="61"/>
      <c r="L1484" s="62"/>
      <c r="M1484" s="63"/>
      <c r="N1484" s="17"/>
      <c r="O1484" s="17"/>
      <c r="P1484" s="17"/>
    </row>
    <row r="1485" spans="1:16" x14ac:dyDescent="0.25">
      <c r="A1485" s="60"/>
      <c r="B1485" s="60"/>
      <c r="C1485" s="60"/>
      <c r="D1485" s="60"/>
      <c r="E1485" s="60"/>
      <c r="F1485" s="60"/>
      <c r="G1485" s="60"/>
      <c r="H1485" s="60"/>
      <c r="I1485" s="60"/>
      <c r="J1485" s="61"/>
      <c r="K1485" s="61"/>
      <c r="L1485" s="65"/>
      <c r="M1485" s="64"/>
      <c r="N1485" s="17"/>
      <c r="O1485" s="17"/>
      <c r="P1485" s="17"/>
    </row>
    <row r="1486" spans="1:16" x14ac:dyDescent="0.25">
      <c r="A1486" s="60"/>
      <c r="B1486" s="60"/>
      <c r="C1486" s="60"/>
      <c r="D1486" s="60"/>
      <c r="E1486" s="60"/>
      <c r="F1486" s="60"/>
      <c r="G1486" s="60"/>
      <c r="H1486" s="60"/>
      <c r="I1486" s="60"/>
      <c r="J1486" s="61"/>
      <c r="K1486" s="61"/>
      <c r="L1486" s="65"/>
      <c r="M1486" s="64"/>
      <c r="N1486" s="17"/>
      <c r="O1486" s="17"/>
      <c r="P1486" s="17"/>
    </row>
    <row r="1487" spans="1:16" x14ac:dyDescent="0.25">
      <c r="A1487" s="60"/>
      <c r="B1487" s="60"/>
      <c r="C1487" s="60"/>
      <c r="D1487" s="60"/>
      <c r="E1487" s="60"/>
      <c r="F1487" s="60"/>
      <c r="G1487" s="60"/>
      <c r="H1487" s="60"/>
      <c r="I1487" s="60"/>
      <c r="J1487" s="61"/>
      <c r="K1487" s="61"/>
      <c r="L1487" s="65"/>
      <c r="M1487" s="64"/>
      <c r="N1487" s="17"/>
      <c r="O1487" s="17"/>
      <c r="P1487" s="17"/>
    </row>
    <row r="1488" spans="1:16" x14ac:dyDescent="0.25">
      <c r="A1488" s="60"/>
      <c r="B1488" s="60"/>
      <c r="C1488" s="60"/>
      <c r="D1488" s="60"/>
      <c r="E1488" s="60"/>
      <c r="F1488" s="60"/>
      <c r="G1488" s="60"/>
      <c r="H1488" s="60"/>
      <c r="I1488" s="60"/>
      <c r="J1488" s="61"/>
      <c r="K1488" s="61"/>
      <c r="L1488" s="62"/>
      <c r="M1488" s="64"/>
      <c r="N1488" s="17"/>
      <c r="O1488" s="17"/>
      <c r="P1488" s="17"/>
    </row>
    <row r="1489" spans="1:16" x14ac:dyDescent="0.25">
      <c r="A1489" s="60"/>
      <c r="B1489" s="60"/>
      <c r="C1489" s="60"/>
      <c r="D1489" s="60"/>
      <c r="E1489" s="60"/>
      <c r="F1489" s="60"/>
      <c r="G1489" s="60"/>
      <c r="H1489" s="60"/>
      <c r="I1489" s="60"/>
      <c r="J1489" s="61"/>
      <c r="K1489" s="61"/>
      <c r="L1489" s="62"/>
      <c r="M1489" s="63"/>
      <c r="N1489" s="17"/>
      <c r="O1489" s="17"/>
      <c r="P1489" s="17"/>
    </row>
    <row r="1490" spans="1:16" x14ac:dyDescent="0.25">
      <c r="A1490" s="60"/>
      <c r="B1490" s="60"/>
      <c r="C1490" s="60"/>
      <c r="D1490" s="60"/>
      <c r="E1490" s="60"/>
      <c r="F1490" s="60"/>
      <c r="G1490" s="60"/>
      <c r="H1490" s="60"/>
      <c r="I1490" s="60"/>
      <c r="J1490" s="61"/>
      <c r="K1490" s="61"/>
      <c r="L1490" s="62"/>
      <c r="M1490" s="64"/>
      <c r="N1490" s="17"/>
      <c r="O1490" s="17"/>
      <c r="P1490" s="17"/>
    </row>
    <row r="1491" spans="1:16" x14ac:dyDescent="0.25">
      <c r="A1491" s="60"/>
      <c r="B1491" s="60"/>
      <c r="C1491" s="60"/>
      <c r="D1491" s="60"/>
      <c r="E1491" s="60"/>
      <c r="F1491" s="60"/>
      <c r="G1491" s="60"/>
      <c r="H1491" s="60"/>
      <c r="I1491" s="60"/>
      <c r="J1491" s="61"/>
      <c r="K1491" s="61"/>
      <c r="L1491" s="62"/>
      <c r="M1491" s="64"/>
      <c r="N1491" s="17"/>
      <c r="O1491" s="17"/>
      <c r="P1491" s="17"/>
    </row>
    <row r="1492" spans="1:16" x14ac:dyDescent="0.25">
      <c r="A1492" s="60"/>
      <c r="B1492" s="60"/>
      <c r="C1492" s="60"/>
      <c r="D1492" s="60"/>
      <c r="E1492" s="60"/>
      <c r="F1492" s="60"/>
      <c r="G1492" s="60"/>
      <c r="H1492" s="60"/>
      <c r="I1492" s="60"/>
      <c r="J1492" s="61"/>
      <c r="K1492" s="61"/>
      <c r="L1492" s="62"/>
      <c r="M1492" s="64"/>
      <c r="N1492" s="17"/>
      <c r="O1492" s="17"/>
      <c r="P1492" s="17"/>
    </row>
    <row r="1493" spans="1:16" x14ac:dyDescent="0.25">
      <c r="A1493" s="60"/>
      <c r="B1493" s="60"/>
      <c r="C1493" s="60"/>
      <c r="D1493" s="60"/>
      <c r="E1493" s="60"/>
      <c r="F1493" s="60"/>
      <c r="G1493" s="60"/>
      <c r="H1493" s="60"/>
      <c r="I1493" s="60"/>
      <c r="J1493" s="61"/>
      <c r="K1493" s="61"/>
      <c r="L1493" s="65"/>
      <c r="M1493" s="64"/>
      <c r="N1493" s="17"/>
      <c r="O1493" s="17"/>
      <c r="P1493" s="17"/>
    </row>
    <row r="1494" spans="1:16" x14ac:dyDescent="0.25">
      <c r="A1494" s="60"/>
      <c r="B1494" s="60"/>
      <c r="C1494" s="60"/>
      <c r="D1494" s="60"/>
      <c r="E1494" s="60"/>
      <c r="F1494" s="60"/>
      <c r="G1494" s="60"/>
      <c r="H1494" s="60"/>
      <c r="I1494" s="60"/>
      <c r="J1494" s="61"/>
      <c r="K1494" s="61"/>
      <c r="L1494" s="65"/>
      <c r="M1494" s="64"/>
      <c r="N1494" s="17"/>
      <c r="O1494" s="17"/>
      <c r="P1494" s="17"/>
    </row>
    <row r="1495" spans="1:16" x14ac:dyDescent="0.25">
      <c r="A1495" s="60"/>
      <c r="B1495" s="60"/>
      <c r="C1495" s="60"/>
      <c r="D1495" s="60"/>
      <c r="E1495" s="60"/>
      <c r="F1495" s="60"/>
      <c r="G1495" s="60"/>
      <c r="H1495" s="60"/>
      <c r="I1495" s="60"/>
      <c r="J1495" s="61"/>
      <c r="K1495" s="61"/>
      <c r="L1495" s="65"/>
      <c r="M1495" s="64"/>
      <c r="N1495" s="17"/>
      <c r="O1495" s="17"/>
      <c r="P1495" s="17"/>
    </row>
    <row r="1496" spans="1:16" x14ac:dyDescent="0.25">
      <c r="A1496" s="60"/>
      <c r="B1496" s="60"/>
      <c r="C1496" s="60"/>
      <c r="D1496" s="60"/>
      <c r="E1496" s="60"/>
      <c r="F1496" s="60"/>
      <c r="G1496" s="60"/>
      <c r="H1496" s="60"/>
      <c r="I1496" s="60"/>
      <c r="J1496" s="61"/>
      <c r="K1496" s="61"/>
      <c r="L1496" s="65"/>
      <c r="M1496" s="64"/>
      <c r="N1496" s="17"/>
      <c r="O1496" s="17"/>
      <c r="P1496" s="17"/>
    </row>
    <row r="1497" spans="1:16" x14ac:dyDescent="0.25">
      <c r="A1497" s="60"/>
      <c r="B1497" s="60"/>
      <c r="C1497" s="60"/>
      <c r="D1497" s="60"/>
      <c r="E1497" s="60"/>
      <c r="F1497" s="60"/>
      <c r="G1497" s="60"/>
      <c r="H1497" s="60"/>
      <c r="I1497" s="60"/>
      <c r="J1497" s="61"/>
      <c r="K1497" s="61"/>
      <c r="L1497" s="62"/>
      <c r="M1497" s="64"/>
      <c r="N1497" s="17"/>
      <c r="O1497" s="17"/>
      <c r="P1497" s="17"/>
    </row>
    <row r="1498" spans="1:16" x14ac:dyDescent="0.25">
      <c r="A1498" s="60"/>
      <c r="B1498" s="60"/>
      <c r="C1498" s="60"/>
      <c r="D1498" s="60"/>
      <c r="E1498" s="60"/>
      <c r="F1498" s="60"/>
      <c r="G1498" s="60"/>
      <c r="H1498" s="60"/>
      <c r="I1498" s="60"/>
      <c r="J1498" s="61"/>
      <c r="K1498" s="61"/>
      <c r="L1498" s="62"/>
      <c r="M1498" s="63"/>
      <c r="N1498" s="17"/>
      <c r="O1498" s="17"/>
      <c r="P1498" s="17"/>
    </row>
    <row r="1499" spans="1:16" x14ac:dyDescent="0.25">
      <c r="A1499" s="60"/>
      <c r="B1499" s="60"/>
      <c r="C1499" s="60"/>
      <c r="D1499" s="60"/>
      <c r="E1499" s="60"/>
      <c r="F1499" s="60"/>
      <c r="G1499" s="60"/>
      <c r="H1499" s="60"/>
      <c r="I1499" s="60"/>
      <c r="J1499" s="61"/>
      <c r="K1499" s="61"/>
      <c r="L1499" s="62"/>
      <c r="M1499" s="64"/>
      <c r="N1499" s="17"/>
      <c r="O1499" s="17"/>
      <c r="P1499" s="17"/>
    </row>
    <row r="1500" spans="1:16" x14ac:dyDescent="0.25">
      <c r="A1500" s="60"/>
      <c r="B1500" s="60"/>
      <c r="C1500" s="60"/>
      <c r="D1500" s="60"/>
      <c r="E1500" s="60"/>
      <c r="F1500" s="60"/>
      <c r="G1500" s="60"/>
      <c r="H1500" s="60"/>
      <c r="I1500" s="60"/>
      <c r="J1500" s="61"/>
      <c r="K1500" s="61"/>
      <c r="L1500" s="62"/>
      <c r="M1500" s="63"/>
      <c r="N1500" s="17"/>
      <c r="O1500" s="17"/>
      <c r="P1500" s="17"/>
    </row>
    <row r="1501" spans="1:16" x14ac:dyDescent="0.25">
      <c r="A1501" s="60"/>
      <c r="B1501" s="60"/>
      <c r="C1501" s="60"/>
      <c r="D1501" s="60"/>
      <c r="E1501" s="60"/>
      <c r="F1501" s="60"/>
      <c r="G1501" s="60"/>
      <c r="H1501" s="60"/>
      <c r="I1501" s="60"/>
      <c r="J1501" s="61"/>
      <c r="K1501" s="61"/>
      <c r="L1501" s="62"/>
      <c r="M1501" s="63"/>
      <c r="N1501" s="17"/>
      <c r="O1501" s="17"/>
      <c r="P1501" s="17"/>
    </row>
    <row r="1502" spans="1:16" x14ac:dyDescent="0.25">
      <c r="A1502" s="60"/>
      <c r="B1502" s="60"/>
      <c r="C1502" s="60"/>
      <c r="D1502" s="60"/>
      <c r="E1502" s="60"/>
      <c r="F1502" s="60"/>
      <c r="G1502" s="60"/>
      <c r="H1502" s="60"/>
      <c r="I1502" s="60"/>
      <c r="J1502" s="61"/>
      <c r="K1502" s="61"/>
      <c r="L1502" s="62"/>
      <c r="M1502" s="63"/>
      <c r="N1502" s="17"/>
      <c r="O1502" s="17"/>
      <c r="P1502" s="17"/>
    </row>
    <row r="1503" spans="1:16" x14ac:dyDescent="0.25">
      <c r="A1503" s="60"/>
      <c r="B1503" s="60"/>
      <c r="C1503" s="60"/>
      <c r="D1503" s="60"/>
      <c r="E1503" s="60"/>
      <c r="F1503" s="60"/>
      <c r="G1503" s="60"/>
      <c r="H1503" s="60"/>
      <c r="I1503" s="60"/>
      <c r="J1503" s="61"/>
      <c r="K1503" s="61"/>
      <c r="L1503" s="62"/>
      <c r="M1503" s="63"/>
      <c r="N1503" s="17"/>
      <c r="O1503" s="17"/>
      <c r="P1503" s="17"/>
    </row>
    <row r="1504" spans="1:16" x14ac:dyDescent="0.25">
      <c r="A1504" s="60"/>
      <c r="B1504" s="60"/>
      <c r="C1504" s="60"/>
      <c r="D1504" s="60"/>
      <c r="E1504" s="60"/>
      <c r="F1504" s="60"/>
      <c r="G1504" s="60"/>
      <c r="H1504" s="60"/>
      <c r="I1504" s="60"/>
      <c r="J1504" s="61"/>
      <c r="K1504" s="61"/>
      <c r="L1504" s="62"/>
      <c r="M1504" s="63"/>
      <c r="N1504" s="17"/>
      <c r="O1504" s="17"/>
      <c r="P1504" s="17"/>
    </row>
    <row r="1505" spans="1:16" x14ac:dyDescent="0.25">
      <c r="A1505" s="60"/>
      <c r="B1505" s="60"/>
      <c r="C1505" s="60"/>
      <c r="D1505" s="60"/>
      <c r="E1505" s="60"/>
      <c r="F1505" s="60"/>
      <c r="G1505" s="60"/>
      <c r="H1505" s="60"/>
      <c r="I1505" s="60"/>
      <c r="J1505" s="61"/>
      <c r="K1505" s="61"/>
      <c r="L1505" s="62"/>
      <c r="M1505" s="63"/>
      <c r="N1505" s="17"/>
      <c r="O1505" s="17"/>
      <c r="P1505" s="17"/>
    </row>
    <row r="1506" spans="1:16" x14ac:dyDescent="0.25">
      <c r="A1506" s="60"/>
      <c r="B1506" s="60"/>
      <c r="C1506" s="60"/>
      <c r="D1506" s="60"/>
      <c r="E1506" s="60"/>
      <c r="F1506" s="60"/>
      <c r="G1506" s="60"/>
      <c r="H1506" s="60"/>
      <c r="I1506" s="60"/>
      <c r="J1506" s="61"/>
      <c r="K1506" s="61"/>
      <c r="L1506" s="62"/>
      <c r="M1506" s="63"/>
      <c r="N1506" s="17"/>
      <c r="O1506" s="17"/>
      <c r="P1506" s="17"/>
    </row>
    <row r="1507" spans="1:16" x14ac:dyDescent="0.25">
      <c r="A1507" s="60"/>
      <c r="B1507" s="60"/>
      <c r="C1507" s="60"/>
      <c r="D1507" s="60"/>
      <c r="E1507" s="60"/>
      <c r="F1507" s="60"/>
      <c r="G1507" s="60"/>
      <c r="H1507" s="60"/>
      <c r="I1507" s="60"/>
      <c r="J1507" s="61"/>
      <c r="K1507" s="61"/>
      <c r="L1507" s="62"/>
      <c r="M1507" s="63"/>
      <c r="N1507" s="17"/>
      <c r="O1507" s="17"/>
      <c r="P1507" s="17"/>
    </row>
    <row r="1508" spans="1:16" x14ac:dyDescent="0.25">
      <c r="A1508" s="60"/>
      <c r="B1508" s="60"/>
      <c r="C1508" s="60"/>
      <c r="D1508" s="60"/>
      <c r="E1508" s="60"/>
      <c r="F1508" s="60"/>
      <c r="G1508" s="60"/>
      <c r="H1508" s="60"/>
      <c r="I1508" s="60"/>
      <c r="J1508" s="61"/>
      <c r="K1508" s="61"/>
      <c r="L1508" s="62"/>
      <c r="M1508" s="63"/>
      <c r="N1508" s="17"/>
      <c r="O1508" s="17"/>
      <c r="P1508" s="17"/>
    </row>
    <row r="1509" spans="1:16" x14ac:dyDescent="0.25">
      <c r="A1509" s="60"/>
      <c r="B1509" s="60"/>
      <c r="C1509" s="60"/>
      <c r="D1509" s="60"/>
      <c r="E1509" s="60"/>
      <c r="F1509" s="60"/>
      <c r="G1509" s="60"/>
      <c r="H1509" s="60"/>
      <c r="I1509" s="60"/>
      <c r="J1509" s="61"/>
      <c r="K1509" s="61"/>
      <c r="L1509" s="62"/>
      <c r="M1509" s="63"/>
      <c r="N1509" s="17"/>
      <c r="O1509" s="17"/>
      <c r="P1509" s="17"/>
    </row>
    <row r="1510" spans="1:16" x14ac:dyDescent="0.25">
      <c r="A1510" s="60"/>
      <c r="B1510" s="60"/>
      <c r="C1510" s="60"/>
      <c r="D1510" s="60"/>
      <c r="E1510" s="60"/>
      <c r="F1510" s="60"/>
      <c r="G1510" s="60"/>
      <c r="H1510" s="60"/>
      <c r="I1510" s="60"/>
      <c r="J1510" s="61"/>
      <c r="K1510" s="61"/>
      <c r="L1510" s="62"/>
      <c r="M1510" s="63"/>
      <c r="N1510" s="17"/>
      <c r="O1510" s="17"/>
      <c r="P1510" s="17"/>
    </row>
    <row r="1511" spans="1:16" x14ac:dyDescent="0.25">
      <c r="A1511" s="60"/>
      <c r="B1511" s="60"/>
      <c r="C1511" s="60"/>
      <c r="D1511" s="60"/>
      <c r="E1511" s="60"/>
      <c r="F1511" s="60"/>
      <c r="G1511" s="60"/>
      <c r="H1511" s="60"/>
      <c r="I1511" s="60"/>
      <c r="J1511" s="61"/>
      <c r="K1511" s="61"/>
      <c r="L1511" s="62"/>
      <c r="M1511" s="63"/>
      <c r="N1511" s="17"/>
      <c r="O1511" s="17"/>
      <c r="P1511" s="17"/>
    </row>
    <row r="1512" spans="1:16" x14ac:dyDescent="0.25">
      <c r="A1512" s="60"/>
      <c r="B1512" s="60"/>
      <c r="C1512" s="60"/>
      <c r="D1512" s="60"/>
      <c r="E1512" s="60"/>
      <c r="F1512" s="60"/>
      <c r="G1512" s="60"/>
      <c r="H1512" s="60"/>
      <c r="I1512" s="60"/>
      <c r="J1512" s="61"/>
      <c r="K1512" s="61"/>
      <c r="L1512" s="62"/>
      <c r="M1512" s="63"/>
      <c r="N1512" s="17"/>
      <c r="O1512" s="17"/>
      <c r="P1512" s="17"/>
    </row>
    <row r="1513" spans="1:16" x14ac:dyDescent="0.25">
      <c r="A1513" s="60"/>
      <c r="B1513" s="60"/>
      <c r="C1513" s="60"/>
      <c r="D1513" s="60"/>
      <c r="E1513" s="60"/>
      <c r="F1513" s="60"/>
      <c r="G1513" s="60"/>
      <c r="H1513" s="60"/>
      <c r="I1513" s="60"/>
      <c r="J1513" s="61"/>
      <c r="K1513" s="61"/>
      <c r="L1513" s="62"/>
      <c r="M1513" s="63"/>
      <c r="N1513" s="17"/>
      <c r="O1513" s="17"/>
      <c r="P1513" s="17"/>
    </row>
    <row r="1514" spans="1:16" x14ac:dyDescent="0.25">
      <c r="A1514" s="60"/>
      <c r="B1514" s="60"/>
      <c r="C1514" s="60"/>
      <c r="D1514" s="60"/>
      <c r="E1514" s="60"/>
      <c r="F1514" s="60"/>
      <c r="G1514" s="60"/>
      <c r="H1514" s="60"/>
      <c r="I1514" s="60"/>
      <c r="J1514" s="61"/>
      <c r="K1514" s="61"/>
      <c r="L1514" s="62"/>
      <c r="M1514" s="63"/>
      <c r="N1514" s="17"/>
      <c r="O1514" s="17"/>
      <c r="P1514" s="17"/>
    </row>
    <row r="1515" spans="1:16" x14ac:dyDescent="0.25">
      <c r="A1515" s="60"/>
      <c r="B1515" s="60"/>
      <c r="C1515" s="60"/>
      <c r="D1515" s="60"/>
      <c r="E1515" s="60"/>
      <c r="F1515" s="60"/>
      <c r="G1515" s="60"/>
      <c r="H1515" s="60"/>
      <c r="I1515" s="60"/>
      <c r="J1515" s="61"/>
      <c r="K1515" s="61"/>
      <c r="L1515" s="62"/>
      <c r="M1515" s="63"/>
      <c r="N1515" s="17"/>
      <c r="O1515" s="17"/>
      <c r="P1515" s="17"/>
    </row>
    <row r="1516" spans="1:16" x14ac:dyDescent="0.25">
      <c r="A1516" s="60"/>
      <c r="B1516" s="60"/>
      <c r="C1516" s="60"/>
      <c r="D1516" s="60"/>
      <c r="E1516" s="60"/>
      <c r="F1516" s="60"/>
      <c r="G1516" s="60"/>
      <c r="H1516" s="60"/>
      <c r="I1516" s="60"/>
      <c r="J1516" s="61"/>
      <c r="K1516" s="61"/>
      <c r="L1516" s="62"/>
      <c r="M1516" s="63"/>
      <c r="N1516" s="17"/>
      <c r="O1516" s="17"/>
      <c r="P1516" s="17"/>
    </row>
    <row r="1517" spans="1:16" x14ac:dyDescent="0.25">
      <c r="A1517" s="60"/>
      <c r="B1517" s="60"/>
      <c r="C1517" s="60"/>
      <c r="D1517" s="60"/>
      <c r="E1517" s="60"/>
      <c r="F1517" s="60"/>
      <c r="G1517" s="60"/>
      <c r="H1517" s="60"/>
      <c r="I1517" s="60"/>
      <c r="J1517" s="61"/>
      <c r="K1517" s="61"/>
      <c r="L1517" s="62"/>
      <c r="M1517" s="63"/>
      <c r="N1517" s="17"/>
      <c r="O1517" s="17"/>
      <c r="P1517" s="17"/>
    </row>
    <row r="1518" spans="1:16" x14ac:dyDescent="0.25">
      <c r="A1518" s="60"/>
      <c r="B1518" s="60"/>
      <c r="C1518" s="60"/>
      <c r="D1518" s="60"/>
      <c r="E1518" s="60"/>
      <c r="F1518" s="60"/>
      <c r="G1518" s="60"/>
      <c r="H1518" s="60"/>
      <c r="I1518" s="60"/>
      <c r="J1518" s="61"/>
      <c r="K1518" s="61"/>
      <c r="L1518" s="62"/>
      <c r="M1518" s="64"/>
      <c r="N1518" s="17"/>
      <c r="O1518" s="17"/>
      <c r="P1518" s="17"/>
    </row>
    <row r="1519" spans="1:16" x14ac:dyDescent="0.25">
      <c r="A1519" s="60"/>
      <c r="B1519" s="60"/>
      <c r="C1519" s="60"/>
      <c r="D1519" s="60"/>
      <c r="E1519" s="60"/>
      <c r="F1519" s="60"/>
      <c r="G1519" s="60"/>
      <c r="H1519" s="60"/>
      <c r="I1519" s="60"/>
      <c r="J1519" s="61"/>
      <c r="K1519" s="61"/>
      <c r="L1519" s="62"/>
      <c r="M1519" s="64"/>
      <c r="N1519" s="17"/>
      <c r="O1519" s="17"/>
      <c r="P1519" s="17"/>
    </row>
    <row r="1520" spans="1:16" x14ac:dyDescent="0.25">
      <c r="A1520" s="60"/>
      <c r="B1520" s="60"/>
      <c r="C1520" s="60"/>
      <c r="D1520" s="60"/>
      <c r="E1520" s="60"/>
      <c r="F1520" s="60"/>
      <c r="G1520" s="60"/>
      <c r="H1520" s="60"/>
      <c r="I1520" s="60"/>
      <c r="J1520" s="61"/>
      <c r="K1520" s="61"/>
      <c r="L1520" s="62"/>
      <c r="M1520" s="64"/>
      <c r="N1520" s="17"/>
      <c r="O1520" s="17"/>
      <c r="P1520" s="17"/>
    </row>
    <row r="1521" spans="1:16" x14ac:dyDescent="0.25">
      <c r="A1521" s="60"/>
      <c r="B1521" s="60"/>
      <c r="C1521" s="60"/>
      <c r="D1521" s="60"/>
      <c r="E1521" s="60"/>
      <c r="F1521" s="60"/>
      <c r="G1521" s="60"/>
      <c r="H1521" s="60"/>
      <c r="I1521" s="60"/>
      <c r="J1521" s="61"/>
      <c r="K1521" s="61"/>
      <c r="L1521" s="65"/>
      <c r="M1521" s="64"/>
      <c r="N1521" s="17"/>
      <c r="O1521" s="17"/>
      <c r="P1521" s="17"/>
    </row>
    <row r="1522" spans="1:16" x14ac:dyDescent="0.25">
      <c r="A1522" s="60"/>
      <c r="B1522" s="60"/>
      <c r="C1522" s="60"/>
      <c r="D1522" s="60"/>
      <c r="E1522" s="60"/>
      <c r="F1522" s="60"/>
      <c r="G1522" s="60"/>
      <c r="H1522" s="60"/>
      <c r="I1522" s="60"/>
      <c r="J1522" s="61"/>
      <c r="K1522" s="61"/>
      <c r="L1522" s="65"/>
      <c r="M1522" s="64"/>
      <c r="N1522" s="17"/>
      <c r="O1522" s="17"/>
      <c r="P1522" s="17"/>
    </row>
    <row r="1523" spans="1:16" x14ac:dyDescent="0.25">
      <c r="A1523" s="60"/>
      <c r="B1523" s="60"/>
      <c r="C1523" s="60"/>
      <c r="D1523" s="60"/>
      <c r="E1523" s="60"/>
      <c r="F1523" s="60"/>
      <c r="G1523" s="60"/>
      <c r="H1523" s="60"/>
      <c r="I1523" s="60"/>
      <c r="J1523" s="61"/>
      <c r="K1523" s="61"/>
      <c r="L1523" s="65"/>
      <c r="M1523" s="64"/>
      <c r="N1523" s="17"/>
      <c r="O1523" s="17"/>
      <c r="P1523" s="17"/>
    </row>
    <row r="1524" spans="1:16" x14ac:dyDescent="0.25">
      <c r="A1524" s="60"/>
      <c r="B1524" s="60"/>
      <c r="C1524" s="60"/>
      <c r="D1524" s="60"/>
      <c r="E1524" s="60"/>
      <c r="F1524" s="60"/>
      <c r="G1524" s="60"/>
      <c r="H1524" s="60"/>
      <c r="I1524" s="60"/>
      <c r="J1524" s="61"/>
      <c r="K1524" s="61"/>
      <c r="L1524" s="65"/>
      <c r="M1524" s="64"/>
      <c r="N1524" s="17"/>
      <c r="O1524" s="17"/>
      <c r="P1524" s="17"/>
    </row>
    <row r="1525" spans="1:16" x14ac:dyDescent="0.25">
      <c r="A1525" s="60"/>
      <c r="B1525" s="60"/>
      <c r="C1525" s="60"/>
      <c r="D1525" s="60"/>
      <c r="E1525" s="60"/>
      <c r="F1525" s="60"/>
      <c r="G1525" s="60"/>
      <c r="H1525" s="60"/>
      <c r="I1525" s="60"/>
      <c r="J1525" s="61"/>
      <c r="K1525" s="61"/>
      <c r="L1525" s="62"/>
      <c r="M1525" s="64"/>
      <c r="N1525" s="17"/>
      <c r="O1525" s="17"/>
      <c r="P1525" s="17"/>
    </row>
    <row r="1526" spans="1:16" x14ac:dyDescent="0.25">
      <c r="A1526" s="60"/>
      <c r="B1526" s="60"/>
      <c r="C1526" s="60"/>
      <c r="D1526" s="60"/>
      <c r="E1526" s="60"/>
      <c r="F1526" s="60"/>
      <c r="G1526" s="60"/>
      <c r="H1526" s="60"/>
      <c r="I1526" s="60"/>
      <c r="J1526" s="61"/>
      <c r="K1526" s="61"/>
      <c r="L1526" s="62"/>
      <c r="M1526" s="63"/>
      <c r="N1526" s="17"/>
      <c r="O1526" s="17"/>
      <c r="P1526" s="17"/>
    </row>
    <row r="1527" spans="1:16" x14ac:dyDescent="0.25">
      <c r="A1527" s="60"/>
      <c r="B1527" s="60"/>
      <c r="C1527" s="60"/>
      <c r="D1527" s="60"/>
      <c r="E1527" s="60"/>
      <c r="F1527" s="60"/>
      <c r="G1527" s="60"/>
      <c r="H1527" s="60"/>
      <c r="I1527" s="60"/>
      <c r="J1527" s="61"/>
      <c r="K1527" s="61"/>
      <c r="L1527" s="62"/>
      <c r="M1527" s="63"/>
      <c r="N1527" s="17"/>
      <c r="O1527" s="17"/>
      <c r="P1527" s="17"/>
    </row>
    <row r="1528" spans="1:16" x14ac:dyDescent="0.25">
      <c r="A1528" s="60"/>
      <c r="B1528" s="60"/>
      <c r="C1528" s="60"/>
      <c r="D1528" s="60"/>
      <c r="E1528" s="60"/>
      <c r="F1528" s="60"/>
      <c r="G1528" s="60"/>
      <c r="H1528" s="60"/>
      <c r="I1528" s="60"/>
      <c r="J1528" s="61"/>
      <c r="K1528" s="61"/>
      <c r="L1528" s="62"/>
      <c r="M1528" s="64"/>
      <c r="N1528" s="17"/>
      <c r="O1528" s="17"/>
      <c r="P1528" s="17"/>
    </row>
    <row r="1529" spans="1:16" x14ac:dyDescent="0.25">
      <c r="A1529" s="60"/>
      <c r="B1529" s="60"/>
      <c r="C1529" s="60"/>
      <c r="D1529" s="60"/>
      <c r="E1529" s="60"/>
      <c r="F1529" s="60"/>
      <c r="G1529" s="60"/>
      <c r="H1529" s="60"/>
      <c r="I1529" s="60"/>
      <c r="J1529" s="61"/>
      <c r="K1529" s="61"/>
      <c r="L1529" s="62"/>
      <c r="M1529" s="64"/>
      <c r="N1529" s="17"/>
      <c r="O1529" s="17"/>
      <c r="P1529" s="17"/>
    </row>
    <row r="1530" spans="1:16" x14ac:dyDescent="0.25">
      <c r="A1530" s="60"/>
      <c r="B1530" s="60"/>
      <c r="C1530" s="60"/>
      <c r="D1530" s="60"/>
      <c r="E1530" s="60"/>
      <c r="F1530" s="60"/>
      <c r="G1530" s="60"/>
      <c r="H1530" s="60"/>
      <c r="I1530" s="60"/>
      <c r="J1530" s="61"/>
      <c r="K1530" s="61"/>
      <c r="L1530" s="62"/>
      <c r="M1530" s="63"/>
      <c r="N1530" s="17"/>
      <c r="O1530" s="17"/>
      <c r="P1530" s="17"/>
    </row>
    <row r="1531" spans="1:16" x14ac:dyDescent="0.25">
      <c r="A1531" s="60"/>
      <c r="B1531" s="60"/>
      <c r="C1531" s="60"/>
      <c r="D1531" s="60"/>
      <c r="E1531" s="60"/>
      <c r="F1531" s="60"/>
      <c r="G1531" s="60"/>
      <c r="H1531" s="60"/>
      <c r="I1531" s="60"/>
      <c r="J1531" s="61"/>
      <c r="K1531" s="61"/>
      <c r="L1531" s="62"/>
      <c r="M1531" s="63"/>
      <c r="N1531" s="17"/>
      <c r="O1531" s="17"/>
      <c r="P1531" s="17"/>
    </row>
    <row r="1532" spans="1:16" x14ac:dyDescent="0.25">
      <c r="A1532" s="60"/>
      <c r="B1532" s="60"/>
      <c r="C1532" s="60"/>
      <c r="D1532" s="60"/>
      <c r="E1532" s="60"/>
      <c r="F1532" s="60"/>
      <c r="G1532" s="60"/>
      <c r="H1532" s="60"/>
      <c r="I1532" s="60"/>
      <c r="J1532" s="61"/>
      <c r="K1532" s="61"/>
      <c r="L1532" s="62"/>
      <c r="M1532" s="64"/>
      <c r="N1532" s="17"/>
      <c r="O1532" s="17"/>
      <c r="P1532" s="17"/>
    </row>
    <row r="1533" spans="1:16" x14ac:dyDescent="0.25">
      <c r="A1533" s="60"/>
      <c r="B1533" s="60"/>
      <c r="C1533" s="60"/>
      <c r="D1533" s="60"/>
      <c r="E1533" s="60"/>
      <c r="F1533" s="60"/>
      <c r="G1533" s="60"/>
      <c r="H1533" s="60"/>
      <c r="I1533" s="60"/>
      <c r="J1533" s="61"/>
      <c r="K1533" s="61"/>
      <c r="L1533" s="65"/>
      <c r="M1533" s="64"/>
      <c r="N1533" s="17"/>
      <c r="O1533" s="17"/>
      <c r="P1533" s="17"/>
    </row>
    <row r="1534" spans="1:16" x14ac:dyDescent="0.25">
      <c r="A1534" s="60"/>
      <c r="B1534" s="60"/>
      <c r="C1534" s="60"/>
      <c r="D1534" s="60"/>
      <c r="E1534" s="60"/>
      <c r="F1534" s="60"/>
      <c r="G1534" s="60"/>
      <c r="H1534" s="60"/>
      <c r="I1534" s="60"/>
      <c r="J1534" s="61"/>
      <c r="K1534" s="61"/>
      <c r="L1534" s="62"/>
      <c r="M1534" s="64"/>
      <c r="N1534" s="17"/>
      <c r="O1534" s="17"/>
      <c r="P1534" s="17"/>
    </row>
    <row r="1535" spans="1:16" x14ac:dyDescent="0.25">
      <c r="A1535" s="60"/>
      <c r="B1535" s="60"/>
      <c r="C1535" s="60"/>
      <c r="D1535" s="60"/>
      <c r="E1535" s="60"/>
      <c r="F1535" s="60"/>
      <c r="G1535" s="60"/>
      <c r="H1535" s="60"/>
      <c r="I1535" s="60"/>
      <c r="J1535" s="61"/>
      <c r="K1535" s="61"/>
      <c r="L1535" s="62"/>
      <c r="M1535" s="64"/>
      <c r="N1535" s="17"/>
      <c r="O1535" s="17"/>
      <c r="P1535" s="17"/>
    </row>
    <row r="1536" spans="1:16" x14ac:dyDescent="0.25">
      <c r="A1536" s="60"/>
      <c r="B1536" s="60"/>
      <c r="C1536" s="60"/>
      <c r="D1536" s="60"/>
      <c r="E1536" s="60"/>
      <c r="F1536" s="60"/>
      <c r="G1536" s="60"/>
      <c r="H1536" s="60"/>
      <c r="I1536" s="60"/>
      <c r="J1536" s="61"/>
      <c r="K1536" s="61"/>
      <c r="L1536" s="62"/>
      <c r="M1536" s="63"/>
      <c r="N1536" s="17"/>
      <c r="O1536" s="17"/>
      <c r="P1536" s="17"/>
    </row>
    <row r="1537" spans="1:16" x14ac:dyDescent="0.25">
      <c r="A1537" s="60"/>
      <c r="B1537" s="60"/>
      <c r="C1537" s="60"/>
      <c r="D1537" s="60"/>
      <c r="E1537" s="60"/>
      <c r="F1537" s="60"/>
      <c r="G1537" s="60"/>
      <c r="H1537" s="60"/>
      <c r="I1537" s="60"/>
      <c r="J1537" s="61"/>
      <c r="K1537" s="61"/>
      <c r="L1537" s="62"/>
      <c r="M1537" s="63"/>
      <c r="N1537" s="17"/>
      <c r="O1537" s="17"/>
      <c r="P1537" s="17"/>
    </row>
    <row r="1538" spans="1:16" x14ac:dyDescent="0.25">
      <c r="A1538" s="60"/>
      <c r="B1538" s="60"/>
      <c r="C1538" s="60"/>
      <c r="D1538" s="60"/>
      <c r="E1538" s="60"/>
      <c r="F1538" s="60"/>
      <c r="G1538" s="60"/>
      <c r="H1538" s="60"/>
      <c r="I1538" s="60"/>
      <c r="J1538" s="61"/>
      <c r="K1538" s="61"/>
      <c r="L1538" s="62"/>
      <c r="M1538" s="64"/>
      <c r="N1538" s="17"/>
      <c r="O1538" s="17"/>
      <c r="P1538" s="17"/>
    </row>
    <row r="1539" spans="1:16" x14ac:dyDescent="0.25">
      <c r="A1539" s="60"/>
      <c r="B1539" s="60"/>
      <c r="C1539" s="60"/>
      <c r="D1539" s="60"/>
      <c r="E1539" s="60"/>
      <c r="F1539" s="60"/>
      <c r="G1539" s="60"/>
      <c r="H1539" s="60"/>
      <c r="I1539" s="60"/>
      <c r="J1539" s="61"/>
      <c r="K1539" s="61"/>
      <c r="L1539" s="62"/>
      <c r="M1539" s="64"/>
      <c r="N1539" s="17"/>
      <c r="O1539" s="17"/>
      <c r="P1539" s="17"/>
    </row>
    <row r="1540" spans="1:16" x14ac:dyDescent="0.25">
      <c r="A1540" s="60"/>
      <c r="B1540" s="60"/>
      <c r="C1540" s="60"/>
      <c r="D1540" s="60"/>
      <c r="E1540" s="60"/>
      <c r="F1540" s="60"/>
      <c r="G1540" s="60"/>
      <c r="H1540" s="60"/>
      <c r="I1540" s="60"/>
      <c r="J1540" s="61"/>
      <c r="K1540" s="61"/>
      <c r="L1540" s="62"/>
      <c r="M1540" s="63"/>
      <c r="N1540" s="17"/>
      <c r="O1540" s="17"/>
      <c r="P1540" s="17"/>
    </row>
    <row r="1541" spans="1:16" x14ac:dyDescent="0.25">
      <c r="A1541" s="60"/>
      <c r="B1541" s="60"/>
      <c r="C1541" s="60"/>
      <c r="D1541" s="60"/>
      <c r="E1541" s="60"/>
      <c r="F1541" s="60"/>
      <c r="G1541" s="60"/>
      <c r="H1541" s="60"/>
      <c r="I1541" s="60"/>
      <c r="J1541" s="61"/>
      <c r="K1541" s="61"/>
      <c r="L1541" s="65"/>
      <c r="M1541" s="64"/>
      <c r="N1541" s="17"/>
      <c r="O1541" s="17"/>
      <c r="P1541" s="17"/>
    </row>
    <row r="1542" spans="1:16" x14ac:dyDescent="0.25">
      <c r="A1542" s="60"/>
      <c r="B1542" s="60"/>
      <c r="C1542" s="60"/>
      <c r="D1542" s="60"/>
      <c r="E1542" s="60"/>
      <c r="F1542" s="60"/>
      <c r="G1542" s="60"/>
      <c r="H1542" s="60"/>
      <c r="I1542" s="60"/>
      <c r="J1542" s="61"/>
      <c r="K1542" s="61"/>
      <c r="L1542" s="62"/>
      <c r="M1542" s="64"/>
      <c r="N1542" s="17"/>
      <c r="O1542" s="17"/>
      <c r="P1542" s="17"/>
    </row>
    <row r="1543" spans="1:16" x14ac:dyDescent="0.25">
      <c r="A1543" s="60"/>
      <c r="B1543" s="60"/>
      <c r="C1543" s="60"/>
      <c r="D1543" s="60"/>
      <c r="E1543" s="60"/>
      <c r="F1543" s="60"/>
      <c r="G1543" s="60"/>
      <c r="H1543" s="60"/>
      <c r="I1543" s="60"/>
      <c r="J1543" s="61"/>
      <c r="K1543" s="61"/>
      <c r="L1543" s="62"/>
      <c r="M1543" s="63"/>
      <c r="N1543" s="17"/>
      <c r="O1543" s="17"/>
      <c r="P1543" s="17"/>
    </row>
    <row r="1544" spans="1:16" x14ac:dyDescent="0.25">
      <c r="A1544" s="60"/>
      <c r="B1544" s="60"/>
      <c r="C1544" s="60"/>
      <c r="D1544" s="60"/>
      <c r="E1544" s="60"/>
      <c r="F1544" s="60"/>
      <c r="G1544" s="60"/>
      <c r="H1544" s="60"/>
      <c r="I1544" s="60"/>
      <c r="J1544" s="61"/>
      <c r="K1544" s="61"/>
      <c r="L1544" s="62"/>
      <c r="M1544" s="63"/>
      <c r="N1544" s="17"/>
      <c r="O1544" s="17"/>
      <c r="P1544" s="17"/>
    </row>
    <row r="1545" spans="1:16" x14ac:dyDescent="0.25">
      <c r="A1545" s="60"/>
      <c r="B1545" s="60"/>
      <c r="C1545" s="60"/>
      <c r="D1545" s="60"/>
      <c r="E1545" s="60"/>
      <c r="F1545" s="60"/>
      <c r="G1545" s="60"/>
      <c r="H1545" s="60"/>
      <c r="I1545" s="60"/>
      <c r="J1545" s="61"/>
      <c r="K1545" s="61"/>
      <c r="L1545" s="65"/>
      <c r="M1545" s="64"/>
      <c r="N1545" s="17"/>
      <c r="O1545" s="17"/>
      <c r="P1545" s="17"/>
    </row>
    <row r="1546" spans="1:16" x14ac:dyDescent="0.25">
      <c r="A1546" s="60"/>
      <c r="B1546" s="60"/>
      <c r="C1546" s="60"/>
      <c r="D1546" s="60"/>
      <c r="E1546" s="60"/>
      <c r="F1546" s="60"/>
      <c r="G1546" s="60"/>
      <c r="H1546" s="60"/>
      <c r="I1546" s="60"/>
      <c r="J1546" s="61"/>
      <c r="K1546" s="61"/>
      <c r="L1546" s="62"/>
      <c r="M1546" s="64"/>
      <c r="N1546" s="17"/>
      <c r="O1546" s="17"/>
      <c r="P1546" s="17"/>
    </row>
    <row r="1547" spans="1:16" x14ac:dyDescent="0.25">
      <c r="A1547" s="60"/>
      <c r="B1547" s="60"/>
      <c r="C1547" s="60"/>
      <c r="D1547" s="60"/>
      <c r="E1547" s="60"/>
      <c r="F1547" s="60"/>
      <c r="G1547" s="60"/>
      <c r="H1547" s="60"/>
      <c r="I1547" s="60"/>
      <c r="J1547" s="61"/>
      <c r="K1547" s="61"/>
      <c r="L1547" s="62"/>
      <c r="M1547" s="63"/>
      <c r="N1547" s="17"/>
      <c r="O1547" s="17"/>
      <c r="P1547" s="17"/>
    </row>
    <row r="1548" spans="1:16" x14ac:dyDescent="0.25">
      <c r="A1548" s="60"/>
      <c r="B1548" s="60"/>
      <c r="C1548" s="60"/>
      <c r="D1548" s="60"/>
      <c r="E1548" s="60"/>
      <c r="F1548" s="60"/>
      <c r="G1548" s="60"/>
      <c r="H1548" s="60"/>
      <c r="I1548" s="60"/>
      <c r="J1548" s="61"/>
      <c r="K1548" s="61"/>
      <c r="L1548" s="62"/>
      <c r="M1548" s="63"/>
      <c r="N1548" s="17"/>
      <c r="O1548" s="17"/>
      <c r="P1548" s="17"/>
    </row>
    <row r="1549" spans="1:16" x14ac:dyDescent="0.25">
      <c r="A1549" s="60"/>
      <c r="B1549" s="60"/>
      <c r="C1549" s="60"/>
      <c r="D1549" s="60"/>
      <c r="E1549" s="60"/>
      <c r="F1549" s="60"/>
      <c r="G1549" s="60"/>
      <c r="H1549" s="60"/>
      <c r="I1549" s="60"/>
      <c r="J1549" s="61"/>
      <c r="K1549" s="61"/>
      <c r="L1549" s="62"/>
      <c r="M1549" s="64"/>
      <c r="N1549" s="17"/>
      <c r="O1549" s="17"/>
      <c r="P1549" s="17"/>
    </row>
    <row r="1550" spans="1:16" x14ac:dyDescent="0.25">
      <c r="A1550" s="60"/>
      <c r="B1550" s="60"/>
      <c r="C1550" s="60"/>
      <c r="D1550" s="60"/>
      <c r="E1550" s="60"/>
      <c r="F1550" s="60"/>
      <c r="G1550" s="60"/>
      <c r="H1550" s="60"/>
      <c r="I1550" s="60"/>
      <c r="J1550" s="61"/>
      <c r="K1550" s="61"/>
      <c r="L1550" s="62"/>
      <c r="M1550" s="63"/>
      <c r="N1550" s="17"/>
      <c r="O1550" s="17"/>
      <c r="P1550" s="17"/>
    </row>
    <row r="1551" spans="1:16" x14ac:dyDescent="0.25">
      <c r="A1551" s="60"/>
      <c r="B1551" s="60"/>
      <c r="C1551" s="60"/>
      <c r="D1551" s="60"/>
      <c r="E1551" s="60"/>
      <c r="F1551" s="60"/>
      <c r="G1551" s="60"/>
      <c r="H1551" s="60"/>
      <c r="I1551" s="60"/>
      <c r="J1551" s="61"/>
      <c r="K1551" s="61"/>
      <c r="L1551" s="62"/>
      <c r="M1551" s="63"/>
      <c r="N1551" s="17"/>
      <c r="O1551" s="17"/>
      <c r="P1551" s="17"/>
    </row>
    <row r="1552" spans="1:16" x14ac:dyDescent="0.25">
      <c r="A1552" s="60"/>
      <c r="B1552" s="60"/>
      <c r="C1552" s="60"/>
      <c r="D1552" s="60"/>
      <c r="E1552" s="60"/>
      <c r="F1552" s="60"/>
      <c r="G1552" s="60"/>
      <c r="H1552" s="60"/>
      <c r="I1552" s="60"/>
      <c r="J1552" s="61"/>
      <c r="K1552" s="61"/>
      <c r="L1552" s="62"/>
      <c r="M1552" s="63"/>
      <c r="N1552" s="17"/>
      <c r="O1552" s="17"/>
      <c r="P1552" s="17"/>
    </row>
    <row r="1553" spans="1:16" x14ac:dyDescent="0.25">
      <c r="A1553" s="60"/>
      <c r="B1553" s="60"/>
      <c r="C1553" s="60"/>
      <c r="D1553" s="60"/>
      <c r="E1553" s="60"/>
      <c r="F1553" s="60"/>
      <c r="G1553" s="60"/>
      <c r="H1553" s="60"/>
      <c r="I1553" s="60"/>
      <c r="J1553" s="61"/>
      <c r="K1553" s="61"/>
      <c r="L1553" s="65"/>
      <c r="M1553" s="64"/>
      <c r="N1553" s="17"/>
      <c r="O1553" s="17"/>
      <c r="P1553" s="17"/>
    </row>
    <row r="1554" spans="1:16" x14ac:dyDescent="0.25">
      <c r="A1554" s="60"/>
      <c r="B1554" s="60"/>
      <c r="C1554" s="60"/>
      <c r="D1554" s="60"/>
      <c r="E1554" s="60"/>
      <c r="F1554" s="60"/>
      <c r="G1554" s="60"/>
      <c r="H1554" s="60"/>
      <c r="I1554" s="60"/>
      <c r="J1554" s="61"/>
      <c r="K1554" s="61"/>
      <c r="L1554" s="65"/>
      <c r="M1554" s="64"/>
      <c r="N1554" s="17"/>
      <c r="O1554" s="17"/>
      <c r="P1554" s="17"/>
    </row>
    <row r="1555" spans="1:16" x14ac:dyDescent="0.25">
      <c r="A1555" s="60"/>
      <c r="B1555" s="60"/>
      <c r="C1555" s="60"/>
      <c r="D1555" s="60"/>
      <c r="E1555" s="60"/>
      <c r="F1555" s="60"/>
      <c r="G1555" s="60"/>
      <c r="H1555" s="60"/>
      <c r="I1555" s="60"/>
      <c r="J1555" s="61"/>
      <c r="K1555" s="61"/>
      <c r="L1555" s="62"/>
      <c r="M1555" s="64"/>
      <c r="N1555" s="17"/>
      <c r="O1555" s="17"/>
      <c r="P1555" s="17"/>
    </row>
    <row r="1556" spans="1:16" x14ac:dyDescent="0.25">
      <c r="A1556" s="60"/>
      <c r="B1556" s="60"/>
      <c r="C1556" s="60"/>
      <c r="D1556" s="60"/>
      <c r="E1556" s="60"/>
      <c r="F1556" s="60"/>
      <c r="G1556" s="60"/>
      <c r="H1556" s="60"/>
      <c r="I1556" s="60"/>
      <c r="J1556" s="61"/>
      <c r="K1556" s="61"/>
      <c r="L1556" s="65"/>
      <c r="M1556" s="64"/>
      <c r="N1556" s="17"/>
      <c r="O1556" s="17"/>
      <c r="P1556" s="17"/>
    </row>
    <row r="1557" spans="1:16" x14ac:dyDescent="0.25">
      <c r="A1557" s="60"/>
      <c r="B1557" s="60"/>
      <c r="C1557" s="60"/>
      <c r="D1557" s="60"/>
      <c r="E1557" s="60"/>
      <c r="F1557" s="60"/>
      <c r="G1557" s="60"/>
      <c r="H1557" s="60"/>
      <c r="I1557" s="60"/>
      <c r="J1557" s="61"/>
      <c r="K1557" s="61"/>
      <c r="L1557" s="62"/>
      <c r="M1557" s="64"/>
      <c r="N1557" s="17"/>
      <c r="O1557" s="17"/>
      <c r="P1557" s="17"/>
    </row>
    <row r="1558" spans="1:16" x14ac:dyDescent="0.25">
      <c r="A1558" s="60"/>
      <c r="B1558" s="60"/>
      <c r="C1558" s="60"/>
      <c r="D1558" s="60"/>
      <c r="E1558" s="60"/>
      <c r="F1558" s="60"/>
      <c r="G1558" s="60"/>
      <c r="H1558" s="60"/>
      <c r="I1558" s="60"/>
      <c r="J1558" s="61"/>
      <c r="K1558" s="61"/>
      <c r="L1558" s="62"/>
      <c r="M1558" s="63"/>
      <c r="N1558" s="17"/>
      <c r="O1558" s="17"/>
      <c r="P1558" s="17"/>
    </row>
    <row r="1559" spans="1:16" x14ac:dyDescent="0.25">
      <c r="A1559" s="60"/>
      <c r="B1559" s="60"/>
      <c r="C1559" s="60"/>
      <c r="D1559" s="60"/>
      <c r="E1559" s="60"/>
      <c r="F1559" s="60"/>
      <c r="G1559" s="60"/>
      <c r="H1559" s="60"/>
      <c r="I1559" s="60"/>
      <c r="J1559" s="61"/>
      <c r="K1559" s="61"/>
      <c r="L1559" s="65"/>
      <c r="M1559" s="64"/>
      <c r="N1559" s="17"/>
      <c r="O1559" s="17"/>
      <c r="P1559" s="17"/>
    </row>
    <row r="1560" spans="1:16" x14ac:dyDescent="0.25">
      <c r="A1560" s="60"/>
      <c r="B1560" s="60"/>
      <c r="C1560" s="60"/>
      <c r="D1560" s="60"/>
      <c r="E1560" s="60"/>
      <c r="F1560" s="60"/>
      <c r="G1560" s="60"/>
      <c r="H1560" s="60"/>
      <c r="I1560" s="60"/>
      <c r="J1560" s="61"/>
      <c r="K1560" s="61"/>
      <c r="L1560" s="65"/>
      <c r="M1560" s="64"/>
      <c r="N1560" s="17"/>
      <c r="O1560" s="17"/>
      <c r="P1560" s="17"/>
    </row>
    <row r="1561" spans="1:16" x14ac:dyDescent="0.25">
      <c r="A1561" s="60"/>
      <c r="B1561" s="60"/>
      <c r="C1561" s="60"/>
      <c r="D1561" s="60"/>
      <c r="E1561" s="60"/>
      <c r="F1561" s="60"/>
      <c r="G1561" s="60"/>
      <c r="H1561" s="60"/>
      <c r="I1561" s="60"/>
      <c r="J1561" s="61"/>
      <c r="K1561" s="61"/>
      <c r="L1561" s="65"/>
      <c r="M1561" s="64"/>
      <c r="N1561" s="17"/>
      <c r="O1561" s="17"/>
      <c r="P1561" s="17"/>
    </row>
    <row r="1562" spans="1:16" x14ac:dyDescent="0.25">
      <c r="A1562" s="60"/>
      <c r="B1562" s="60"/>
      <c r="C1562" s="60"/>
      <c r="D1562" s="60"/>
      <c r="E1562" s="60"/>
      <c r="F1562" s="60"/>
      <c r="G1562" s="60"/>
      <c r="H1562" s="60"/>
      <c r="I1562" s="60"/>
      <c r="J1562" s="61"/>
      <c r="K1562" s="61"/>
      <c r="L1562" s="65"/>
      <c r="M1562" s="64"/>
      <c r="N1562" s="17"/>
      <c r="O1562" s="17"/>
      <c r="P1562" s="17"/>
    </row>
    <row r="1563" spans="1:16" x14ac:dyDescent="0.25">
      <c r="A1563" s="60"/>
      <c r="B1563" s="60"/>
      <c r="C1563" s="60"/>
      <c r="D1563" s="60"/>
      <c r="E1563" s="60"/>
      <c r="F1563" s="60"/>
      <c r="G1563" s="60"/>
      <c r="H1563" s="60"/>
      <c r="I1563" s="60"/>
      <c r="J1563" s="61"/>
      <c r="K1563" s="61"/>
      <c r="L1563" s="65"/>
      <c r="M1563" s="64"/>
      <c r="N1563" s="17"/>
      <c r="O1563" s="17"/>
      <c r="P1563" s="17"/>
    </row>
    <row r="1564" spans="1:16" x14ac:dyDescent="0.25">
      <c r="A1564" s="60"/>
      <c r="B1564" s="60"/>
      <c r="C1564" s="60"/>
      <c r="D1564" s="60"/>
      <c r="E1564" s="60"/>
      <c r="F1564" s="60"/>
      <c r="G1564" s="60"/>
      <c r="H1564" s="60"/>
      <c r="I1564" s="60"/>
      <c r="J1564" s="61"/>
      <c r="K1564" s="61"/>
      <c r="L1564" s="65"/>
      <c r="M1564" s="64"/>
      <c r="N1564" s="17"/>
      <c r="O1564" s="17"/>
      <c r="P1564" s="17"/>
    </row>
    <row r="1565" spans="1:16" x14ac:dyDescent="0.25">
      <c r="A1565" s="60"/>
      <c r="B1565" s="60"/>
      <c r="C1565" s="60"/>
      <c r="D1565" s="60"/>
      <c r="E1565" s="60"/>
      <c r="F1565" s="60"/>
      <c r="G1565" s="60"/>
      <c r="H1565" s="60"/>
      <c r="I1565" s="60"/>
      <c r="J1565" s="61"/>
      <c r="K1565" s="61"/>
      <c r="L1565" s="65"/>
      <c r="M1565" s="64"/>
      <c r="N1565" s="17"/>
      <c r="O1565" s="17"/>
      <c r="P1565" s="17"/>
    </row>
    <row r="1566" spans="1:16" x14ac:dyDescent="0.25">
      <c r="A1566" s="60"/>
      <c r="B1566" s="60"/>
      <c r="C1566" s="60"/>
      <c r="D1566" s="60"/>
      <c r="E1566" s="60"/>
      <c r="F1566" s="60"/>
      <c r="G1566" s="60"/>
      <c r="H1566" s="60"/>
      <c r="I1566" s="60"/>
      <c r="J1566" s="61"/>
      <c r="K1566" s="61"/>
      <c r="L1566" s="65"/>
      <c r="M1566" s="64"/>
      <c r="N1566" s="17"/>
      <c r="O1566" s="17"/>
      <c r="P1566" s="17"/>
    </row>
    <row r="1567" spans="1:16" x14ac:dyDescent="0.25">
      <c r="A1567" s="60"/>
      <c r="B1567" s="60"/>
      <c r="C1567" s="60"/>
      <c r="D1567" s="60"/>
      <c r="E1567" s="60"/>
      <c r="F1567" s="60"/>
      <c r="G1567" s="60"/>
      <c r="H1567" s="60"/>
      <c r="I1567" s="60"/>
      <c r="J1567" s="61"/>
      <c r="K1567" s="61"/>
      <c r="L1567" s="65"/>
      <c r="M1567" s="64"/>
      <c r="N1567" s="17"/>
      <c r="O1567" s="17"/>
      <c r="P1567" s="17"/>
    </row>
    <row r="1568" spans="1:16" x14ac:dyDescent="0.25">
      <c r="A1568" s="60"/>
      <c r="B1568" s="60"/>
      <c r="C1568" s="60"/>
      <c r="D1568" s="60"/>
      <c r="E1568" s="60"/>
      <c r="F1568" s="60"/>
      <c r="G1568" s="60"/>
      <c r="H1568" s="60"/>
      <c r="I1568" s="60"/>
      <c r="J1568" s="61"/>
      <c r="K1568" s="61"/>
      <c r="L1568" s="65"/>
      <c r="M1568" s="64"/>
      <c r="N1568" s="17"/>
      <c r="O1568" s="17"/>
      <c r="P1568" s="17"/>
    </row>
    <row r="1569" spans="1:16" x14ac:dyDescent="0.25">
      <c r="A1569" s="60"/>
      <c r="B1569" s="60"/>
      <c r="C1569" s="60"/>
      <c r="D1569" s="60"/>
      <c r="E1569" s="60"/>
      <c r="F1569" s="60"/>
      <c r="G1569" s="60"/>
      <c r="H1569" s="60"/>
      <c r="I1569" s="60"/>
      <c r="J1569" s="61"/>
      <c r="K1569" s="61"/>
      <c r="L1569" s="65"/>
      <c r="M1569" s="64"/>
      <c r="N1569" s="17"/>
      <c r="O1569" s="17"/>
      <c r="P1569" s="17"/>
    </row>
    <row r="1570" spans="1:16" x14ac:dyDescent="0.25">
      <c r="A1570" s="60"/>
      <c r="B1570" s="60"/>
      <c r="C1570" s="60"/>
      <c r="D1570" s="60"/>
      <c r="E1570" s="60"/>
      <c r="F1570" s="60"/>
      <c r="G1570" s="60"/>
      <c r="H1570" s="60"/>
      <c r="I1570" s="60"/>
      <c r="J1570" s="61"/>
      <c r="K1570" s="61"/>
      <c r="L1570" s="65"/>
      <c r="M1570" s="64"/>
      <c r="N1570" s="17"/>
      <c r="O1570" s="17"/>
      <c r="P1570" s="17"/>
    </row>
    <row r="1571" spans="1:16" x14ac:dyDescent="0.25">
      <c r="A1571" s="60"/>
      <c r="B1571" s="60"/>
      <c r="C1571" s="60"/>
      <c r="D1571" s="60"/>
      <c r="E1571" s="60"/>
      <c r="F1571" s="60"/>
      <c r="G1571" s="60"/>
      <c r="H1571" s="60"/>
      <c r="I1571" s="60"/>
      <c r="J1571" s="61"/>
      <c r="K1571" s="61"/>
      <c r="L1571" s="65"/>
      <c r="M1571" s="64"/>
      <c r="N1571" s="17"/>
      <c r="O1571" s="17"/>
      <c r="P1571" s="17"/>
    </row>
    <row r="1572" spans="1:16" x14ac:dyDescent="0.25">
      <c r="A1572" s="60"/>
      <c r="B1572" s="60"/>
      <c r="C1572" s="60"/>
      <c r="D1572" s="60"/>
      <c r="E1572" s="60"/>
      <c r="F1572" s="60"/>
      <c r="G1572" s="60"/>
      <c r="H1572" s="60"/>
      <c r="I1572" s="60"/>
      <c r="J1572" s="61"/>
      <c r="K1572" s="61"/>
      <c r="L1572" s="65"/>
      <c r="M1572" s="64"/>
      <c r="N1572" s="17"/>
      <c r="O1572" s="17"/>
      <c r="P1572" s="17"/>
    </row>
    <row r="1573" spans="1:16" x14ac:dyDescent="0.25">
      <c r="A1573" s="60"/>
      <c r="B1573" s="60"/>
      <c r="C1573" s="60"/>
      <c r="D1573" s="60"/>
      <c r="E1573" s="60"/>
      <c r="F1573" s="60"/>
      <c r="G1573" s="60"/>
      <c r="H1573" s="60"/>
      <c r="I1573" s="60"/>
      <c r="J1573" s="61"/>
      <c r="K1573" s="61"/>
      <c r="L1573" s="65"/>
      <c r="M1573" s="64"/>
      <c r="N1573" s="17"/>
      <c r="O1573" s="17"/>
      <c r="P1573" s="17"/>
    </row>
    <row r="1574" spans="1:16" x14ac:dyDescent="0.25">
      <c r="A1574" s="60"/>
      <c r="B1574" s="60"/>
      <c r="C1574" s="60"/>
      <c r="D1574" s="60"/>
      <c r="E1574" s="60"/>
      <c r="F1574" s="60"/>
      <c r="G1574" s="60"/>
      <c r="H1574" s="60"/>
      <c r="I1574" s="60"/>
      <c r="J1574" s="61"/>
      <c r="K1574" s="61"/>
      <c r="L1574" s="65"/>
      <c r="M1574" s="64"/>
      <c r="N1574" s="17"/>
      <c r="O1574" s="17"/>
      <c r="P1574" s="17"/>
    </row>
    <row r="1575" spans="1:16" x14ac:dyDescent="0.25">
      <c r="A1575" s="60"/>
      <c r="B1575" s="60"/>
      <c r="C1575" s="60"/>
      <c r="D1575" s="60"/>
      <c r="E1575" s="60"/>
      <c r="F1575" s="60"/>
      <c r="G1575" s="60"/>
      <c r="H1575" s="60"/>
      <c r="I1575" s="60"/>
      <c r="J1575" s="61"/>
      <c r="K1575" s="61"/>
      <c r="L1575" s="65"/>
      <c r="M1575" s="64"/>
      <c r="N1575" s="17"/>
      <c r="O1575" s="17"/>
      <c r="P1575" s="17"/>
    </row>
    <row r="1576" spans="1:16" x14ac:dyDescent="0.25">
      <c r="A1576" s="60"/>
      <c r="B1576" s="60"/>
      <c r="C1576" s="60"/>
      <c r="D1576" s="60"/>
      <c r="E1576" s="60"/>
      <c r="F1576" s="60"/>
      <c r="G1576" s="60"/>
      <c r="H1576" s="60"/>
      <c r="I1576" s="60"/>
      <c r="J1576" s="61"/>
      <c r="K1576" s="61"/>
      <c r="L1576" s="65"/>
      <c r="M1576" s="64"/>
      <c r="N1576" s="17"/>
      <c r="O1576" s="17"/>
      <c r="P1576" s="17"/>
    </row>
    <row r="1577" spans="1:16" x14ac:dyDescent="0.25">
      <c r="A1577" s="60"/>
      <c r="B1577" s="60"/>
      <c r="C1577" s="60"/>
      <c r="D1577" s="60"/>
      <c r="E1577" s="60"/>
      <c r="F1577" s="60"/>
      <c r="G1577" s="60"/>
      <c r="H1577" s="60"/>
      <c r="I1577" s="60"/>
      <c r="J1577" s="61"/>
      <c r="K1577" s="61"/>
      <c r="L1577" s="65"/>
      <c r="M1577" s="64"/>
      <c r="N1577" s="17"/>
      <c r="O1577" s="17"/>
      <c r="P1577" s="17"/>
    </row>
    <row r="1578" spans="1:16" x14ac:dyDescent="0.25">
      <c r="A1578" s="60"/>
      <c r="B1578" s="60"/>
      <c r="C1578" s="60"/>
      <c r="D1578" s="60"/>
      <c r="E1578" s="60"/>
      <c r="F1578" s="60"/>
      <c r="G1578" s="60"/>
      <c r="H1578" s="60"/>
      <c r="I1578" s="60"/>
      <c r="J1578" s="61"/>
      <c r="K1578" s="61"/>
      <c r="L1578" s="65"/>
      <c r="M1578" s="64"/>
      <c r="N1578" s="17"/>
      <c r="O1578" s="17"/>
      <c r="P1578" s="17"/>
    </row>
    <row r="1579" spans="1:16" x14ac:dyDescent="0.25">
      <c r="A1579" s="60"/>
      <c r="B1579" s="60"/>
      <c r="C1579" s="60"/>
      <c r="D1579" s="60"/>
      <c r="E1579" s="60"/>
      <c r="F1579" s="60"/>
      <c r="G1579" s="60"/>
      <c r="H1579" s="60"/>
      <c r="I1579" s="60"/>
      <c r="J1579" s="61"/>
      <c r="K1579" s="61"/>
      <c r="L1579" s="65"/>
      <c r="M1579" s="64"/>
      <c r="N1579" s="17"/>
      <c r="O1579" s="17"/>
      <c r="P1579" s="17"/>
    </row>
    <row r="1580" spans="1:16" x14ac:dyDescent="0.25">
      <c r="A1580" s="60"/>
      <c r="B1580" s="60"/>
      <c r="C1580" s="60"/>
      <c r="D1580" s="60"/>
      <c r="E1580" s="60"/>
      <c r="F1580" s="60"/>
      <c r="G1580" s="60"/>
      <c r="H1580" s="60"/>
      <c r="I1580" s="60"/>
      <c r="J1580" s="61"/>
      <c r="K1580" s="61"/>
      <c r="L1580" s="65"/>
      <c r="M1580" s="64"/>
      <c r="N1580" s="17"/>
      <c r="O1580" s="17"/>
      <c r="P1580" s="17"/>
    </row>
    <row r="1581" spans="1:16" x14ac:dyDescent="0.25">
      <c r="A1581" s="60"/>
      <c r="B1581" s="60"/>
      <c r="C1581" s="60"/>
      <c r="D1581" s="60"/>
      <c r="E1581" s="60"/>
      <c r="F1581" s="60"/>
      <c r="G1581" s="60"/>
      <c r="H1581" s="60"/>
      <c r="I1581" s="60"/>
      <c r="J1581" s="61"/>
      <c r="K1581" s="61"/>
      <c r="L1581" s="65"/>
      <c r="M1581" s="64"/>
      <c r="N1581" s="17"/>
      <c r="O1581" s="17"/>
      <c r="P1581" s="17"/>
    </row>
    <row r="1582" spans="1:16" x14ac:dyDescent="0.25">
      <c r="A1582" s="60"/>
      <c r="B1582" s="60"/>
      <c r="C1582" s="60"/>
      <c r="D1582" s="60"/>
      <c r="E1582" s="60"/>
      <c r="F1582" s="60"/>
      <c r="G1582" s="60"/>
      <c r="H1582" s="60"/>
      <c r="I1582" s="60"/>
      <c r="J1582" s="61"/>
      <c r="K1582" s="61"/>
      <c r="L1582" s="65"/>
      <c r="M1582" s="64"/>
      <c r="N1582" s="17"/>
      <c r="O1582" s="17"/>
      <c r="P1582" s="17"/>
    </row>
    <row r="1583" spans="1:16" x14ac:dyDescent="0.25">
      <c r="A1583" s="60"/>
      <c r="B1583" s="60"/>
      <c r="C1583" s="60"/>
      <c r="D1583" s="60"/>
      <c r="E1583" s="60"/>
      <c r="F1583" s="60"/>
      <c r="G1583" s="60"/>
      <c r="H1583" s="60"/>
      <c r="I1583" s="60"/>
      <c r="J1583" s="61"/>
      <c r="K1583" s="61"/>
      <c r="L1583" s="65"/>
      <c r="M1583" s="64"/>
      <c r="N1583" s="17"/>
      <c r="O1583" s="17"/>
      <c r="P1583" s="17"/>
    </row>
    <row r="1584" spans="1:16" x14ac:dyDescent="0.25">
      <c r="A1584" s="60"/>
      <c r="B1584" s="60"/>
      <c r="C1584" s="60"/>
      <c r="D1584" s="60"/>
      <c r="E1584" s="60"/>
      <c r="F1584" s="60"/>
      <c r="G1584" s="60"/>
      <c r="H1584" s="60"/>
      <c r="I1584" s="60"/>
      <c r="J1584" s="61"/>
      <c r="K1584" s="61"/>
      <c r="L1584" s="65"/>
      <c r="M1584" s="64"/>
      <c r="N1584" s="17"/>
      <c r="O1584" s="17"/>
      <c r="P1584" s="17"/>
    </row>
    <row r="1585" spans="1:16" x14ac:dyDescent="0.25">
      <c r="A1585" s="60"/>
      <c r="B1585" s="60"/>
      <c r="C1585" s="60"/>
      <c r="D1585" s="60"/>
      <c r="E1585" s="60"/>
      <c r="F1585" s="60"/>
      <c r="G1585" s="60"/>
      <c r="H1585" s="60"/>
      <c r="I1585" s="60"/>
      <c r="J1585" s="61"/>
      <c r="K1585" s="61"/>
      <c r="L1585" s="65"/>
      <c r="M1585" s="64"/>
      <c r="N1585" s="17"/>
      <c r="O1585" s="17"/>
      <c r="P1585" s="17"/>
    </row>
    <row r="1586" spans="1:16" x14ac:dyDescent="0.25">
      <c r="A1586" s="60"/>
      <c r="B1586" s="60"/>
      <c r="C1586" s="60"/>
      <c r="D1586" s="60"/>
      <c r="E1586" s="60"/>
      <c r="F1586" s="60"/>
      <c r="G1586" s="60"/>
      <c r="H1586" s="60"/>
      <c r="I1586" s="60"/>
      <c r="J1586" s="61"/>
      <c r="K1586" s="61"/>
      <c r="L1586" s="65"/>
      <c r="M1586" s="64"/>
      <c r="N1586" s="17"/>
      <c r="O1586" s="17"/>
      <c r="P1586" s="17"/>
    </row>
    <row r="1587" spans="1:16" x14ac:dyDescent="0.25">
      <c r="A1587" s="60"/>
      <c r="B1587" s="60"/>
      <c r="C1587" s="60"/>
      <c r="D1587" s="60"/>
      <c r="E1587" s="60"/>
      <c r="F1587" s="60"/>
      <c r="G1587" s="60"/>
      <c r="H1587" s="60"/>
      <c r="I1587" s="60"/>
      <c r="J1587" s="61"/>
      <c r="K1587" s="61"/>
      <c r="L1587" s="65"/>
      <c r="M1587" s="64"/>
    </row>
  </sheetData>
  <pageMargins left="0.7" right="0.7" top="0.75" bottom="0.75" header="0.3" footer="0.3"/>
  <customProperties>
    <customPr name="_pios_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Pivot Location Detail</vt:lpstr>
      <vt:lpstr>Pivot Shipto Detail</vt:lpstr>
      <vt:lpstr>Pivot Product Type</vt:lpstr>
      <vt:lpstr>Data</vt:lpstr>
      <vt:lpstr>Summary!Print_Area</vt:lpstr>
    </vt:vector>
  </TitlesOfParts>
  <Company>Shurtape Technologies,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Chris Burleson</cp:lastModifiedBy>
  <cp:lastPrinted>2013-11-04T18:24:02Z</cp:lastPrinted>
  <dcterms:created xsi:type="dcterms:W3CDTF">2011-08-02T11:55:04Z</dcterms:created>
  <dcterms:modified xsi:type="dcterms:W3CDTF">2023-05-15T15:01:37Z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2018_YTD Associated Packaging.xlsx</vt:lpwstr>
  </property>
</Properties>
</file>